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mprj.sharepoint.com/sites/gmc/Documentos Compartilhados/GMC - Planejamentos/Material/"/>
    </mc:Choice>
  </mc:AlternateContent>
  <xr:revisionPtr revIDLastSave="3747" documentId="13_ncr:1_{953F6E9B-22A0-4898-9C79-D147AC819147}" xr6:coauthVersionLast="47" xr6:coauthVersionMax="47" xr10:uidLastSave="{54E4530C-B624-448A-88A2-6FF5D5A00ADF}"/>
  <bookViews>
    <workbookView xWindow="28680" yWindow="-120" windowWidth="29040" windowHeight="15720" xr2:uid="{993A33D6-FBB3-46D6-93ED-5236DE3EA14D}"/>
  </bookViews>
  <sheets>
    <sheet name="CENTRAL" sheetId="15" r:id="rId1"/>
    <sheet name="SUB" sheetId="3" r:id="rId2"/>
    <sheet name="PROJ_2022" sheetId="5" state="hidden" r:id="rId3"/>
    <sheet name="PROJ_2023" sheetId="6" state="hidden" r:id="rId4"/>
    <sheet name="BENFICA" sheetId="18" r:id="rId5"/>
    <sheet name="FAMÍLIAS" sheetId="8" r:id="rId6"/>
  </sheets>
  <definedNames>
    <definedName name="_xlnm._FilterDatabase" localSheetId="1" hidden="1">SUB!$J$538:$J$538</definedName>
    <definedName name="DadosExternos_1" localSheetId="0" hidden="1">'CENTRAL'!$A$1:$G$1224</definedName>
    <definedName name="DadosExternos_2" localSheetId="4" hidden="1">BENFICA!$A$1:$G$28</definedName>
    <definedName name="DadosExternos_2" localSheetId="1" hidden="1">SUB!$A$1:$G$632</definedName>
    <definedName name="DadosExternos_3" localSheetId="2" hidden="1">PROJ_2022!$A$1:$H$280</definedName>
    <definedName name="DadosExternos_4" localSheetId="3" hidden="1">PROJ_2023!$A$1:$H$1241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5" l="1"/>
  <c r="H3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130" i="15"/>
  <c r="H131" i="15"/>
  <c r="H132" i="15"/>
  <c r="H133" i="15"/>
  <c r="H134" i="15"/>
  <c r="H135" i="15"/>
  <c r="H136" i="15"/>
  <c r="H137" i="15"/>
  <c r="H138" i="15"/>
  <c r="H139" i="15"/>
  <c r="H140" i="15"/>
  <c r="H141" i="15"/>
  <c r="H142" i="15"/>
  <c r="H143" i="15"/>
  <c r="H144" i="15"/>
  <c r="H145" i="15"/>
  <c r="H146" i="15"/>
  <c r="H147" i="15"/>
  <c r="H148" i="15"/>
  <c r="H149" i="15"/>
  <c r="H150" i="15"/>
  <c r="H151" i="15"/>
  <c r="H152" i="15"/>
  <c r="H153" i="15"/>
  <c r="H154" i="15"/>
  <c r="H155" i="15"/>
  <c r="H156" i="15"/>
  <c r="H157" i="15"/>
  <c r="H158" i="15"/>
  <c r="H159" i="15"/>
  <c r="H160" i="15"/>
  <c r="H161" i="15"/>
  <c r="H162" i="15"/>
  <c r="H163" i="15"/>
  <c r="H164" i="15"/>
  <c r="H165" i="15"/>
  <c r="H166" i="15"/>
  <c r="H167" i="15"/>
  <c r="H168" i="15"/>
  <c r="H169" i="15"/>
  <c r="H170" i="15"/>
  <c r="H171" i="15"/>
  <c r="H172" i="15"/>
  <c r="H173" i="15"/>
  <c r="H174" i="15"/>
  <c r="H175" i="15"/>
  <c r="H176" i="15"/>
  <c r="H177" i="15"/>
  <c r="H178" i="15"/>
  <c r="H179" i="15"/>
  <c r="H180" i="15"/>
  <c r="H181" i="15"/>
  <c r="H182" i="15"/>
  <c r="H183" i="15"/>
  <c r="H184" i="15"/>
  <c r="H185" i="15"/>
  <c r="H186" i="15"/>
  <c r="H187" i="15"/>
  <c r="H188" i="15"/>
  <c r="H189" i="15"/>
  <c r="H190" i="15"/>
  <c r="H191" i="15"/>
  <c r="H192" i="15"/>
  <c r="H193" i="15"/>
  <c r="H194" i="15"/>
  <c r="H195" i="15"/>
  <c r="H196" i="15"/>
  <c r="H197" i="15"/>
  <c r="H198" i="15"/>
  <c r="H199" i="15"/>
  <c r="H200" i="15"/>
  <c r="H201" i="15"/>
  <c r="H202" i="15"/>
  <c r="H203" i="15"/>
  <c r="H204" i="15"/>
  <c r="H205" i="15"/>
  <c r="H206" i="15"/>
  <c r="H207" i="15"/>
  <c r="H208" i="15"/>
  <c r="H209" i="15"/>
  <c r="H210" i="15"/>
  <c r="H211" i="15"/>
  <c r="H212" i="15"/>
  <c r="H213" i="15"/>
  <c r="H214" i="15"/>
  <c r="H215" i="15"/>
  <c r="H216" i="15"/>
  <c r="H217" i="15"/>
  <c r="H218" i="15"/>
  <c r="H219" i="15"/>
  <c r="H220" i="15"/>
  <c r="H221" i="15"/>
  <c r="H222" i="15"/>
  <c r="H223" i="15"/>
  <c r="H224" i="15"/>
  <c r="H225" i="15"/>
  <c r="H226" i="15"/>
  <c r="H227" i="15"/>
  <c r="H228" i="15"/>
  <c r="H229" i="15"/>
  <c r="H230" i="15"/>
  <c r="H231" i="15"/>
  <c r="H232" i="15"/>
  <c r="H233" i="15"/>
  <c r="H234" i="15"/>
  <c r="H235" i="15"/>
  <c r="H236" i="15"/>
  <c r="H237" i="15"/>
  <c r="H238" i="15"/>
  <c r="H239" i="15"/>
  <c r="H240" i="15"/>
  <c r="H241" i="15"/>
  <c r="H242" i="15"/>
  <c r="H243" i="15"/>
  <c r="H244" i="15"/>
  <c r="H245" i="15"/>
  <c r="H246" i="15"/>
  <c r="H247" i="15"/>
  <c r="H248" i="15"/>
  <c r="H249" i="15"/>
  <c r="H250" i="15"/>
  <c r="H251" i="15"/>
  <c r="H252" i="15"/>
  <c r="H253" i="15"/>
  <c r="H254" i="15"/>
  <c r="H255" i="15"/>
  <c r="H256" i="15"/>
  <c r="H257" i="15"/>
  <c r="H258" i="15"/>
  <c r="H259" i="15"/>
  <c r="H260" i="15"/>
  <c r="H261" i="15"/>
  <c r="H262" i="15"/>
  <c r="H263" i="15"/>
  <c r="H264" i="15"/>
  <c r="H265" i="15"/>
  <c r="H266" i="15"/>
  <c r="H267" i="15"/>
  <c r="H268" i="15"/>
  <c r="H269" i="15"/>
  <c r="H270" i="15"/>
  <c r="H271" i="15"/>
  <c r="H272" i="15"/>
  <c r="H273" i="15"/>
  <c r="H274" i="15"/>
  <c r="H275" i="15"/>
  <c r="H276" i="15"/>
  <c r="H277" i="15"/>
  <c r="H278" i="15"/>
  <c r="H279" i="15"/>
  <c r="H280" i="15"/>
  <c r="H281" i="15"/>
  <c r="H282" i="15"/>
  <c r="H283" i="15"/>
  <c r="H284" i="15"/>
  <c r="H285" i="15"/>
  <c r="H286" i="15"/>
  <c r="H287" i="15"/>
  <c r="H288" i="15"/>
  <c r="H289" i="15"/>
  <c r="H290" i="15"/>
  <c r="H291" i="15"/>
  <c r="H292" i="15"/>
  <c r="H293" i="15"/>
  <c r="H294" i="15"/>
  <c r="H295" i="15"/>
  <c r="H296" i="15"/>
  <c r="H297" i="15"/>
  <c r="H298" i="15"/>
  <c r="H299" i="15"/>
  <c r="H300" i="15"/>
  <c r="H301" i="15"/>
  <c r="H302" i="15"/>
  <c r="H303" i="15"/>
  <c r="H304" i="15"/>
  <c r="H305" i="15"/>
  <c r="H306" i="15"/>
  <c r="H307" i="15"/>
  <c r="H308" i="15"/>
  <c r="H309" i="15"/>
  <c r="H310" i="15"/>
  <c r="H311" i="15"/>
  <c r="H312" i="15"/>
  <c r="H313" i="15"/>
  <c r="H314" i="15"/>
  <c r="H315" i="15"/>
  <c r="H316" i="15"/>
  <c r="H317" i="15"/>
  <c r="H318" i="15"/>
  <c r="H319" i="15"/>
  <c r="H320" i="15"/>
  <c r="H321" i="15"/>
  <c r="H322" i="15"/>
  <c r="H323" i="15"/>
  <c r="H324" i="15"/>
  <c r="H325" i="15"/>
  <c r="H326" i="15"/>
  <c r="H327" i="15"/>
  <c r="H328" i="15"/>
  <c r="H329" i="15"/>
  <c r="H330" i="15"/>
  <c r="H331" i="15"/>
  <c r="H332" i="15"/>
  <c r="H333" i="15"/>
  <c r="H334" i="15"/>
  <c r="H335" i="15"/>
  <c r="H336" i="15"/>
  <c r="H337" i="15"/>
  <c r="H338" i="15"/>
  <c r="H339" i="15"/>
  <c r="H340" i="15"/>
  <c r="H341" i="15"/>
  <c r="H342" i="15"/>
  <c r="H343" i="15"/>
  <c r="H344" i="15"/>
  <c r="H345" i="15"/>
  <c r="H346" i="15"/>
  <c r="H347" i="15"/>
  <c r="H348" i="15"/>
  <c r="H349" i="15"/>
  <c r="H350" i="15"/>
  <c r="H351" i="15"/>
  <c r="H352" i="15"/>
  <c r="H353" i="15"/>
  <c r="H354" i="15"/>
  <c r="H355" i="15"/>
  <c r="H356" i="15"/>
  <c r="H357" i="15"/>
  <c r="H358" i="15"/>
  <c r="H359" i="15"/>
  <c r="H360" i="15"/>
  <c r="H361" i="15"/>
  <c r="H362" i="15"/>
  <c r="H363" i="15"/>
  <c r="H364" i="15"/>
  <c r="H365" i="15"/>
  <c r="H366" i="15"/>
  <c r="H367" i="15"/>
  <c r="H368" i="15"/>
  <c r="H369" i="15"/>
  <c r="H370" i="15"/>
  <c r="H371" i="15"/>
  <c r="H372" i="15"/>
  <c r="H373" i="15"/>
  <c r="H374" i="15"/>
  <c r="H375" i="15"/>
  <c r="H376" i="15"/>
  <c r="H377" i="15"/>
  <c r="H378" i="15"/>
  <c r="H379" i="15"/>
  <c r="H380" i="15"/>
  <c r="H381" i="15"/>
  <c r="H382" i="15"/>
  <c r="H383" i="15"/>
  <c r="H384" i="15"/>
  <c r="H385" i="15"/>
  <c r="H386" i="15"/>
  <c r="H387" i="15"/>
  <c r="H388" i="15"/>
  <c r="H389" i="15"/>
  <c r="H390" i="15"/>
  <c r="H391" i="15"/>
  <c r="H392" i="15"/>
  <c r="H393" i="15"/>
  <c r="H394" i="15"/>
  <c r="H395" i="15"/>
  <c r="H396" i="15"/>
  <c r="H397" i="15"/>
  <c r="H398" i="15"/>
  <c r="H399" i="15"/>
  <c r="H400" i="15"/>
  <c r="H401" i="15"/>
  <c r="H402" i="15"/>
  <c r="H403" i="15"/>
  <c r="H404" i="15"/>
  <c r="H405" i="15"/>
  <c r="H406" i="15"/>
  <c r="H407" i="15"/>
  <c r="H408" i="15"/>
  <c r="H409" i="15"/>
  <c r="H410" i="15"/>
  <c r="H411" i="15"/>
  <c r="H412" i="15"/>
  <c r="H413" i="15"/>
  <c r="H414" i="15"/>
  <c r="H415" i="15"/>
  <c r="H416" i="15"/>
  <c r="H417" i="15"/>
  <c r="H418" i="15"/>
  <c r="H419" i="15"/>
  <c r="H420" i="15"/>
  <c r="H421" i="15"/>
  <c r="H422" i="15"/>
  <c r="H423" i="15"/>
  <c r="H424" i="15"/>
  <c r="H425" i="15"/>
  <c r="H426" i="15"/>
  <c r="H427" i="15"/>
  <c r="H428" i="15"/>
  <c r="H429" i="15"/>
  <c r="H430" i="15"/>
  <c r="H431" i="15"/>
  <c r="H432" i="15"/>
  <c r="H433" i="15"/>
  <c r="H434" i="15"/>
  <c r="H435" i="15"/>
  <c r="H436" i="15"/>
  <c r="H437" i="15"/>
  <c r="H438" i="15"/>
  <c r="H439" i="15"/>
  <c r="H440" i="15"/>
  <c r="H441" i="15"/>
  <c r="H442" i="15"/>
  <c r="H443" i="15"/>
  <c r="H444" i="15"/>
  <c r="H445" i="15"/>
  <c r="H446" i="15"/>
  <c r="H447" i="15"/>
  <c r="H448" i="15"/>
  <c r="H449" i="15"/>
  <c r="H450" i="15"/>
  <c r="H451" i="15"/>
  <c r="H452" i="15"/>
  <c r="H453" i="15"/>
  <c r="H454" i="15"/>
  <c r="H455" i="15"/>
  <c r="H456" i="15"/>
  <c r="H457" i="15"/>
  <c r="H458" i="15"/>
  <c r="H459" i="15"/>
  <c r="H460" i="15"/>
  <c r="H461" i="15"/>
  <c r="H462" i="15"/>
  <c r="H463" i="15"/>
  <c r="H464" i="15"/>
  <c r="H465" i="15"/>
  <c r="H466" i="15"/>
  <c r="H467" i="15"/>
  <c r="H468" i="15"/>
  <c r="H469" i="15"/>
  <c r="H470" i="15"/>
  <c r="H471" i="15"/>
  <c r="H472" i="15"/>
  <c r="H473" i="15"/>
  <c r="H474" i="15"/>
  <c r="H475" i="15"/>
  <c r="H476" i="15"/>
  <c r="H477" i="15"/>
  <c r="H478" i="15"/>
  <c r="H479" i="15"/>
  <c r="H480" i="15"/>
  <c r="H481" i="15"/>
  <c r="H482" i="15"/>
  <c r="H483" i="15"/>
  <c r="H484" i="15"/>
  <c r="H485" i="15"/>
  <c r="H486" i="15"/>
  <c r="H487" i="15"/>
  <c r="H488" i="15"/>
  <c r="H489" i="15"/>
  <c r="H490" i="15"/>
  <c r="H491" i="15"/>
  <c r="H492" i="15"/>
  <c r="H493" i="15"/>
  <c r="H494" i="15"/>
  <c r="H495" i="15"/>
  <c r="H496" i="15"/>
  <c r="H497" i="15"/>
  <c r="H498" i="15"/>
  <c r="H499" i="15"/>
  <c r="H500" i="15"/>
  <c r="H501" i="15"/>
  <c r="H502" i="15"/>
  <c r="H503" i="15"/>
  <c r="H504" i="15"/>
  <c r="H505" i="15"/>
  <c r="H506" i="15"/>
  <c r="H507" i="15"/>
  <c r="H508" i="15"/>
  <c r="H509" i="15"/>
  <c r="H510" i="15"/>
  <c r="H511" i="15"/>
  <c r="H512" i="15"/>
  <c r="H513" i="15"/>
  <c r="H514" i="15"/>
  <c r="H515" i="15"/>
  <c r="H516" i="15"/>
  <c r="H517" i="15"/>
  <c r="H518" i="15"/>
  <c r="H519" i="15"/>
  <c r="H520" i="15"/>
  <c r="H521" i="15"/>
  <c r="H522" i="15"/>
  <c r="H523" i="15"/>
  <c r="H524" i="15"/>
  <c r="H525" i="15"/>
  <c r="H526" i="15"/>
  <c r="H527" i="15"/>
  <c r="H528" i="15"/>
  <c r="H529" i="15"/>
  <c r="H530" i="15"/>
  <c r="H531" i="15"/>
  <c r="H532" i="15"/>
  <c r="H533" i="15"/>
  <c r="H534" i="15"/>
  <c r="H535" i="15"/>
  <c r="H536" i="15"/>
  <c r="H537" i="15"/>
  <c r="H538" i="15"/>
  <c r="H539" i="15"/>
  <c r="H540" i="15"/>
  <c r="H541" i="15"/>
  <c r="H542" i="15"/>
  <c r="H543" i="15"/>
  <c r="H544" i="15"/>
  <c r="H545" i="15"/>
  <c r="H546" i="15"/>
  <c r="H547" i="15"/>
  <c r="H548" i="15"/>
  <c r="H549" i="15"/>
  <c r="H550" i="15"/>
  <c r="H551" i="15"/>
  <c r="H552" i="15"/>
  <c r="H553" i="15"/>
  <c r="H554" i="15"/>
  <c r="H555" i="15"/>
  <c r="H556" i="15"/>
  <c r="H557" i="15"/>
  <c r="H558" i="15"/>
  <c r="H559" i="15"/>
  <c r="H560" i="15"/>
  <c r="H561" i="15"/>
  <c r="H562" i="15"/>
  <c r="H563" i="15"/>
  <c r="H564" i="15"/>
  <c r="H565" i="15"/>
  <c r="H566" i="15"/>
  <c r="H567" i="15"/>
  <c r="H568" i="15"/>
  <c r="H569" i="15"/>
  <c r="H570" i="15"/>
  <c r="H571" i="15"/>
  <c r="H572" i="15"/>
  <c r="H573" i="15"/>
  <c r="H574" i="15"/>
  <c r="H575" i="15"/>
  <c r="H576" i="15"/>
  <c r="H577" i="15"/>
  <c r="H578" i="15"/>
  <c r="H579" i="15"/>
  <c r="H580" i="15"/>
  <c r="H581" i="15"/>
  <c r="H582" i="15"/>
  <c r="H583" i="15"/>
  <c r="H584" i="15"/>
  <c r="H585" i="15"/>
  <c r="H586" i="15"/>
  <c r="H587" i="15"/>
  <c r="H588" i="15"/>
  <c r="H589" i="15"/>
  <c r="H590" i="15"/>
  <c r="H591" i="15"/>
  <c r="H592" i="15"/>
  <c r="H593" i="15"/>
  <c r="H594" i="15"/>
  <c r="H595" i="15"/>
  <c r="H596" i="15"/>
  <c r="H597" i="15"/>
  <c r="H598" i="15"/>
  <c r="H599" i="15"/>
  <c r="H600" i="15"/>
  <c r="H601" i="15"/>
  <c r="H602" i="15"/>
  <c r="H603" i="15"/>
  <c r="H604" i="15"/>
  <c r="H605" i="15"/>
  <c r="H606" i="15"/>
  <c r="H607" i="15"/>
  <c r="H608" i="15"/>
  <c r="H609" i="15"/>
  <c r="H610" i="15"/>
  <c r="H611" i="15"/>
  <c r="H612" i="15"/>
  <c r="H613" i="15"/>
  <c r="H614" i="15"/>
  <c r="H615" i="15"/>
  <c r="H616" i="15"/>
  <c r="H617" i="15"/>
  <c r="H618" i="15"/>
  <c r="H619" i="15"/>
  <c r="H620" i="15"/>
  <c r="H621" i="15"/>
  <c r="H622" i="15"/>
  <c r="H623" i="15"/>
  <c r="H624" i="15"/>
  <c r="H625" i="15"/>
  <c r="H626" i="15"/>
  <c r="H627" i="15"/>
  <c r="H628" i="15"/>
  <c r="H629" i="15"/>
  <c r="H630" i="15"/>
  <c r="H631" i="15"/>
  <c r="H632" i="15"/>
  <c r="H633" i="15"/>
  <c r="H634" i="15"/>
  <c r="H635" i="15"/>
  <c r="H636" i="15"/>
  <c r="H637" i="15"/>
  <c r="H638" i="15"/>
  <c r="H639" i="15"/>
  <c r="H640" i="15"/>
  <c r="H641" i="15"/>
  <c r="H642" i="15"/>
  <c r="H643" i="15"/>
  <c r="H644" i="15"/>
  <c r="H645" i="15"/>
  <c r="H646" i="15"/>
  <c r="H647" i="15"/>
  <c r="H648" i="15"/>
  <c r="H649" i="15"/>
  <c r="H650" i="15"/>
  <c r="H651" i="15"/>
  <c r="H652" i="15"/>
  <c r="H653" i="15"/>
  <c r="H654" i="15"/>
  <c r="H655" i="15"/>
  <c r="H656" i="15"/>
  <c r="H657" i="15"/>
  <c r="H658" i="15"/>
  <c r="H659" i="15"/>
  <c r="H660" i="15"/>
  <c r="H661" i="15"/>
  <c r="H662" i="15"/>
  <c r="H663" i="15"/>
  <c r="H664" i="15"/>
  <c r="H665" i="15"/>
  <c r="H666" i="15"/>
  <c r="H667" i="15"/>
  <c r="H668" i="15"/>
  <c r="H669" i="15"/>
  <c r="H670" i="15"/>
  <c r="H671" i="15"/>
  <c r="H672" i="15"/>
  <c r="H673" i="15"/>
  <c r="H674" i="15"/>
  <c r="H675" i="15"/>
  <c r="H676" i="15"/>
  <c r="H677" i="15"/>
  <c r="H678" i="15"/>
  <c r="H679" i="15"/>
  <c r="H680" i="15"/>
  <c r="H681" i="15"/>
  <c r="H682" i="15"/>
  <c r="H683" i="15"/>
  <c r="H684" i="15"/>
  <c r="H685" i="15"/>
  <c r="H686" i="15"/>
  <c r="H687" i="15"/>
  <c r="H688" i="15"/>
  <c r="H689" i="15"/>
  <c r="H690" i="15"/>
  <c r="H691" i="15"/>
  <c r="H692" i="15"/>
  <c r="H693" i="15"/>
  <c r="H694" i="15"/>
  <c r="H695" i="15"/>
  <c r="H696" i="15"/>
  <c r="H697" i="15"/>
  <c r="H698" i="15"/>
  <c r="H699" i="15"/>
  <c r="H700" i="15"/>
  <c r="H701" i="15"/>
  <c r="H702" i="15"/>
  <c r="H703" i="15"/>
  <c r="H704" i="15"/>
  <c r="H705" i="15"/>
  <c r="H706" i="15"/>
  <c r="H707" i="15"/>
  <c r="H708" i="15"/>
  <c r="H709" i="15"/>
  <c r="H710" i="15"/>
  <c r="H711" i="15"/>
  <c r="H712" i="15"/>
  <c r="H713" i="15"/>
  <c r="H714" i="15"/>
  <c r="H715" i="15"/>
  <c r="H716" i="15"/>
  <c r="H717" i="15"/>
  <c r="H718" i="15"/>
  <c r="H719" i="15"/>
  <c r="H720" i="15"/>
  <c r="H721" i="15"/>
  <c r="H722" i="15"/>
  <c r="H723" i="15"/>
  <c r="H724" i="15"/>
  <c r="H725" i="15"/>
  <c r="H726" i="15"/>
  <c r="H727" i="15"/>
  <c r="H728" i="15"/>
  <c r="H729" i="15"/>
  <c r="H730" i="15"/>
  <c r="H731" i="15"/>
  <c r="H732" i="15"/>
  <c r="H733" i="15"/>
  <c r="H734" i="15"/>
  <c r="H735" i="15"/>
  <c r="H736" i="15"/>
  <c r="H737" i="15"/>
  <c r="H738" i="15"/>
  <c r="H739" i="15"/>
  <c r="H740" i="15"/>
  <c r="H741" i="15"/>
  <c r="H742" i="15"/>
  <c r="H743" i="15"/>
  <c r="H744" i="15"/>
  <c r="H745" i="15"/>
  <c r="H746" i="15"/>
  <c r="H747" i="15"/>
  <c r="H748" i="15"/>
  <c r="H749" i="15"/>
  <c r="H750" i="15"/>
  <c r="H751" i="15"/>
  <c r="H752" i="15"/>
  <c r="H753" i="15"/>
  <c r="H754" i="15"/>
  <c r="H755" i="15"/>
  <c r="H756" i="15"/>
  <c r="H757" i="15"/>
  <c r="H758" i="15"/>
  <c r="H759" i="15"/>
  <c r="H760" i="15"/>
  <c r="H761" i="15"/>
  <c r="H762" i="15"/>
  <c r="H763" i="15"/>
  <c r="H764" i="15"/>
  <c r="H765" i="15"/>
  <c r="H766" i="15"/>
  <c r="H767" i="15"/>
  <c r="H768" i="15"/>
  <c r="H769" i="15"/>
  <c r="H770" i="15"/>
  <c r="H771" i="15"/>
  <c r="H772" i="15"/>
  <c r="H773" i="15"/>
  <c r="H774" i="15"/>
  <c r="H775" i="15"/>
  <c r="H776" i="15"/>
  <c r="H777" i="15"/>
  <c r="H778" i="15"/>
  <c r="H779" i="15"/>
  <c r="H780" i="15"/>
  <c r="H781" i="15"/>
  <c r="H782" i="15"/>
  <c r="H783" i="15"/>
  <c r="H784" i="15"/>
  <c r="H785" i="15"/>
  <c r="H786" i="15"/>
  <c r="H787" i="15"/>
  <c r="H788" i="15"/>
  <c r="H789" i="15"/>
  <c r="H790" i="15"/>
  <c r="H791" i="15"/>
  <c r="H792" i="15"/>
  <c r="H793" i="15"/>
  <c r="H794" i="15"/>
  <c r="H795" i="15"/>
  <c r="H796" i="15"/>
  <c r="H797" i="15"/>
  <c r="H798" i="15"/>
  <c r="H799" i="15"/>
  <c r="H800" i="15"/>
  <c r="H801" i="15"/>
  <c r="H802" i="15"/>
  <c r="H803" i="15"/>
  <c r="H804" i="15"/>
  <c r="H805" i="15"/>
  <c r="H806" i="15"/>
  <c r="H807" i="15"/>
  <c r="H808" i="15"/>
  <c r="H809" i="15"/>
  <c r="H810" i="15"/>
  <c r="H811" i="15"/>
  <c r="H812" i="15"/>
  <c r="H813" i="15"/>
  <c r="H814" i="15"/>
  <c r="H815" i="15"/>
  <c r="H816" i="15"/>
  <c r="H817" i="15"/>
  <c r="H818" i="15"/>
  <c r="H819" i="15"/>
  <c r="H820" i="15"/>
  <c r="H821" i="15"/>
  <c r="H822" i="15"/>
  <c r="H823" i="15"/>
  <c r="H824" i="15"/>
  <c r="H825" i="15"/>
  <c r="H826" i="15"/>
  <c r="H827" i="15"/>
  <c r="H828" i="15"/>
  <c r="H829" i="15"/>
  <c r="H830" i="15"/>
  <c r="H831" i="15"/>
  <c r="H832" i="15"/>
  <c r="H833" i="15"/>
  <c r="H834" i="15"/>
  <c r="H835" i="15"/>
  <c r="H836" i="15"/>
  <c r="H837" i="15"/>
  <c r="H838" i="15"/>
  <c r="H839" i="15"/>
  <c r="H840" i="15"/>
  <c r="H841" i="15"/>
  <c r="H842" i="15"/>
  <c r="H843" i="15"/>
  <c r="H844" i="15"/>
  <c r="H845" i="15"/>
  <c r="H846" i="15"/>
  <c r="H847" i="15"/>
  <c r="H848" i="15"/>
  <c r="H849" i="15"/>
  <c r="H850" i="15"/>
  <c r="H851" i="15"/>
  <c r="H852" i="15"/>
  <c r="H853" i="15"/>
  <c r="H854" i="15"/>
  <c r="H855" i="15"/>
  <c r="H856" i="15"/>
  <c r="H857" i="15"/>
  <c r="H858" i="15"/>
  <c r="H859" i="15"/>
  <c r="H860" i="15"/>
  <c r="H861" i="15"/>
  <c r="H862" i="15"/>
  <c r="H863" i="15"/>
  <c r="H864" i="15"/>
  <c r="H865" i="15"/>
  <c r="H866" i="15"/>
  <c r="H867" i="15"/>
  <c r="H868" i="15"/>
  <c r="H869" i="15"/>
  <c r="H870" i="15"/>
  <c r="H871" i="15"/>
  <c r="H872" i="15"/>
  <c r="H873" i="15"/>
  <c r="H874" i="15"/>
  <c r="H875" i="15"/>
  <c r="H876" i="15"/>
  <c r="H877" i="15"/>
  <c r="H878" i="15"/>
  <c r="H879" i="15"/>
  <c r="H880" i="15"/>
  <c r="H881" i="15"/>
  <c r="H882" i="15"/>
  <c r="H883" i="15"/>
  <c r="H884" i="15"/>
  <c r="H885" i="15"/>
  <c r="H886" i="15"/>
  <c r="H887" i="15"/>
  <c r="H888" i="15"/>
  <c r="H889" i="15"/>
  <c r="H890" i="15"/>
  <c r="H891" i="15"/>
  <c r="H892" i="15"/>
  <c r="H893" i="15"/>
  <c r="H894" i="15"/>
  <c r="H895" i="15"/>
  <c r="H896" i="15"/>
  <c r="H897" i="15"/>
  <c r="H898" i="15"/>
  <c r="H899" i="15"/>
  <c r="H900" i="15"/>
  <c r="H901" i="15"/>
  <c r="H902" i="15"/>
  <c r="H903" i="15"/>
  <c r="H904" i="15"/>
  <c r="H905" i="15"/>
  <c r="H906" i="15"/>
  <c r="H907" i="15"/>
  <c r="H908" i="15"/>
  <c r="H909" i="15"/>
  <c r="H910" i="15"/>
  <c r="H911" i="15"/>
  <c r="H912" i="15"/>
  <c r="H913" i="15"/>
  <c r="H914" i="15"/>
  <c r="H915" i="15"/>
  <c r="H916" i="15"/>
  <c r="H917" i="15"/>
  <c r="H918" i="15"/>
  <c r="H919" i="15"/>
  <c r="H920" i="15"/>
  <c r="H921" i="15"/>
  <c r="H922" i="15"/>
  <c r="H923" i="15"/>
  <c r="H924" i="15"/>
  <c r="H925" i="15"/>
  <c r="H926" i="15"/>
  <c r="H927" i="15"/>
  <c r="H928" i="15"/>
  <c r="H929" i="15"/>
  <c r="H930" i="15"/>
  <c r="H931" i="15"/>
  <c r="H932" i="15"/>
  <c r="H933" i="15"/>
  <c r="H934" i="15"/>
  <c r="H935" i="15"/>
  <c r="H936" i="15"/>
  <c r="H937" i="15"/>
  <c r="H938" i="15"/>
  <c r="H939" i="15"/>
  <c r="H940" i="15"/>
  <c r="H941" i="15"/>
  <c r="H942" i="15"/>
  <c r="H943" i="15"/>
  <c r="H944" i="15"/>
  <c r="H945" i="15"/>
  <c r="H946" i="15"/>
  <c r="H947" i="15"/>
  <c r="H948" i="15"/>
  <c r="H949" i="15"/>
  <c r="H950" i="15"/>
  <c r="H951" i="15"/>
  <c r="H952" i="15"/>
  <c r="H953" i="15"/>
  <c r="H954" i="15"/>
  <c r="H955" i="15"/>
  <c r="H956" i="15"/>
  <c r="H957" i="15"/>
  <c r="H958" i="15"/>
  <c r="H959" i="15"/>
  <c r="H960" i="15"/>
  <c r="H961" i="15"/>
  <c r="H962" i="15"/>
  <c r="H963" i="15"/>
  <c r="H964" i="15"/>
  <c r="H965" i="15"/>
  <c r="H966" i="15"/>
  <c r="H967" i="15"/>
  <c r="H968" i="15"/>
  <c r="H969" i="15"/>
  <c r="H970" i="15"/>
  <c r="H971" i="15"/>
  <c r="H972" i="15"/>
  <c r="H973" i="15"/>
  <c r="H974" i="15"/>
  <c r="H975" i="15"/>
  <c r="H976" i="15"/>
  <c r="H977" i="15"/>
  <c r="H978" i="15"/>
  <c r="H979" i="15"/>
  <c r="H980" i="15"/>
  <c r="H981" i="15"/>
  <c r="H982" i="15"/>
  <c r="H983" i="15"/>
  <c r="H984" i="15"/>
  <c r="H985" i="15"/>
  <c r="H986" i="15"/>
  <c r="H987" i="15"/>
  <c r="H988" i="15"/>
  <c r="H989" i="15"/>
  <c r="H990" i="15"/>
  <c r="H991" i="15"/>
  <c r="H992" i="15"/>
  <c r="H993" i="15"/>
  <c r="H994" i="15"/>
  <c r="H995" i="15"/>
  <c r="H996" i="15"/>
  <c r="H997" i="15"/>
  <c r="H998" i="15"/>
  <c r="H999" i="15"/>
  <c r="H1000" i="15"/>
  <c r="H1001" i="15"/>
  <c r="H1002" i="15"/>
  <c r="H1003" i="15"/>
  <c r="H1004" i="15"/>
  <c r="H1005" i="15"/>
  <c r="H1006" i="15"/>
  <c r="H1007" i="15"/>
  <c r="H1008" i="15"/>
  <c r="H1009" i="15"/>
  <c r="H1010" i="15"/>
  <c r="H1011" i="15"/>
  <c r="H1012" i="15"/>
  <c r="H1013" i="15"/>
  <c r="H1014" i="15"/>
  <c r="H1015" i="15"/>
  <c r="H1016" i="15"/>
  <c r="H1017" i="15"/>
  <c r="H1018" i="15"/>
  <c r="H1019" i="15"/>
  <c r="H1020" i="15"/>
  <c r="H1021" i="15"/>
  <c r="H1022" i="15"/>
  <c r="H1023" i="15"/>
  <c r="H1024" i="15"/>
  <c r="H1025" i="15"/>
  <c r="H1026" i="15"/>
  <c r="H1027" i="15"/>
  <c r="H1028" i="15"/>
  <c r="H1029" i="15"/>
  <c r="H1030" i="15"/>
  <c r="H1031" i="15"/>
  <c r="H1032" i="15"/>
  <c r="H1033" i="15"/>
  <c r="H1034" i="15"/>
  <c r="H1035" i="15"/>
  <c r="H1036" i="15"/>
  <c r="H1037" i="15"/>
  <c r="H1038" i="15"/>
  <c r="H1039" i="15"/>
  <c r="H1040" i="15"/>
  <c r="H1041" i="15"/>
  <c r="H1042" i="15"/>
  <c r="H1043" i="15"/>
  <c r="H1044" i="15"/>
  <c r="H1045" i="15"/>
  <c r="H1046" i="15"/>
  <c r="H1047" i="15"/>
  <c r="H1048" i="15"/>
  <c r="H1049" i="15"/>
  <c r="H1050" i="15"/>
  <c r="H1051" i="15"/>
  <c r="H1052" i="15"/>
  <c r="H1053" i="15"/>
  <c r="H1054" i="15"/>
  <c r="H1055" i="15"/>
  <c r="H1056" i="15"/>
  <c r="H1057" i="15"/>
  <c r="H1058" i="15"/>
  <c r="H1059" i="15"/>
  <c r="H1060" i="15"/>
  <c r="H1061" i="15"/>
  <c r="H1062" i="15"/>
  <c r="H1063" i="15"/>
  <c r="H1064" i="15"/>
  <c r="H1065" i="15"/>
  <c r="H1066" i="15"/>
  <c r="H1067" i="15"/>
  <c r="H1068" i="15"/>
  <c r="H1069" i="15"/>
  <c r="H1070" i="15"/>
  <c r="H1071" i="15"/>
  <c r="H1072" i="15"/>
  <c r="H1073" i="15"/>
  <c r="H1074" i="15"/>
  <c r="H1075" i="15"/>
  <c r="H1076" i="15"/>
  <c r="H1077" i="15"/>
  <c r="H1078" i="15"/>
  <c r="H1079" i="15"/>
  <c r="H1080" i="15"/>
  <c r="H1081" i="15"/>
  <c r="H1082" i="15"/>
  <c r="H1083" i="15"/>
  <c r="H1084" i="15"/>
  <c r="H1085" i="15"/>
  <c r="H1086" i="15"/>
  <c r="H1087" i="15"/>
  <c r="H1088" i="15"/>
  <c r="H1089" i="15"/>
  <c r="H1090" i="15"/>
  <c r="H1091" i="15"/>
  <c r="H1092" i="15"/>
  <c r="H1093" i="15"/>
  <c r="H1094" i="15"/>
  <c r="H1095" i="15"/>
  <c r="H1096" i="15"/>
  <c r="H1097" i="15"/>
  <c r="H1098" i="15"/>
  <c r="H1099" i="15"/>
  <c r="H1100" i="15"/>
  <c r="H1101" i="15"/>
  <c r="H1102" i="15"/>
  <c r="H1103" i="15"/>
  <c r="H1104" i="15"/>
  <c r="H1105" i="15"/>
  <c r="H1106" i="15"/>
  <c r="H1107" i="15"/>
  <c r="H1108" i="15"/>
  <c r="H1109" i="15"/>
  <c r="H1110" i="15"/>
  <c r="H1111" i="15"/>
  <c r="H1112" i="15"/>
  <c r="H1113" i="15"/>
  <c r="H1114" i="15"/>
  <c r="H1115" i="15"/>
  <c r="H1116" i="15"/>
  <c r="H1117" i="15"/>
  <c r="H1118" i="15"/>
  <c r="H1119" i="15"/>
  <c r="H1120" i="15"/>
  <c r="H1121" i="15"/>
  <c r="H1122" i="15"/>
  <c r="H1123" i="15"/>
  <c r="H1124" i="15"/>
  <c r="H1125" i="15"/>
  <c r="H1126" i="15"/>
  <c r="H1127" i="15"/>
  <c r="H1128" i="15"/>
  <c r="H1129" i="15"/>
  <c r="H1130" i="15"/>
  <c r="H1131" i="15"/>
  <c r="H1132" i="15"/>
  <c r="H1133" i="15"/>
  <c r="H1134" i="15"/>
  <c r="H1135" i="15"/>
  <c r="H1136" i="15"/>
  <c r="H1137" i="15"/>
  <c r="H1138" i="15"/>
  <c r="H1139" i="15"/>
  <c r="H1140" i="15"/>
  <c r="H1141" i="15"/>
  <c r="H1142" i="15"/>
  <c r="H1143" i="15"/>
  <c r="H1144" i="15"/>
  <c r="H1145" i="15"/>
  <c r="H1146" i="15"/>
  <c r="H1147" i="15"/>
  <c r="H1148" i="15"/>
  <c r="H1149" i="15"/>
  <c r="H1150" i="15"/>
  <c r="H1151" i="15"/>
  <c r="H1152" i="15"/>
  <c r="H1153" i="15"/>
  <c r="H1154" i="15"/>
  <c r="H1155" i="15"/>
  <c r="H1156" i="15"/>
  <c r="H1157" i="15"/>
  <c r="H1158" i="15"/>
  <c r="H1159" i="15"/>
  <c r="H1160" i="15"/>
  <c r="H1161" i="15"/>
  <c r="H1162" i="15"/>
  <c r="H1163" i="15"/>
  <c r="H1164" i="15"/>
  <c r="H1165" i="15"/>
  <c r="H1166" i="15"/>
  <c r="H1167" i="15"/>
  <c r="H1168" i="15"/>
  <c r="H1169" i="15"/>
  <c r="H1170" i="15"/>
  <c r="H1171" i="15"/>
  <c r="H1172" i="15"/>
  <c r="H1173" i="15"/>
  <c r="H1174" i="15"/>
  <c r="H1175" i="15"/>
  <c r="H1176" i="15"/>
  <c r="H1177" i="15"/>
  <c r="H1178" i="15"/>
  <c r="H1179" i="15"/>
  <c r="H1180" i="15"/>
  <c r="H1181" i="15"/>
  <c r="H1182" i="15"/>
  <c r="H1183" i="15"/>
  <c r="H1184" i="15"/>
  <c r="H1185" i="15"/>
  <c r="H1186" i="15"/>
  <c r="H1187" i="15"/>
  <c r="H1188" i="15"/>
  <c r="H1189" i="15"/>
  <c r="H1190" i="15"/>
  <c r="H1191" i="15"/>
  <c r="H1192" i="15"/>
  <c r="H1193" i="15"/>
  <c r="H1194" i="15"/>
  <c r="H1195" i="15"/>
  <c r="H1196" i="15"/>
  <c r="H1197" i="15"/>
  <c r="H1198" i="15"/>
  <c r="H1199" i="15"/>
  <c r="H1200" i="15"/>
  <c r="H1201" i="15"/>
  <c r="H1202" i="15"/>
  <c r="H1203" i="15"/>
  <c r="H1204" i="15"/>
  <c r="H1205" i="15"/>
  <c r="H1206" i="15"/>
  <c r="H1207" i="15"/>
  <c r="H1208" i="15"/>
  <c r="H1209" i="15"/>
  <c r="H1210" i="15"/>
  <c r="H1211" i="15"/>
  <c r="H1212" i="15"/>
  <c r="H1213" i="15"/>
  <c r="H1214" i="15"/>
  <c r="H1215" i="15"/>
  <c r="H1216" i="15"/>
  <c r="H1217" i="15"/>
  <c r="H1218" i="15"/>
  <c r="H1219" i="15"/>
  <c r="H1220" i="15"/>
  <c r="H1221" i="15"/>
  <c r="H1222" i="15"/>
  <c r="H1223" i="15"/>
  <c r="H1224" i="15"/>
  <c r="D408" i="8" l="1"/>
  <c r="D409" i="8"/>
  <c r="D1154" i="8"/>
  <c r="D378" i="8"/>
  <c r="D1155" i="8"/>
  <c r="D1156" i="8"/>
  <c r="D240" i="8"/>
  <c r="D1157" i="8"/>
  <c r="D1158" i="8"/>
  <c r="D241" i="8"/>
  <c r="D1159" i="8"/>
  <c r="D242" i="8"/>
  <c r="D243" i="8"/>
  <c r="D244" i="8"/>
  <c r="D245" i="8"/>
  <c r="D246" i="8"/>
  <c r="D247" i="8"/>
  <c r="D248" i="8"/>
  <c r="D1160" i="8"/>
  <c r="D249" i="8"/>
  <c r="D250" i="8"/>
  <c r="D1161" i="8"/>
  <c r="D251" i="8"/>
  <c r="D1162" i="8"/>
  <c r="D252" i="8"/>
  <c r="D1163" i="8"/>
  <c r="D253" i="8"/>
  <c r="D1164" i="8"/>
  <c r="D1165" i="8"/>
  <c r="D254" i="8"/>
  <c r="D1166" i="8"/>
  <c r="D1167" i="8"/>
  <c r="D410" i="8"/>
  <c r="D411" i="8"/>
  <c r="D1168" i="8"/>
  <c r="D1169" i="8"/>
  <c r="D1170" i="8"/>
  <c r="D279" i="8"/>
  <c r="D1171" i="8"/>
  <c r="D255" i="8"/>
  <c r="D256" i="8"/>
  <c r="D1172" i="8"/>
  <c r="D1173" i="8"/>
  <c r="D1174" i="8"/>
  <c r="D1175" i="8"/>
  <c r="D1176" i="8"/>
  <c r="D1177" i="8"/>
  <c r="D257" i="8"/>
  <c r="D258" i="8"/>
  <c r="D259" i="8"/>
  <c r="D260" i="8"/>
  <c r="D261" i="8"/>
  <c r="D262" i="8"/>
  <c r="D1178" i="8"/>
  <c r="D1179" i="8"/>
  <c r="D379" i="8"/>
  <c r="D380" i="8"/>
  <c r="D1180" i="8"/>
  <c r="D1181" i="8"/>
  <c r="D31" i="8"/>
  <c r="D32" i="8"/>
  <c r="D1182" i="8"/>
  <c r="D33" i="8"/>
  <c r="D1183" i="8"/>
  <c r="D34" i="8"/>
  <c r="D35" i="8"/>
  <c r="D36" i="8"/>
  <c r="D1184" i="8"/>
  <c r="D1185" i="8"/>
  <c r="D1186" i="8"/>
  <c r="D1187" i="8"/>
  <c r="D1188" i="8"/>
  <c r="D466" i="8"/>
  <c r="D1189" i="8"/>
  <c r="D1190" i="8"/>
  <c r="D1191" i="8"/>
  <c r="D1192" i="8"/>
  <c r="D292" i="8"/>
  <c r="D1193" i="8"/>
  <c r="D1194" i="8"/>
  <c r="D1195" i="8"/>
  <c r="D381" i="8"/>
  <c r="D1196" i="8"/>
  <c r="D1197" i="8"/>
  <c r="D382" i="8"/>
  <c r="D293" i="8"/>
  <c r="D1198" i="8"/>
  <c r="D1199" i="8"/>
  <c r="D1200" i="8"/>
  <c r="D1201" i="8"/>
  <c r="D1202" i="8"/>
  <c r="D294" i="8"/>
  <c r="D295" i="8"/>
  <c r="D1203" i="8"/>
  <c r="D296" i="8"/>
  <c r="D1204" i="8"/>
  <c r="D1205" i="8"/>
  <c r="D1206" i="8"/>
  <c r="D383" i="8"/>
  <c r="D1207" i="8"/>
  <c r="D1208" i="8"/>
  <c r="D297" i="8"/>
  <c r="D1209" i="8"/>
  <c r="D298" i="8"/>
  <c r="D299" i="8"/>
  <c r="D300" i="8"/>
  <c r="D1210" i="8"/>
  <c r="D37" i="8"/>
  <c r="D1211" i="8"/>
  <c r="D1212" i="8"/>
  <c r="D464" i="8"/>
  <c r="D465" i="8"/>
  <c r="G408" i="8" l="1"/>
  <c r="G409" i="8"/>
  <c r="G1154" i="8"/>
  <c r="G378" i="8"/>
  <c r="G1155" i="8"/>
  <c r="G1156" i="8"/>
  <c r="G240" i="8"/>
  <c r="G1157" i="8"/>
  <c r="G1158" i="8"/>
  <c r="G241" i="8"/>
  <c r="G1159" i="8"/>
  <c r="G242" i="8"/>
  <c r="G243" i="8"/>
  <c r="G244" i="8"/>
  <c r="G245" i="8"/>
  <c r="G248" i="8"/>
  <c r="G1160" i="8"/>
  <c r="G249" i="8"/>
  <c r="G250" i="8"/>
  <c r="G1161" i="8"/>
  <c r="G251" i="8"/>
  <c r="G1162" i="8"/>
  <c r="G252" i="8"/>
  <c r="G1163" i="8"/>
  <c r="G253" i="8"/>
  <c r="G1164" i="8"/>
  <c r="G1165" i="8"/>
  <c r="G254" i="8"/>
  <c r="G1166" i="8"/>
  <c r="G1167" i="8"/>
  <c r="G410" i="8"/>
  <c r="G411" i="8"/>
  <c r="G1168" i="8"/>
  <c r="G1169" i="8"/>
  <c r="G1170" i="8"/>
  <c r="G279" i="8"/>
  <c r="G1171" i="8"/>
  <c r="G255" i="8"/>
  <c r="G256" i="8"/>
  <c r="G1172" i="8"/>
  <c r="G1173" i="8"/>
  <c r="G1174" i="8"/>
  <c r="G1175" i="8"/>
  <c r="G1176" i="8"/>
  <c r="G1177" i="8"/>
  <c r="G257" i="8"/>
  <c r="G258" i="8"/>
  <c r="G259" i="8"/>
  <c r="G260" i="8"/>
  <c r="G261" i="8"/>
  <c r="G262" i="8"/>
  <c r="G1178" i="8"/>
  <c r="G1179" i="8"/>
  <c r="G379" i="8"/>
  <c r="G380" i="8"/>
  <c r="G1180" i="8"/>
  <c r="G1181" i="8"/>
  <c r="G31" i="8"/>
  <c r="G32" i="8"/>
  <c r="G1182" i="8"/>
  <c r="G33" i="8"/>
  <c r="G1183" i="8"/>
  <c r="G34" i="8"/>
  <c r="G35" i="8"/>
  <c r="G36" i="8"/>
  <c r="G1184" i="8"/>
  <c r="G1185" i="8"/>
  <c r="G1186" i="8"/>
  <c r="G466" i="8"/>
  <c r="G1191" i="8"/>
  <c r="G1192" i="8"/>
  <c r="G292" i="8"/>
  <c r="G1195" i="8"/>
  <c r="G381" i="8"/>
  <c r="G1196" i="8"/>
  <c r="G1197" i="8"/>
  <c r="G382" i="8"/>
  <c r="G1199" i="8"/>
  <c r="G1200" i="8"/>
  <c r="G1201" i="8"/>
  <c r="G1202" i="8"/>
  <c r="G294" i="8"/>
  <c r="G295" i="8"/>
  <c r="G1203" i="8"/>
  <c r="G383" i="8"/>
  <c r="G1207" i="8"/>
  <c r="G1208" i="8"/>
  <c r="G298" i="8"/>
  <c r="G299" i="8"/>
  <c r="G37" i="8"/>
  <c r="G1211" i="8"/>
  <c r="G1212" i="8"/>
  <c r="G296" i="8" l="1"/>
  <c r="G1204" i="8"/>
  <c r="G1193" i="8"/>
  <c r="G1194" i="8"/>
  <c r="G1187" i="8"/>
  <c r="G1188" i="8"/>
  <c r="G300" i="8"/>
  <c r="G1210" i="8"/>
  <c r="G297" i="8"/>
  <c r="G1209" i="8"/>
  <c r="G293" i="8"/>
  <c r="G1198" i="8"/>
  <c r="G1205" i="8"/>
  <c r="G1206" i="8"/>
  <c r="G464" i="8"/>
  <c r="G465" i="8"/>
  <c r="G1189" i="8"/>
  <c r="G1190" i="8"/>
  <c r="G247" i="8"/>
  <c r="G246" i="8"/>
  <c r="G101" i="8"/>
  <c r="G326" i="8"/>
  <c r="D136" i="8"/>
  <c r="D963" i="8"/>
  <c r="D52" i="8"/>
  <c r="D964" i="8"/>
  <c r="D53" i="8"/>
  <c r="D965" i="8"/>
  <c r="D54" i="8"/>
  <c r="D865" i="8"/>
  <c r="D55" i="8"/>
  <c r="D966" i="8"/>
  <c r="D315" i="8"/>
  <c r="D316" i="8"/>
  <c r="D967" i="8"/>
  <c r="D968" i="8"/>
  <c r="D317" i="8"/>
  <c r="D969" i="8"/>
  <c r="D232" i="8"/>
  <c r="D600" i="8"/>
  <c r="D137" i="8"/>
  <c r="D138" i="8"/>
  <c r="D139" i="8"/>
  <c r="D601" i="8"/>
  <c r="D602" i="8"/>
  <c r="D603" i="8"/>
  <c r="D604" i="8"/>
  <c r="D605" i="8"/>
  <c r="D268" i="8"/>
  <c r="D269" i="8"/>
  <c r="D606" i="8"/>
  <c r="D607" i="8"/>
  <c r="D608" i="8"/>
  <c r="D393" i="8"/>
  <c r="D394" i="8"/>
  <c r="D609" i="8"/>
  <c r="D610" i="8"/>
  <c r="D270" i="8"/>
  <c r="D611" i="8"/>
  <c r="D612" i="8"/>
  <c r="D613" i="8"/>
  <c r="D614" i="8"/>
  <c r="D615" i="8"/>
  <c r="D616" i="8"/>
  <c r="D617" i="8"/>
  <c r="D395" i="8"/>
  <c r="D618" i="8"/>
  <c r="D396" i="8"/>
  <c r="D619" i="8"/>
  <c r="D397" i="8"/>
  <c r="D620" i="8"/>
  <c r="D621" i="8"/>
  <c r="D622" i="8"/>
  <c r="D842" i="8"/>
  <c r="D186" i="8"/>
  <c r="D957" i="8"/>
  <c r="D318" i="8"/>
  <c r="D187" i="8"/>
  <c r="D233" i="8"/>
  <c r="D188" i="8"/>
  <c r="D970" i="8"/>
  <c r="D623" i="8"/>
  <c r="D338" i="8"/>
  <c r="D234" i="8"/>
  <c r="D235" i="8"/>
  <c r="D274" i="8"/>
  <c r="D864" i="8"/>
  <c r="D236" i="8"/>
  <c r="D355" i="8"/>
  <c r="D356" i="8"/>
  <c r="D357" i="8"/>
  <c r="D358" i="8"/>
  <c r="D237" i="8"/>
  <c r="D1086" i="8"/>
  <c r="D238" i="8"/>
  <c r="D1087" i="8"/>
  <c r="D239" i="8"/>
  <c r="D1088" i="8"/>
  <c r="D467" i="8"/>
  <c r="D826" i="8"/>
  <c r="D327" i="8"/>
  <c r="D827" i="8"/>
  <c r="D328" i="8"/>
  <c r="D843" i="8"/>
  <c r="D828" i="8"/>
  <c r="D6" i="8"/>
  <c r="D7" i="8"/>
  <c r="D8" i="8"/>
  <c r="D9" i="8"/>
  <c r="D1089" i="8"/>
  <c r="D329" i="8"/>
  <c r="D361" i="8"/>
  <c r="D362" i="8"/>
  <c r="D363" i="8"/>
  <c r="D364" i="8"/>
  <c r="D1024" i="8"/>
  <c r="D468" i="8"/>
  <c r="D469" i="8"/>
  <c r="D470" i="8"/>
  <c r="D471" i="8"/>
  <c r="D280" i="8"/>
  <c r="D1025" i="8"/>
  <c r="D472" i="8"/>
  <c r="D330" i="8"/>
  <c r="D331" i="8"/>
  <c r="D624" i="8"/>
  <c r="D625" i="8"/>
  <c r="D971" i="8"/>
  <c r="D972" i="8"/>
  <c r="D1090" i="8"/>
  <c r="D844" i="8"/>
  <c r="D1091" i="8"/>
  <c r="D365" i="8"/>
  <c r="D366" i="8"/>
  <c r="D120" i="8"/>
  <c r="D890" i="8"/>
  <c r="D891" i="8"/>
  <c r="D892" i="8"/>
  <c r="D314" i="8"/>
  <c r="D893" i="8"/>
  <c r="D894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591" i="8"/>
  <c r="D473" i="8"/>
  <c r="D476" i="8"/>
  <c r="D121" i="8"/>
  <c r="D122" i="8"/>
  <c r="D123" i="8"/>
  <c r="D124" i="8"/>
  <c r="D125" i="8"/>
  <c r="D126" i="8"/>
  <c r="D127" i="8"/>
  <c r="D81" i="8"/>
  <c r="D561" i="8"/>
  <c r="D562" i="8"/>
  <c r="D189" i="8"/>
  <c r="D190" i="8"/>
  <c r="D191" i="8"/>
  <c r="D192" i="8"/>
  <c r="D829" i="8"/>
  <c r="D830" i="8"/>
  <c r="D193" i="8"/>
  <c r="D194" i="8"/>
  <c r="D195" i="8"/>
  <c r="D196" i="8"/>
  <c r="D845" i="8"/>
  <c r="D846" i="8"/>
  <c r="D197" i="8"/>
  <c r="D198" i="8"/>
  <c r="D644" i="8"/>
  <c r="D645" i="8"/>
  <c r="D646" i="8"/>
  <c r="D647" i="8"/>
  <c r="D474" i="8"/>
  <c r="D973" i="8"/>
  <c r="D648" i="8"/>
  <c r="D974" i="8"/>
  <c r="D477" i="8"/>
  <c r="D319" i="8"/>
  <c r="D895" i="8"/>
  <c r="D896" i="8"/>
  <c r="D1026" i="8"/>
  <c r="D1027" i="8"/>
  <c r="D1028" i="8"/>
  <c r="D1029" i="8"/>
  <c r="D592" i="8"/>
  <c r="D897" i="8"/>
  <c r="D584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88" i="8"/>
  <c r="D665" i="8"/>
  <c r="D666" i="8"/>
  <c r="D667" i="8"/>
  <c r="D847" i="8"/>
  <c r="D848" i="8"/>
  <c r="D849" i="8"/>
  <c r="D850" i="8"/>
  <c r="D851" i="8"/>
  <c r="D852" i="8"/>
  <c r="D1030" i="8"/>
  <c r="D1031" i="8"/>
  <c r="D199" i="8"/>
  <c r="D853" i="8"/>
  <c r="D200" i="8"/>
  <c r="D854" i="8"/>
  <c r="D855" i="8"/>
  <c r="D856" i="8"/>
  <c r="D201" i="8"/>
  <c r="D18" i="8"/>
  <c r="D19" i="8"/>
  <c r="D20" i="8"/>
  <c r="D21" i="8"/>
  <c r="D857" i="8"/>
  <c r="D22" i="8"/>
  <c r="D499" i="8"/>
  <c r="D266" i="8"/>
  <c r="D113" i="8"/>
  <c r="D114" i="8"/>
  <c r="D115" i="8"/>
  <c r="D334" i="8"/>
  <c r="D500" i="8"/>
  <c r="D80" i="8"/>
  <c r="D501" i="8"/>
  <c r="D502" i="8"/>
  <c r="D430" i="8"/>
  <c r="D503" i="8"/>
  <c r="D504" i="8"/>
  <c r="D431" i="8"/>
  <c r="D505" i="8"/>
  <c r="D506" i="8"/>
  <c r="D507" i="8"/>
  <c r="D508" i="8"/>
  <c r="D432" i="8"/>
  <c r="D433" i="8"/>
  <c r="D509" i="8"/>
  <c r="D434" i="8"/>
  <c r="D435" i="8"/>
  <c r="D436" i="8"/>
  <c r="D437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384" i="8"/>
  <c r="D385" i="8"/>
  <c r="D386" i="8"/>
  <c r="D387" i="8"/>
  <c r="D388" i="8"/>
  <c r="D527" i="8"/>
  <c r="D528" i="8"/>
  <c r="D529" i="8"/>
  <c r="D530" i="8"/>
  <c r="D531" i="8"/>
  <c r="D532" i="8"/>
  <c r="D533" i="8"/>
  <c r="D405" i="8"/>
  <c r="D406" i="8"/>
  <c r="D1092" i="8"/>
  <c r="D407" i="8"/>
  <c r="D1093" i="8"/>
  <c r="D202" i="8"/>
  <c r="D1094" i="8"/>
  <c r="D1095" i="8"/>
  <c r="D1096" i="8"/>
  <c r="D1097" i="8"/>
  <c r="D1098" i="8"/>
  <c r="D1099" i="8"/>
  <c r="D668" i="8"/>
  <c r="D669" i="8"/>
  <c r="D670" i="8"/>
  <c r="D898" i="8"/>
  <c r="D1100" i="8"/>
  <c r="D1101" i="8"/>
  <c r="D29" i="8"/>
  <c r="D831" i="8"/>
  <c r="D10" i="8"/>
  <c r="D832" i="8"/>
  <c r="D833" i="8"/>
  <c r="D975" i="8"/>
  <c r="D976" i="8"/>
  <c r="D1102" i="8"/>
  <c r="D671" i="8"/>
  <c r="D672" i="8"/>
  <c r="D834" i="8"/>
  <c r="D835" i="8"/>
  <c r="D673" i="8"/>
  <c r="D674" i="8"/>
  <c r="D438" i="8"/>
  <c r="D439" i="8"/>
  <c r="D675" i="8"/>
  <c r="D676" i="8"/>
  <c r="D271" i="8"/>
  <c r="D677" i="8"/>
  <c r="D440" i="8"/>
  <c r="D441" i="8"/>
  <c r="D678" i="8"/>
  <c r="D679" i="8"/>
  <c r="D680" i="8"/>
  <c r="D681" i="8"/>
  <c r="D682" i="8"/>
  <c r="D683" i="8"/>
  <c r="D684" i="8"/>
  <c r="D685" i="8"/>
  <c r="D686" i="8"/>
  <c r="D1032" i="8"/>
  <c r="D30" i="8"/>
  <c r="D1150" i="8"/>
  <c r="D23" i="8"/>
  <c r="D1033" i="8"/>
  <c r="D462" i="8"/>
  <c r="D1034" i="8"/>
  <c r="D899" i="8"/>
  <c r="D900" i="8"/>
  <c r="D901" i="8"/>
  <c r="D902" i="8"/>
  <c r="D903" i="8"/>
  <c r="D536" i="8"/>
  <c r="D904" i="8"/>
  <c r="D905" i="8"/>
  <c r="D906" i="8"/>
  <c r="D907" i="8"/>
  <c r="D908" i="8"/>
  <c r="D909" i="8"/>
  <c r="D910" i="8"/>
  <c r="D911" i="8"/>
  <c r="D912" i="8"/>
  <c r="D537" i="8"/>
  <c r="D89" i="8"/>
  <c r="D359" i="8"/>
  <c r="D360" i="8"/>
  <c r="D1035" i="8"/>
  <c r="D977" i="8"/>
  <c r="D978" i="8"/>
  <c r="D979" i="8"/>
  <c r="D320" i="8"/>
  <c r="D980" i="8"/>
  <c r="D1036" i="8"/>
  <c r="D1037" i="8"/>
  <c r="D478" i="8"/>
  <c r="D1103" i="8"/>
  <c r="D1104" i="8"/>
  <c r="D479" i="8"/>
  <c r="D1105" i="8"/>
  <c r="D367" i="8"/>
  <c r="D58" i="8"/>
  <c r="D538" i="8"/>
  <c r="D563" i="8"/>
  <c r="D564" i="8"/>
  <c r="D565" i="8"/>
  <c r="D566" i="8"/>
  <c r="D59" i="8"/>
  <c r="D539" i="8"/>
  <c r="D540" i="8"/>
  <c r="D335" i="8"/>
  <c r="D567" i="8"/>
  <c r="D568" i="8"/>
  <c r="D569" i="8"/>
  <c r="D60" i="8"/>
  <c r="D570" i="8"/>
  <c r="D267" i="8"/>
  <c r="D24" i="8"/>
  <c r="D571" i="8"/>
  <c r="D572" i="8"/>
  <c r="D573" i="8"/>
  <c r="D25" i="8"/>
  <c r="D1038" i="8"/>
  <c r="D574" i="8"/>
  <c r="D575" i="8"/>
  <c r="D576" i="8"/>
  <c r="D1151" i="8"/>
  <c r="D577" i="8"/>
  <c r="D578" i="8"/>
  <c r="D579" i="8"/>
  <c r="D412" i="8"/>
  <c r="D1106" i="8"/>
  <c r="D413" i="8"/>
  <c r="D1107" i="8"/>
  <c r="D1108" i="8"/>
  <c r="D480" i="8"/>
  <c r="D481" i="8"/>
  <c r="D593" i="8"/>
  <c r="D203" i="8"/>
  <c r="D204" i="8"/>
  <c r="D205" i="8"/>
  <c r="D206" i="8"/>
  <c r="D207" i="8"/>
  <c r="D208" i="8"/>
  <c r="D209" i="8"/>
  <c r="D210" i="8"/>
  <c r="D414" i="8"/>
  <c r="D1109" i="8"/>
  <c r="D981" i="8"/>
  <c r="D459" i="8"/>
  <c r="D913" i="8"/>
  <c r="D914" i="8"/>
  <c r="D585" i="8"/>
  <c r="D586" i="8"/>
  <c r="D587" i="8"/>
  <c r="D588" i="8"/>
  <c r="D336" i="8"/>
  <c r="D1110" i="8"/>
  <c r="D1111" i="8"/>
  <c r="D389" i="8"/>
  <c r="D390" i="8"/>
  <c r="D1039" i="8"/>
  <c r="D368" i="8"/>
  <c r="D1040" i="8"/>
  <c r="D369" i="8"/>
  <c r="D1112" i="8"/>
  <c r="D415" i="8"/>
  <c r="D460" i="8"/>
  <c r="D982" i="8"/>
  <c r="D416" i="8"/>
  <c r="D417" i="8"/>
  <c r="D915" i="8"/>
  <c r="D90" i="8"/>
  <c r="D418" i="8"/>
  <c r="D1113" i="8"/>
  <c r="D1114" i="8"/>
  <c r="D1115" i="8"/>
  <c r="D1116" i="8"/>
  <c r="D687" i="8"/>
  <c r="D688" i="8"/>
  <c r="D689" i="8"/>
  <c r="D690" i="8"/>
  <c r="D691" i="8"/>
  <c r="D692" i="8"/>
  <c r="D339" i="8"/>
  <c r="D693" i="8"/>
  <c r="D694" i="8"/>
  <c r="D695" i="8"/>
  <c r="D696" i="8"/>
  <c r="D697" i="8"/>
  <c r="D698" i="8"/>
  <c r="D140" i="8"/>
  <c r="D141" i="8"/>
  <c r="D142" i="8"/>
  <c r="D143" i="8"/>
  <c r="D144" i="8"/>
  <c r="D699" i="8"/>
  <c r="D700" i="8"/>
  <c r="D701" i="8"/>
  <c r="D702" i="8"/>
  <c r="D703" i="8"/>
  <c r="D145" i="8"/>
  <c r="D146" i="8"/>
  <c r="D147" i="8"/>
  <c r="D148" i="8"/>
  <c r="D149" i="8"/>
  <c r="D150" i="8"/>
  <c r="D151" i="8"/>
  <c r="D704" i="8"/>
  <c r="D152" i="8"/>
  <c r="D153" i="8"/>
  <c r="D154" i="8"/>
  <c r="D705" i="8"/>
  <c r="D706" i="8"/>
  <c r="D707" i="8"/>
  <c r="D398" i="8"/>
  <c r="D399" i="8"/>
  <c r="D708" i="8"/>
  <c r="D400" i="8"/>
  <c r="D709" i="8"/>
  <c r="D710" i="8"/>
  <c r="D711" i="8"/>
  <c r="D712" i="8"/>
  <c r="D713" i="8"/>
  <c r="D38" i="8"/>
  <c r="D714" i="8"/>
  <c r="D715" i="8"/>
  <c r="D305" i="8"/>
  <c r="D716" i="8"/>
  <c r="D306" i="8"/>
  <c r="D307" i="8"/>
  <c r="D717" i="8"/>
  <c r="D718" i="8"/>
  <c r="D719" i="8"/>
  <c r="D39" i="8"/>
  <c r="D720" i="8"/>
  <c r="D983" i="8"/>
  <c r="D984" i="8"/>
  <c r="D985" i="8"/>
  <c r="D986" i="8"/>
  <c r="D987" i="8"/>
  <c r="D283" i="8"/>
  <c r="D988" i="8"/>
  <c r="D866" i="8"/>
  <c r="D989" i="8"/>
  <c r="D990" i="8"/>
  <c r="D991" i="8"/>
  <c r="D321" i="8"/>
  <c r="D322" i="8"/>
  <c r="D836" i="8"/>
  <c r="D453" i="8"/>
  <c r="D95" i="8"/>
  <c r="D96" i="8"/>
  <c r="D97" i="8"/>
  <c r="D98" i="8"/>
  <c r="D99" i="8"/>
  <c r="D100" i="8"/>
  <c r="D101" i="8"/>
  <c r="D482" i="8"/>
  <c r="D483" i="8"/>
  <c r="D484" i="8"/>
  <c r="D485" i="8"/>
  <c r="D486" i="8"/>
  <c r="D1117" i="8"/>
  <c r="D1118" i="8"/>
  <c r="D1119" i="8"/>
  <c r="D1120" i="8"/>
  <c r="D721" i="8"/>
  <c r="D281" i="8"/>
  <c r="D722" i="8"/>
  <c r="D723" i="8"/>
  <c r="D340" i="8"/>
  <c r="D341" i="8"/>
  <c r="D342" i="8"/>
  <c r="D343" i="8"/>
  <c r="D344" i="8"/>
  <c r="D724" i="8"/>
  <c r="D725" i="8"/>
  <c r="D2" i="8"/>
  <c r="D442" i="8"/>
  <c r="D443" i="8"/>
  <c r="D444" i="8"/>
  <c r="D726" i="8"/>
  <c r="D727" i="8"/>
  <c r="D3" i="8"/>
  <c r="D728" i="8"/>
  <c r="D729" i="8"/>
  <c r="D61" i="8"/>
  <c r="D730" i="8"/>
  <c r="D731" i="8"/>
  <c r="D732" i="8"/>
  <c r="D733" i="8"/>
  <c r="D734" i="8"/>
  <c r="D735" i="8"/>
  <c r="D736" i="8"/>
  <c r="D40" i="8"/>
  <c r="D41" i="8"/>
  <c r="D737" i="8"/>
  <c r="D738" i="8"/>
  <c r="D739" i="8"/>
  <c r="D740" i="8"/>
  <c r="D741" i="8"/>
  <c r="D62" i="8"/>
  <c r="D742" i="8"/>
  <c r="D743" i="8"/>
  <c r="D63" i="8"/>
  <c r="D64" i="8"/>
  <c r="D65" i="8"/>
  <c r="D744" i="8"/>
  <c r="D745" i="8"/>
  <c r="D746" i="8"/>
  <c r="D747" i="8"/>
  <c r="D748" i="8"/>
  <c r="D825" i="8"/>
  <c r="D211" i="8"/>
  <c r="D212" i="8"/>
  <c r="D213" i="8"/>
  <c r="D1121" i="8"/>
  <c r="D419" i="8"/>
  <c r="D487" i="8"/>
  <c r="D420" i="8"/>
  <c r="D421" i="8"/>
  <c r="D102" i="8"/>
  <c r="D354" i="8"/>
  <c r="D1122" i="8"/>
  <c r="D992" i="8"/>
  <c r="D993" i="8"/>
  <c r="D994" i="8"/>
  <c r="D995" i="8"/>
  <c r="D996" i="8"/>
  <c r="D997" i="8"/>
  <c r="D323" i="8"/>
  <c r="D998" i="8"/>
  <c r="D837" i="8"/>
  <c r="D838" i="8"/>
  <c r="D313" i="8"/>
  <c r="D887" i="8"/>
  <c r="D888" i="8"/>
  <c r="D889" i="8"/>
  <c r="D370" i="8"/>
  <c r="D391" i="8"/>
  <c r="D749" i="8"/>
  <c r="D750" i="8"/>
  <c r="D751" i="8"/>
  <c r="D752" i="8"/>
  <c r="D753" i="8"/>
  <c r="D66" i="8"/>
  <c r="D67" i="8"/>
  <c r="D445" i="8"/>
  <c r="D754" i="8"/>
  <c r="D446" i="8"/>
  <c r="D541" i="8"/>
  <c r="D542" i="8"/>
  <c r="D543" i="8"/>
  <c r="D544" i="8"/>
  <c r="D545" i="8"/>
  <c r="D916" i="8"/>
  <c r="D917" i="8"/>
  <c r="D918" i="8"/>
  <c r="D404" i="8"/>
  <c r="D919" i="8"/>
  <c r="D457" i="8"/>
  <c r="D920" i="8"/>
  <c r="D921" i="8"/>
  <c r="D922" i="8"/>
  <c r="D458" i="8"/>
  <c r="D923" i="8"/>
  <c r="D924" i="8"/>
  <c r="D925" i="8"/>
  <c r="D77" i="8"/>
  <c r="D44" i="8"/>
  <c r="D926" i="8"/>
  <c r="D927" i="8"/>
  <c r="D928" i="8"/>
  <c r="D45" i="8"/>
  <c r="D46" i="8"/>
  <c r="D47" i="8"/>
  <c r="D48" i="8"/>
  <c r="D49" i="8"/>
  <c r="D392" i="8"/>
  <c r="D82" i="8"/>
  <c r="D594" i="8"/>
  <c r="D1123" i="8"/>
  <c r="D422" i="8"/>
  <c r="D423" i="8"/>
  <c r="D1124" i="8"/>
  <c r="D424" i="8"/>
  <c r="D425" i="8"/>
  <c r="D1125" i="8"/>
  <c r="D1152" i="8"/>
  <c r="D839" i="8"/>
  <c r="D74" i="8"/>
  <c r="D128" i="8"/>
  <c r="D595" i="8"/>
  <c r="D596" i="8"/>
  <c r="D129" i="8"/>
  <c r="D597" i="8"/>
  <c r="D598" i="8"/>
  <c r="D130" i="8"/>
  <c r="D840" i="8"/>
  <c r="D185" i="8"/>
  <c r="D371" i="8"/>
  <c r="D50" i="8"/>
  <c r="D51" i="8"/>
  <c r="D426" i="8"/>
  <c r="D427" i="8"/>
  <c r="D428" i="8"/>
  <c r="D1126" i="8"/>
  <c r="D1127" i="8"/>
  <c r="D374" i="8"/>
  <c r="D1128" i="8"/>
  <c r="D589" i="8"/>
  <c r="D546" i="8"/>
  <c r="D547" i="8"/>
  <c r="D548" i="8"/>
  <c r="D549" i="8"/>
  <c r="D550" i="8"/>
  <c r="D551" i="8"/>
  <c r="D303" i="8"/>
  <c r="D552" i="8"/>
  <c r="D304" i="8"/>
  <c r="D116" i="8"/>
  <c r="D131" i="8"/>
  <c r="D132" i="8"/>
  <c r="D133" i="8"/>
  <c r="D1129" i="8"/>
  <c r="D488" i="8"/>
  <c r="D489" i="8"/>
  <c r="D103" i="8"/>
  <c r="D104" i="8"/>
  <c r="D999" i="8"/>
  <c r="D1000" i="8"/>
  <c r="D958" i="8"/>
  <c r="D275" i="8"/>
  <c r="D276" i="8"/>
  <c r="D277" i="8"/>
  <c r="D959" i="8"/>
  <c r="D960" i="8"/>
  <c r="D961" i="8"/>
  <c r="D962" i="8"/>
  <c r="D134" i="8"/>
  <c r="D599" i="8"/>
  <c r="D1041" i="8"/>
  <c r="D214" i="8"/>
  <c r="D1153" i="8"/>
  <c r="D755" i="8"/>
  <c r="D756" i="8"/>
  <c r="D4" i="8"/>
  <c r="D5" i="8"/>
  <c r="D83" i="8"/>
  <c r="D757" i="8"/>
  <c r="D580" i="8"/>
  <c r="D581" i="8"/>
  <c r="D582" i="8"/>
  <c r="D583" i="8"/>
  <c r="D858" i="8"/>
  <c r="D859" i="8"/>
  <c r="D215" i="8"/>
  <c r="D860" i="8"/>
  <c r="D263" i="8"/>
  <c r="D1144" i="8"/>
  <c r="D475" i="8"/>
  <c r="D332" i="8"/>
  <c r="D553" i="8"/>
  <c r="D554" i="8"/>
  <c r="D555" i="8"/>
  <c r="D117" i="8"/>
  <c r="D556" i="8"/>
  <c r="D118" i="8"/>
  <c r="D91" i="8"/>
  <c r="D92" i="8"/>
  <c r="D929" i="8"/>
  <c r="D930" i="8"/>
  <c r="D931" i="8"/>
  <c r="D932" i="8"/>
  <c r="D933" i="8"/>
  <c r="D13" i="8"/>
  <c r="D14" i="8"/>
  <c r="D15" i="8"/>
  <c r="D16" i="8"/>
  <c r="D934" i="8"/>
  <c r="D935" i="8"/>
  <c r="D936" i="8"/>
  <c r="D937" i="8"/>
  <c r="D938" i="8"/>
  <c r="D939" i="8"/>
  <c r="D940" i="8"/>
  <c r="D325" i="8"/>
  <c r="D941" i="8"/>
  <c r="D942" i="8"/>
  <c r="D375" i="8"/>
  <c r="D376" i="8"/>
  <c r="D758" i="8"/>
  <c r="D759" i="8"/>
  <c r="D760" i="8"/>
  <c r="D272" i="8"/>
  <c r="D761" i="8"/>
  <c r="D867" i="8"/>
  <c r="D762" i="8"/>
  <c r="D763" i="8"/>
  <c r="D943" i="8"/>
  <c r="D944" i="8"/>
  <c r="D326" i="8"/>
  <c r="D945" i="8"/>
  <c r="D946" i="8"/>
  <c r="D947" i="8"/>
  <c r="D93" i="8"/>
  <c r="D948" i="8"/>
  <c r="D949" i="8"/>
  <c r="D950" i="8"/>
  <c r="D951" i="8"/>
  <c r="D952" i="8"/>
  <c r="D953" i="8"/>
  <c r="D954" i="8"/>
  <c r="D221" i="8"/>
  <c r="D955" i="8"/>
  <c r="D956" i="8"/>
  <c r="D68" i="8"/>
  <c r="D105" i="8"/>
  <c r="D447" i="8"/>
  <c r="D448" i="8"/>
  <c r="D345" i="8"/>
  <c r="D346" i="8"/>
  <c r="D308" i="8"/>
  <c r="D868" i="8"/>
  <c r="D309" i="8"/>
  <c r="D764" i="8"/>
  <c r="D75" i="8"/>
  <c r="D765" i="8"/>
  <c r="D766" i="8"/>
  <c r="D76" i="8"/>
  <c r="D767" i="8"/>
  <c r="D449" i="8"/>
  <c r="D84" i="8"/>
  <c r="D85" i="8"/>
  <c r="D401" i="8"/>
  <c r="D402" i="8"/>
  <c r="D403" i="8"/>
  <c r="D337" i="8"/>
  <c r="D135" i="8"/>
  <c r="D377" i="8"/>
  <c r="D1130" i="8"/>
  <c r="D1131" i="8"/>
  <c r="D1132" i="8"/>
  <c r="D1001" i="8"/>
  <c r="D768" i="8"/>
  <c r="D1002" i="8"/>
  <c r="D1003" i="8"/>
  <c r="D17" i="8"/>
  <c r="D1004" i="8"/>
  <c r="D222" i="8"/>
  <c r="D223" i="8"/>
  <c r="D224" i="8"/>
  <c r="D1005" i="8"/>
  <c r="D73" i="8"/>
  <c r="D284" i="8"/>
  <c r="D1006" i="8"/>
  <c r="D1007" i="8"/>
  <c r="D285" i="8"/>
  <c r="D454" i="8"/>
  <c r="D455" i="8"/>
  <c r="D1042" i="8"/>
  <c r="D490" i="8"/>
  <c r="D106" i="8"/>
  <c r="D107" i="8"/>
  <c r="D108" i="8"/>
  <c r="D109" i="8"/>
  <c r="D491" i="8"/>
  <c r="D492" i="8"/>
  <c r="D110" i="8"/>
  <c r="D286" i="8"/>
  <c r="D463" i="8"/>
  <c r="D1043" i="8"/>
  <c r="D861" i="8"/>
  <c r="D862" i="8"/>
  <c r="D1008" i="8"/>
  <c r="D111" i="8"/>
  <c r="D112" i="8"/>
  <c r="D287" i="8"/>
  <c r="D769" i="8"/>
  <c r="D1009" i="8"/>
  <c r="D450" i="8"/>
  <c r="D1010" i="8"/>
  <c r="D225" i="8"/>
  <c r="D226" i="8"/>
  <c r="D288" i="8"/>
  <c r="D289" i="8"/>
  <c r="D1133" i="8"/>
  <c r="D1134" i="8"/>
  <c r="D770" i="8"/>
  <c r="D347" i="8"/>
  <c r="D493" i="8"/>
  <c r="D11" i="8"/>
  <c r="D1011" i="8"/>
  <c r="D227" i="8"/>
  <c r="D494" i="8"/>
  <c r="D348" i="8"/>
  <c r="D771" i="8"/>
  <c r="D772" i="8"/>
  <c r="D773" i="8"/>
  <c r="D774" i="8"/>
  <c r="D775" i="8"/>
  <c r="D451" i="8"/>
  <c r="D776" i="8"/>
  <c r="D452" i="8"/>
  <c r="D777" i="8"/>
  <c r="D778" i="8"/>
  <c r="D779" i="8"/>
  <c r="D155" i="8"/>
  <c r="D156" i="8"/>
  <c r="D157" i="8"/>
  <c r="D158" i="8"/>
  <c r="D780" i="8"/>
  <c r="D781" i="8"/>
  <c r="D841" i="8"/>
  <c r="D290" i="8"/>
  <c r="D557" i="8"/>
  <c r="D558" i="8"/>
  <c r="D559" i="8"/>
  <c r="D560" i="8"/>
  <c r="D119" i="8"/>
  <c r="D782" i="8"/>
  <c r="D159" i="8"/>
  <c r="D783" i="8"/>
  <c r="D784" i="8"/>
  <c r="D160" i="8"/>
  <c r="D161" i="8"/>
  <c r="D162" i="8"/>
  <c r="D163" i="8"/>
  <c r="D164" i="8"/>
  <c r="D165" i="8"/>
  <c r="D785" i="8"/>
  <c r="D786" i="8"/>
  <c r="D787" i="8"/>
  <c r="D788" i="8"/>
  <c r="D789" i="8"/>
  <c r="D790" i="8"/>
  <c r="D791" i="8"/>
  <c r="D792" i="8"/>
  <c r="D793" i="8"/>
  <c r="D166" i="8"/>
  <c r="D167" i="8"/>
  <c r="D794" i="8"/>
  <c r="D168" i="8"/>
  <c r="D795" i="8"/>
  <c r="D1135" i="8"/>
  <c r="D1136" i="8"/>
  <c r="D1137" i="8"/>
  <c r="D1044" i="8"/>
  <c r="D1045" i="8"/>
  <c r="D1046" i="8"/>
  <c r="D26" i="8"/>
  <c r="D1138" i="8"/>
  <c r="D1139" i="8"/>
  <c r="D278" i="8"/>
  <c r="D1047" i="8"/>
  <c r="D1140" i="8"/>
  <c r="D229" i="8"/>
  <c r="D1054" i="8"/>
  <c r="D1055" i="8"/>
  <c r="D1056" i="8"/>
  <c r="D1057" i="8"/>
  <c r="D1058" i="8"/>
  <c r="D1059" i="8"/>
  <c r="D1060" i="8"/>
  <c r="D1061" i="8"/>
  <c r="D1062" i="8"/>
  <c r="D1063" i="8"/>
  <c r="D1064" i="8"/>
  <c r="D1065" i="8"/>
  <c r="D1066" i="8"/>
  <c r="D1067" i="8"/>
  <c r="D1068" i="8"/>
  <c r="D1069" i="8"/>
  <c r="D56" i="8"/>
  <c r="D1070" i="8"/>
  <c r="D1071" i="8"/>
  <c r="D57" i="8"/>
  <c r="D1072" i="8"/>
  <c r="D1073" i="8"/>
  <c r="D1074" i="8"/>
  <c r="D1075" i="8"/>
  <c r="D1076" i="8"/>
  <c r="D1077" i="8"/>
  <c r="D1078" i="8"/>
  <c r="D1079" i="8"/>
  <c r="D1080" i="8"/>
  <c r="D1081" i="8"/>
  <c r="D1082" i="8"/>
  <c r="D1083" i="8"/>
  <c r="D1084" i="8"/>
  <c r="D1085" i="8"/>
  <c r="D230" i="8"/>
  <c r="D231" i="8"/>
  <c r="D1048" i="8"/>
  <c r="D228" i="8"/>
  <c r="D169" i="8"/>
  <c r="D170" i="8"/>
  <c r="D1012" i="8"/>
  <c r="D1013" i="8"/>
  <c r="D1014" i="8"/>
  <c r="D171" i="8"/>
  <c r="D796" i="8"/>
  <c r="D301" i="8"/>
  <c r="D869" i="8"/>
  <c r="D302" i="8"/>
  <c r="D870" i="8"/>
  <c r="D87" i="8"/>
  <c r="D216" i="8"/>
  <c r="D871" i="8"/>
  <c r="D872" i="8"/>
  <c r="D217" i="8"/>
  <c r="D218" i="8"/>
  <c r="D873" i="8"/>
  <c r="D219" i="8"/>
  <c r="D220" i="8"/>
  <c r="D874" i="8"/>
  <c r="D875" i="8"/>
  <c r="D876" i="8"/>
  <c r="D42" i="8"/>
  <c r="D43" i="8"/>
  <c r="D534" i="8"/>
  <c r="D535" i="8"/>
  <c r="D590" i="8"/>
  <c r="D69" i="8"/>
  <c r="D264" i="8"/>
  <c r="D495" i="8"/>
  <c r="D429" i="8"/>
  <c r="D324" i="8"/>
  <c r="D333" i="8"/>
  <c r="D1145" i="8"/>
  <c r="D70" i="8"/>
  <c r="D71" i="8"/>
  <c r="D372" i="8"/>
  <c r="D373" i="8"/>
  <c r="D172" i="8"/>
  <c r="D94" i="8"/>
  <c r="D173" i="8"/>
  <c r="D797" i="8"/>
  <c r="D798" i="8"/>
  <c r="D174" i="8"/>
  <c r="D175" i="8"/>
  <c r="D799" i="8"/>
  <c r="D800" i="8"/>
  <c r="D801" i="8"/>
  <c r="D176" i="8"/>
  <c r="D177" i="8"/>
  <c r="D178" i="8"/>
  <c r="D179" i="8"/>
  <c r="D802" i="8"/>
  <c r="D803" i="8"/>
  <c r="D804" i="8"/>
  <c r="D805" i="8"/>
  <c r="D806" i="8"/>
  <c r="D807" i="8"/>
  <c r="D808" i="8"/>
  <c r="D809" i="8"/>
  <c r="D810" i="8"/>
  <c r="D811" i="8"/>
  <c r="D27" i="8"/>
  <c r="D1049" i="8"/>
  <c r="D1050" i="8"/>
  <c r="D1051" i="8"/>
  <c r="D1052" i="8"/>
  <c r="D456" i="8"/>
  <c r="D863" i="8"/>
  <c r="D12" i="8"/>
  <c r="D86" i="8"/>
  <c r="D180" i="8"/>
  <c r="D181" i="8"/>
  <c r="D812" i="8"/>
  <c r="D813" i="8"/>
  <c r="D814" i="8"/>
  <c r="D815" i="8"/>
  <c r="D816" i="8"/>
  <c r="D817" i="8"/>
  <c r="D818" i="8"/>
  <c r="D182" i="8"/>
  <c r="D183" i="8"/>
  <c r="D184" i="8"/>
  <c r="D349" i="8"/>
  <c r="D819" i="8"/>
  <c r="D1053" i="8"/>
  <c r="D1141" i="8"/>
  <c r="D78" i="8"/>
  <c r="D1015" i="8"/>
  <c r="D461" i="8"/>
  <c r="D1016" i="8"/>
  <c r="D496" i="8"/>
  <c r="D273" i="8"/>
  <c r="D497" i="8"/>
  <c r="D265" i="8"/>
  <c r="D291" i="8"/>
  <c r="D1146" i="8"/>
  <c r="D1147" i="8"/>
  <c r="D72" i="8"/>
  <c r="D79" i="8"/>
  <c r="D1148" i="8"/>
  <c r="D28" i="8"/>
  <c r="D1149" i="8"/>
  <c r="D877" i="8"/>
  <c r="D1017" i="8"/>
  <c r="D1018" i="8"/>
  <c r="D1019" i="8"/>
  <c r="D350" i="8"/>
  <c r="D351" i="8"/>
  <c r="D1020" i="8"/>
  <c r="D878" i="8"/>
  <c r="D879" i="8"/>
  <c r="D820" i="8"/>
  <c r="D821" i="8"/>
  <c r="D822" i="8"/>
  <c r="D823" i="8"/>
  <c r="D880" i="8"/>
  <c r="D282" i="8"/>
  <c r="D881" i="8"/>
  <c r="D352" i="8"/>
  <c r="D882" i="8"/>
  <c r="D883" i="8"/>
  <c r="D824" i="8"/>
  <c r="D353" i="8"/>
  <c r="D1021" i="8"/>
  <c r="D884" i="8"/>
  <c r="D885" i="8"/>
  <c r="D310" i="8"/>
  <c r="D311" i="8"/>
  <c r="D886" i="8"/>
  <c r="D312" i="8"/>
  <c r="D498" i="8"/>
  <c r="D1022" i="8"/>
  <c r="D1023" i="8"/>
  <c r="D1142" i="8"/>
  <c r="D1143" i="8"/>
  <c r="G136" i="8" l="1"/>
  <c r="G963" i="8"/>
  <c r="G52" i="8"/>
  <c r="G964" i="8"/>
  <c r="G53" i="8"/>
  <c r="G965" i="8"/>
  <c r="G54" i="8"/>
  <c r="G865" i="8"/>
  <c r="G55" i="8"/>
  <c r="G316" i="8"/>
  <c r="G967" i="8"/>
  <c r="G968" i="8"/>
  <c r="G317" i="8"/>
  <c r="G969" i="8"/>
  <c r="G232" i="8"/>
  <c r="G600" i="8"/>
  <c r="G137" i="8"/>
  <c r="G138" i="8"/>
  <c r="G139" i="8"/>
  <c r="G601" i="8"/>
  <c r="G602" i="8"/>
  <c r="G603" i="8"/>
  <c r="G604" i="8"/>
  <c r="G605" i="8"/>
  <c r="G268" i="8"/>
  <c r="G269" i="8"/>
  <c r="G606" i="8"/>
  <c r="G607" i="8"/>
  <c r="G608" i="8"/>
  <c r="G393" i="8"/>
  <c r="G394" i="8"/>
  <c r="G609" i="8"/>
  <c r="G610" i="8"/>
  <c r="G270" i="8"/>
  <c r="G611" i="8"/>
  <c r="G612" i="8"/>
  <c r="G613" i="8"/>
  <c r="G614" i="8"/>
  <c r="G615" i="8"/>
  <c r="G616" i="8"/>
  <c r="G617" i="8"/>
  <c r="G395" i="8"/>
  <c r="G618" i="8"/>
  <c r="G396" i="8"/>
  <c r="G619" i="8"/>
  <c r="G397" i="8"/>
  <c r="G620" i="8"/>
  <c r="G621" i="8"/>
  <c r="G622" i="8"/>
  <c r="G842" i="8"/>
  <c r="G186" i="8"/>
  <c r="G957" i="8"/>
  <c r="G318" i="8"/>
  <c r="G187" i="8"/>
  <c r="G233" i="8"/>
  <c r="G188" i="8"/>
  <c r="G970" i="8"/>
  <c r="G623" i="8"/>
  <c r="G338" i="8"/>
  <c r="G234" i="8"/>
  <c r="G235" i="8"/>
  <c r="G236" i="8"/>
  <c r="G355" i="8"/>
  <c r="G356" i="8"/>
  <c r="G357" i="8"/>
  <c r="G358" i="8"/>
  <c r="G237" i="8"/>
  <c r="G1086" i="8"/>
  <c r="G238" i="8"/>
  <c r="G1088" i="8"/>
  <c r="G467" i="8"/>
  <c r="G826" i="8"/>
  <c r="G327" i="8"/>
  <c r="G827" i="8"/>
  <c r="G328" i="8"/>
  <c r="G843" i="8"/>
  <c r="G828" i="8"/>
  <c r="G6" i="8"/>
  <c r="G7" i="8"/>
  <c r="G8" i="8"/>
  <c r="G9" i="8"/>
  <c r="G1089" i="8"/>
  <c r="G329" i="8"/>
  <c r="G361" i="8"/>
  <c r="G362" i="8"/>
  <c r="G363" i="8"/>
  <c r="G364" i="8"/>
  <c r="G1024" i="8"/>
  <c r="G468" i="8"/>
  <c r="G469" i="8"/>
  <c r="G470" i="8"/>
  <c r="G471" i="8"/>
  <c r="G280" i="8"/>
  <c r="G1025" i="8"/>
  <c r="G472" i="8"/>
  <c r="G330" i="8"/>
  <c r="G331" i="8"/>
  <c r="G624" i="8"/>
  <c r="G625" i="8"/>
  <c r="G971" i="8"/>
  <c r="G972" i="8"/>
  <c r="G1090" i="8"/>
  <c r="G844" i="8"/>
  <c r="G1091" i="8"/>
  <c r="G365" i="8"/>
  <c r="G366" i="8"/>
  <c r="G120" i="8"/>
  <c r="G890" i="8"/>
  <c r="G891" i="8"/>
  <c r="G892" i="8"/>
  <c r="G314" i="8"/>
  <c r="G893" i="8"/>
  <c r="G894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G639" i="8"/>
  <c r="G640" i="8"/>
  <c r="G641" i="8"/>
  <c r="G642" i="8"/>
  <c r="G643" i="8"/>
  <c r="G591" i="8"/>
  <c r="G473" i="8"/>
  <c r="G476" i="8"/>
  <c r="G121" i="8"/>
  <c r="G126" i="8"/>
  <c r="G561" i="8"/>
  <c r="G562" i="8"/>
  <c r="G189" i="8"/>
  <c r="G190" i="8"/>
  <c r="G191" i="8"/>
  <c r="G192" i="8"/>
  <c r="G193" i="8"/>
  <c r="G846" i="8"/>
  <c r="G646" i="8"/>
  <c r="G647" i="8"/>
  <c r="G474" i="8"/>
  <c r="G973" i="8"/>
  <c r="G648" i="8"/>
  <c r="G974" i="8"/>
  <c r="G477" i="8"/>
  <c r="G319" i="8"/>
  <c r="G1026" i="8"/>
  <c r="G1027" i="8"/>
  <c r="G1028" i="8"/>
  <c r="G1029" i="8"/>
  <c r="G592" i="8"/>
  <c r="G897" i="8"/>
  <c r="G584" i="8"/>
  <c r="G649" i="8"/>
  <c r="G650" i="8"/>
  <c r="G651" i="8"/>
  <c r="G652" i="8"/>
  <c r="G653" i="8"/>
  <c r="G654" i="8"/>
  <c r="G655" i="8"/>
  <c r="G656" i="8"/>
  <c r="G657" i="8"/>
  <c r="G658" i="8"/>
  <c r="G659" i="8"/>
  <c r="G660" i="8"/>
  <c r="G661" i="8"/>
  <c r="G662" i="8"/>
  <c r="G663" i="8"/>
  <c r="G664" i="8"/>
  <c r="G88" i="8"/>
  <c r="G665" i="8"/>
  <c r="G666" i="8"/>
  <c r="G667" i="8"/>
  <c r="G852" i="8"/>
  <c r="G849" i="8"/>
  <c r="G1030" i="8"/>
  <c r="G1031" i="8"/>
  <c r="G199" i="8"/>
  <c r="G853" i="8"/>
  <c r="G200" i="8"/>
  <c r="G854" i="8"/>
  <c r="G855" i="8"/>
  <c r="G856" i="8"/>
  <c r="G201" i="8"/>
  <c r="G18" i="8"/>
  <c r="G19" i="8"/>
  <c r="G20" i="8"/>
  <c r="G21" i="8"/>
  <c r="G857" i="8"/>
  <c r="G22" i="8"/>
  <c r="G521" i="8"/>
  <c r="G385" i="8"/>
  <c r="G386" i="8"/>
  <c r="G527" i="8"/>
  <c r="G528" i="8"/>
  <c r="G529" i="8"/>
  <c r="G530" i="8"/>
  <c r="G533" i="8"/>
  <c r="G405" i="8"/>
  <c r="G202" i="8"/>
  <c r="G1096" i="8"/>
  <c r="G1097" i="8"/>
  <c r="G1098" i="8"/>
  <c r="G1099" i="8"/>
  <c r="G668" i="8"/>
  <c r="G669" i="8"/>
  <c r="G670" i="8"/>
  <c r="G898" i="8"/>
  <c r="G1100" i="8"/>
  <c r="G1101" i="8"/>
  <c r="G29" i="8"/>
  <c r="G831" i="8"/>
  <c r="G10" i="8"/>
  <c r="G832" i="8"/>
  <c r="G833" i="8"/>
  <c r="G975" i="8"/>
  <c r="G976" i="8"/>
  <c r="G1102" i="8"/>
  <c r="G671" i="8"/>
  <c r="G672" i="8"/>
  <c r="G673" i="8"/>
  <c r="G674" i="8"/>
  <c r="G438" i="8"/>
  <c r="G439" i="8"/>
  <c r="G675" i="8"/>
  <c r="G676" i="8"/>
  <c r="G271" i="8"/>
  <c r="G677" i="8"/>
  <c r="G440" i="8"/>
  <c r="G441" i="8"/>
  <c r="G678" i="8"/>
  <c r="G679" i="8"/>
  <c r="G680" i="8"/>
  <c r="G681" i="8"/>
  <c r="G682" i="8"/>
  <c r="G683" i="8"/>
  <c r="G684" i="8"/>
  <c r="G685" i="8"/>
  <c r="G686" i="8"/>
  <c r="G1032" i="8"/>
  <c r="G23" i="8"/>
  <c r="G1033" i="8"/>
  <c r="G462" i="8"/>
  <c r="G1034" i="8"/>
  <c r="G899" i="8"/>
  <c r="G902" i="8"/>
  <c r="G903" i="8"/>
  <c r="G536" i="8"/>
  <c r="G904" i="8"/>
  <c r="G905" i="8"/>
  <c r="G906" i="8"/>
  <c r="G907" i="8"/>
  <c r="G908" i="8"/>
  <c r="G910" i="8"/>
  <c r="G909" i="8"/>
  <c r="G911" i="8"/>
  <c r="G912" i="8"/>
  <c r="G537" i="8"/>
  <c r="G89" i="8"/>
  <c r="G1035" i="8"/>
  <c r="G977" i="8"/>
  <c r="G978" i="8"/>
  <c r="G980" i="8"/>
  <c r="G1036" i="8"/>
  <c r="G1037" i="8"/>
  <c r="G478" i="8"/>
  <c r="G1103" i="8"/>
  <c r="G1104" i="8"/>
  <c r="G479" i="8"/>
  <c r="G1105" i="8"/>
  <c r="G367" i="8"/>
  <c r="G58" i="8"/>
  <c r="G538" i="8"/>
  <c r="G563" i="8"/>
  <c r="G564" i="8"/>
  <c r="G565" i="8"/>
  <c r="G566" i="8"/>
  <c r="G59" i="8"/>
  <c r="G539" i="8"/>
  <c r="G567" i="8"/>
  <c r="G60" i="8"/>
  <c r="G570" i="8"/>
  <c r="G267" i="8"/>
  <c r="G24" i="8"/>
  <c r="G571" i="8"/>
  <c r="G572" i="8"/>
  <c r="G573" i="8"/>
  <c r="G25" i="8"/>
  <c r="G1038" i="8"/>
  <c r="G574" i="8"/>
  <c r="G1151" i="8"/>
  <c r="G577" i="8"/>
  <c r="G578" i="8"/>
  <c r="G579" i="8"/>
  <c r="G412" i="8"/>
  <c r="G1106" i="8"/>
  <c r="G413" i="8"/>
  <c r="G1107" i="8"/>
  <c r="G1108" i="8"/>
  <c r="G480" i="8"/>
  <c r="G481" i="8"/>
  <c r="G593" i="8"/>
  <c r="G203" i="8"/>
  <c r="G204" i="8"/>
  <c r="G207" i="8"/>
  <c r="G208" i="8"/>
  <c r="G913" i="8"/>
  <c r="G914" i="8"/>
  <c r="G585" i="8"/>
  <c r="G586" i="8"/>
  <c r="G336" i="8"/>
  <c r="G1110" i="8"/>
  <c r="G1111" i="8"/>
  <c r="G1039" i="8"/>
  <c r="G368" i="8"/>
  <c r="G1040" i="8"/>
  <c r="G369" i="8"/>
  <c r="G1112" i="8"/>
  <c r="G415" i="8"/>
  <c r="G460" i="8"/>
  <c r="G982" i="8"/>
  <c r="G416" i="8"/>
  <c r="G417" i="8"/>
  <c r="G915" i="8"/>
  <c r="G90" i="8"/>
  <c r="G418" i="8"/>
  <c r="G1113" i="8"/>
  <c r="G1114" i="8"/>
  <c r="G1115" i="8"/>
  <c r="G1116" i="8"/>
  <c r="G687" i="8"/>
  <c r="G688" i="8"/>
  <c r="G689" i="8"/>
  <c r="G690" i="8"/>
  <c r="G691" i="8"/>
  <c r="G692" i="8"/>
  <c r="G339" i="8"/>
  <c r="G693" i="8"/>
  <c r="G694" i="8"/>
  <c r="G695" i="8"/>
  <c r="G696" i="8"/>
  <c r="G697" i="8"/>
  <c r="G698" i="8"/>
  <c r="G140" i="8"/>
  <c r="G141" i="8"/>
  <c r="G142" i="8"/>
  <c r="G143" i="8"/>
  <c r="G144" i="8"/>
  <c r="G699" i="8"/>
  <c r="G702" i="8"/>
  <c r="G703" i="8"/>
  <c r="G145" i="8"/>
  <c r="G146" i="8"/>
  <c r="G147" i="8"/>
  <c r="G148" i="8"/>
  <c r="G149" i="8"/>
  <c r="G150" i="8"/>
  <c r="G151" i="8"/>
  <c r="G704" i="8"/>
  <c r="G152" i="8"/>
  <c r="G153" i="8"/>
  <c r="G154" i="8"/>
  <c r="G705" i="8"/>
  <c r="G706" i="8"/>
  <c r="G707" i="8"/>
  <c r="G398" i="8"/>
  <c r="G399" i="8"/>
  <c r="G708" i="8"/>
  <c r="G400" i="8"/>
  <c r="G709" i="8"/>
  <c r="G710" i="8"/>
  <c r="G711" i="8"/>
  <c r="G712" i="8"/>
  <c r="G713" i="8"/>
  <c r="G38" i="8"/>
  <c r="G714" i="8"/>
  <c r="G716" i="8"/>
  <c r="G306" i="8"/>
  <c r="G307" i="8"/>
  <c r="G717" i="8"/>
  <c r="G718" i="8"/>
  <c r="G719" i="8"/>
  <c r="G983" i="8"/>
  <c r="G984" i="8"/>
  <c r="G985" i="8"/>
  <c r="G986" i="8"/>
  <c r="G987" i="8"/>
  <c r="G283" i="8"/>
  <c r="G988" i="8"/>
  <c r="G866" i="8"/>
  <c r="G989" i="8"/>
  <c r="G990" i="8"/>
  <c r="G991" i="8"/>
  <c r="G321" i="8"/>
  <c r="G322" i="8"/>
  <c r="G836" i="8"/>
  <c r="G453" i="8"/>
  <c r="G95" i="8"/>
  <c r="G96" i="8"/>
  <c r="G97" i="8"/>
  <c r="G98" i="8"/>
  <c r="G99" i="8"/>
  <c r="G100" i="8"/>
  <c r="G482" i="8"/>
  <c r="G483" i="8"/>
  <c r="G484" i="8"/>
  <c r="G485" i="8"/>
  <c r="G486" i="8"/>
  <c r="G1117" i="8"/>
  <c r="G1120" i="8"/>
  <c r="G721" i="8"/>
  <c r="G281" i="8"/>
  <c r="G722" i="8"/>
  <c r="G723" i="8"/>
  <c r="G340" i="8"/>
  <c r="G341" i="8"/>
  <c r="G342" i="8"/>
  <c r="G343" i="8"/>
  <c r="G344" i="8"/>
  <c r="G724" i="8"/>
  <c r="G725" i="8"/>
  <c r="G2" i="8"/>
  <c r="G442" i="8"/>
  <c r="G443" i="8"/>
  <c r="G444" i="8"/>
  <c r="G726" i="8"/>
  <c r="G727" i="8"/>
  <c r="G3" i="8"/>
  <c r="G728" i="8"/>
  <c r="G729" i="8"/>
  <c r="G61" i="8"/>
  <c r="G730" i="8"/>
  <c r="G731" i="8"/>
  <c r="G732" i="8"/>
  <c r="G733" i="8"/>
  <c r="G734" i="8"/>
  <c r="G735" i="8"/>
  <c r="G736" i="8"/>
  <c r="G40" i="8"/>
  <c r="G41" i="8"/>
  <c r="G737" i="8"/>
  <c r="G738" i="8"/>
  <c r="G739" i="8"/>
  <c r="G740" i="8"/>
  <c r="G741" i="8"/>
  <c r="G62" i="8"/>
  <c r="G742" i="8"/>
  <c r="G743" i="8"/>
  <c r="G63" i="8"/>
  <c r="G64" i="8"/>
  <c r="G65" i="8"/>
  <c r="G744" i="8"/>
  <c r="G745" i="8"/>
  <c r="G746" i="8"/>
  <c r="G747" i="8"/>
  <c r="G748" i="8"/>
  <c r="G825" i="8"/>
  <c r="G211" i="8"/>
  <c r="G1121" i="8"/>
  <c r="G419" i="8"/>
  <c r="G487" i="8"/>
  <c r="G420" i="8"/>
  <c r="G421" i="8"/>
  <c r="G102" i="8"/>
  <c r="G354" i="8"/>
  <c r="G1122" i="8"/>
  <c r="G992" i="8"/>
  <c r="G993" i="8"/>
  <c r="G837" i="8"/>
  <c r="G838" i="8"/>
  <c r="G888" i="8"/>
  <c r="G889" i="8"/>
  <c r="G370" i="8"/>
  <c r="G391" i="8"/>
  <c r="G749" i="8"/>
  <c r="G750" i="8"/>
  <c r="G751" i="8"/>
  <c r="G66" i="8"/>
  <c r="G754" i="8"/>
  <c r="G446" i="8"/>
  <c r="G541" i="8"/>
  <c r="G542" i="8"/>
  <c r="G543" i="8"/>
  <c r="G916" i="8"/>
  <c r="G917" i="8"/>
  <c r="G918" i="8"/>
  <c r="G404" i="8"/>
  <c r="G919" i="8"/>
  <c r="G457" i="8"/>
  <c r="G920" i="8"/>
  <c r="G921" i="8"/>
  <c r="G922" i="8"/>
  <c r="G458" i="8"/>
  <c r="G923" i="8"/>
  <c r="G924" i="8"/>
  <c r="G925" i="8"/>
  <c r="G77" i="8"/>
  <c r="G44" i="8"/>
  <c r="G926" i="8"/>
  <c r="G927" i="8"/>
  <c r="G928" i="8"/>
  <c r="G45" i="8"/>
  <c r="G46" i="8"/>
  <c r="G47" i="8"/>
  <c r="G48" i="8"/>
  <c r="G49" i="8"/>
  <c r="G392" i="8"/>
  <c r="G82" i="8"/>
  <c r="G594" i="8"/>
  <c r="G1123" i="8"/>
  <c r="G422" i="8"/>
  <c r="G423" i="8"/>
  <c r="G1124" i="8"/>
  <c r="G424" i="8"/>
  <c r="G1125" i="8"/>
  <c r="G425" i="8"/>
  <c r="G1152" i="8"/>
  <c r="G839" i="8"/>
  <c r="G74" i="8"/>
  <c r="G128" i="8"/>
  <c r="G595" i="8"/>
  <c r="G596" i="8"/>
  <c r="G129" i="8"/>
  <c r="G597" i="8"/>
  <c r="G598" i="8"/>
  <c r="G130" i="8"/>
  <c r="G840" i="8"/>
  <c r="G185" i="8"/>
  <c r="G371" i="8"/>
  <c r="G50" i="8"/>
  <c r="G51" i="8"/>
  <c r="G426" i="8"/>
  <c r="G427" i="8"/>
  <c r="G428" i="8"/>
  <c r="G1126" i="8"/>
  <c r="G1127" i="8"/>
  <c r="G374" i="8"/>
  <c r="G1128" i="8"/>
  <c r="G589" i="8"/>
  <c r="G546" i="8"/>
  <c r="G547" i="8"/>
  <c r="G548" i="8"/>
  <c r="G549" i="8"/>
  <c r="G550" i="8"/>
  <c r="G551" i="8"/>
  <c r="G303" i="8"/>
  <c r="G552" i="8"/>
  <c r="G304" i="8"/>
  <c r="G116" i="8"/>
  <c r="G131" i="8"/>
  <c r="G132" i="8"/>
  <c r="G133" i="8"/>
  <c r="G1129" i="8"/>
  <c r="G488" i="8"/>
  <c r="G489" i="8"/>
  <c r="G103" i="8"/>
  <c r="G104" i="8"/>
  <c r="G999" i="8"/>
  <c r="G1000" i="8"/>
  <c r="G959" i="8"/>
  <c r="G962" i="8"/>
  <c r="G134" i="8"/>
  <c r="G599" i="8"/>
  <c r="G1041" i="8"/>
  <c r="G214" i="8"/>
  <c r="G1153" i="8"/>
  <c r="G755" i="8"/>
  <c r="G756" i="8"/>
  <c r="G4" i="8"/>
  <c r="G5" i="8"/>
  <c r="G83" i="8"/>
  <c r="G757" i="8"/>
  <c r="G582" i="8"/>
  <c r="G583" i="8"/>
  <c r="G858" i="8"/>
  <c r="G859" i="8"/>
  <c r="G215" i="8"/>
  <c r="G860" i="8"/>
  <c r="G263" i="8"/>
  <c r="G1144" i="8"/>
  <c r="G553" i="8"/>
  <c r="G554" i="8"/>
  <c r="G555" i="8"/>
  <c r="G117" i="8"/>
  <c r="G556" i="8"/>
  <c r="G118" i="8"/>
  <c r="G91" i="8"/>
  <c r="G930" i="8"/>
  <c r="G931" i="8"/>
  <c r="G932" i="8"/>
  <c r="G933" i="8"/>
  <c r="G13" i="8"/>
  <c r="G14" i="8"/>
  <c r="G15" i="8"/>
  <c r="G16" i="8"/>
  <c r="G934" i="8"/>
  <c r="G935" i="8"/>
  <c r="G936" i="8"/>
  <c r="G937" i="8"/>
  <c r="G938" i="8"/>
  <c r="G939" i="8"/>
  <c r="G940" i="8"/>
  <c r="G325" i="8"/>
  <c r="G941" i="8"/>
  <c r="G942" i="8"/>
  <c r="G375" i="8"/>
  <c r="G376" i="8"/>
  <c r="G758" i="8"/>
  <c r="G759" i="8"/>
  <c r="G760" i="8"/>
  <c r="G272" i="8"/>
  <c r="G761" i="8"/>
  <c r="G867" i="8"/>
  <c r="G762" i="8"/>
  <c r="G763" i="8"/>
  <c r="G943" i="8"/>
  <c r="G944" i="8"/>
  <c r="G945" i="8"/>
  <c r="G946" i="8"/>
  <c r="G947" i="8"/>
  <c r="G93" i="8"/>
  <c r="G948" i="8"/>
  <c r="G949" i="8"/>
  <c r="G950" i="8"/>
  <c r="G951" i="8"/>
  <c r="G952" i="8"/>
  <c r="G953" i="8"/>
  <c r="G954" i="8"/>
  <c r="G221" i="8"/>
  <c r="G955" i="8"/>
  <c r="G956" i="8"/>
  <c r="G68" i="8"/>
  <c r="G105" i="8"/>
  <c r="G447" i="8"/>
  <c r="G448" i="8"/>
  <c r="G345" i="8"/>
  <c r="G346" i="8"/>
  <c r="G308" i="8"/>
  <c r="G868" i="8"/>
  <c r="G309" i="8"/>
  <c r="G764" i="8"/>
  <c r="G75" i="8"/>
  <c r="G765" i="8"/>
  <c r="G766" i="8"/>
  <c r="G76" i="8"/>
  <c r="G767" i="8"/>
  <c r="G449" i="8"/>
  <c r="G84" i="8"/>
  <c r="G85" i="8"/>
  <c r="G401" i="8"/>
  <c r="G402" i="8"/>
  <c r="G403" i="8"/>
  <c r="G135" i="8"/>
  <c r="G337" i="8"/>
  <c r="G377" i="8"/>
  <c r="G1130" i="8"/>
  <c r="G1001" i="8"/>
  <c r="G768" i="8"/>
  <c r="G1002" i="8"/>
  <c r="G1003" i="8"/>
  <c r="G17" i="8"/>
  <c r="G1004" i="8"/>
  <c r="G222" i="8"/>
  <c r="G223" i="8"/>
  <c r="G224" i="8"/>
  <c r="G1005" i="8"/>
  <c r="G73" i="8"/>
  <c r="G284" i="8"/>
  <c r="G285" i="8"/>
  <c r="G454" i="8"/>
  <c r="G455" i="8"/>
  <c r="G1042" i="8"/>
  <c r="G490" i="8"/>
  <c r="G108" i="8"/>
  <c r="G109" i="8"/>
  <c r="G491" i="8"/>
  <c r="G492" i="8"/>
  <c r="G110" i="8"/>
  <c r="G286" i="8"/>
  <c r="G463" i="8"/>
  <c r="G1043" i="8"/>
  <c r="G1008" i="8"/>
  <c r="G111" i="8"/>
  <c r="G112" i="8"/>
  <c r="G287" i="8"/>
  <c r="G769" i="8"/>
  <c r="G1009" i="8"/>
  <c r="G450" i="8"/>
  <c r="G1010" i="8"/>
  <c r="G225" i="8"/>
  <c r="G226" i="8"/>
  <c r="G288" i="8"/>
  <c r="G289" i="8"/>
  <c r="G1133" i="8"/>
  <c r="G1134" i="8"/>
  <c r="G493" i="8"/>
  <c r="G11" i="8"/>
  <c r="G1011" i="8"/>
  <c r="G227" i="8"/>
  <c r="G494" i="8"/>
  <c r="G348" i="8"/>
  <c r="G771" i="8"/>
  <c r="G772" i="8"/>
  <c r="G773" i="8"/>
  <c r="G774" i="8"/>
  <c r="G775" i="8"/>
  <c r="G451" i="8"/>
  <c r="G776" i="8"/>
  <c r="G452" i="8"/>
  <c r="G777" i="8"/>
  <c r="G778" i="8"/>
  <c r="G779" i="8"/>
  <c r="G780" i="8"/>
  <c r="G781" i="8"/>
  <c r="G841" i="8"/>
  <c r="G290" i="8"/>
  <c r="G557" i="8"/>
  <c r="G558" i="8"/>
  <c r="G559" i="8"/>
  <c r="G560" i="8"/>
  <c r="G119" i="8"/>
  <c r="G782" i="8"/>
  <c r="G159" i="8"/>
  <c r="G783" i="8"/>
  <c r="G784" i="8"/>
  <c r="G160" i="8"/>
  <c r="G161" i="8"/>
  <c r="G162" i="8"/>
  <c r="G163" i="8"/>
  <c r="G164" i="8"/>
  <c r="G165" i="8"/>
  <c r="G787" i="8"/>
  <c r="G788" i="8"/>
  <c r="G789" i="8"/>
  <c r="G790" i="8"/>
  <c r="G793" i="8"/>
  <c r="G166" i="8"/>
  <c r="G167" i="8"/>
  <c r="G794" i="8"/>
  <c r="G168" i="8"/>
  <c r="G795" i="8"/>
  <c r="G1135" i="8"/>
  <c r="G1136" i="8"/>
  <c r="G1137" i="8"/>
  <c r="G1044" i="8"/>
  <c r="G1045" i="8"/>
  <c r="G1046" i="8"/>
  <c r="G26" i="8"/>
  <c r="G1138" i="8"/>
  <c r="G1139" i="8"/>
  <c r="G278" i="8"/>
  <c r="G1047" i="8"/>
  <c r="G1140" i="8"/>
  <c r="G229" i="8"/>
  <c r="G1054" i="8"/>
  <c r="G1055" i="8"/>
  <c r="G1056" i="8"/>
  <c r="G1057" i="8"/>
  <c r="G1058" i="8"/>
  <c r="G1059" i="8"/>
  <c r="G1060" i="8"/>
  <c r="G1061" i="8"/>
  <c r="G1062" i="8"/>
  <c r="G1063" i="8"/>
  <c r="G1064" i="8"/>
  <c r="G1065" i="8"/>
  <c r="G1066" i="8"/>
  <c r="G1067" i="8"/>
  <c r="G1068" i="8"/>
  <c r="G1069" i="8"/>
  <c r="G56" i="8"/>
  <c r="G1070" i="8"/>
  <c r="G1071" i="8"/>
  <c r="G57" i="8"/>
  <c r="G1072" i="8"/>
  <c r="G1073" i="8"/>
  <c r="G1074" i="8"/>
  <c r="G1075" i="8"/>
  <c r="G1076" i="8"/>
  <c r="G1077" i="8"/>
  <c r="G1080" i="8"/>
  <c r="G1081" i="8"/>
  <c r="G1082" i="8"/>
  <c r="G1083" i="8"/>
  <c r="G1084" i="8"/>
  <c r="G231" i="8"/>
  <c r="G1048" i="8"/>
  <c r="G228" i="8"/>
  <c r="G169" i="8"/>
  <c r="G170" i="8"/>
  <c r="G1012" i="8"/>
  <c r="G1013" i="8"/>
  <c r="G1014" i="8"/>
  <c r="G171" i="8"/>
  <c r="G796" i="8"/>
  <c r="G301" i="8"/>
  <c r="G869" i="8"/>
  <c r="G302" i="8"/>
  <c r="G870" i="8"/>
  <c r="G87" i="8"/>
  <c r="G216" i="8"/>
  <c r="G871" i="8"/>
  <c r="G872" i="8"/>
  <c r="G217" i="8"/>
  <c r="G218" i="8"/>
  <c r="G873" i="8"/>
  <c r="G219" i="8"/>
  <c r="G220" i="8"/>
  <c r="G874" i="8"/>
  <c r="G875" i="8"/>
  <c r="G876" i="8"/>
  <c r="G42" i="8"/>
  <c r="G43" i="8"/>
  <c r="G534" i="8"/>
  <c r="G535" i="8"/>
  <c r="G590" i="8"/>
  <c r="G69" i="8"/>
  <c r="G495" i="8"/>
  <c r="G264" i="8"/>
  <c r="G429" i="8"/>
  <c r="G333" i="8"/>
  <c r="G324" i="8"/>
  <c r="G1145" i="8"/>
  <c r="G70" i="8"/>
  <c r="G71" i="8"/>
  <c r="G372" i="8"/>
  <c r="G373" i="8"/>
  <c r="G172" i="8"/>
  <c r="G94" i="8"/>
  <c r="G173" i="8"/>
  <c r="G797" i="8"/>
  <c r="G798" i="8"/>
  <c r="G174" i="8"/>
  <c r="G175" i="8"/>
  <c r="G799" i="8"/>
  <c r="G800" i="8"/>
  <c r="G801" i="8"/>
  <c r="G176" i="8"/>
  <c r="G177" i="8"/>
  <c r="G802" i="8"/>
  <c r="G803" i="8"/>
  <c r="G804" i="8"/>
  <c r="G805" i="8"/>
  <c r="G806" i="8"/>
  <c r="G807" i="8"/>
  <c r="G808" i="8"/>
  <c r="G809" i="8"/>
  <c r="G810" i="8"/>
  <c r="G811" i="8"/>
  <c r="G27" i="8"/>
  <c r="G1049" i="8"/>
  <c r="G1050" i="8"/>
  <c r="G1051" i="8"/>
  <c r="G1052" i="8"/>
  <c r="G456" i="8"/>
  <c r="G12" i="8"/>
  <c r="G863" i="8"/>
  <c r="G86" i="8"/>
  <c r="G180" i="8"/>
  <c r="G181" i="8"/>
  <c r="G812" i="8"/>
  <c r="G813" i="8"/>
  <c r="G814" i="8"/>
  <c r="G815" i="8"/>
  <c r="G816" i="8"/>
  <c r="G817" i="8"/>
  <c r="G818" i="8"/>
  <c r="G182" i="8"/>
  <c r="G183" i="8"/>
  <c r="G184" i="8"/>
  <c r="G349" i="8"/>
  <c r="G819" i="8"/>
  <c r="G1053" i="8"/>
  <c r="G1141" i="8"/>
  <c r="G78" i="8"/>
  <c r="G1015" i="8"/>
  <c r="G461" i="8"/>
  <c r="G1016" i="8"/>
  <c r="G496" i="8"/>
  <c r="G273" i="8"/>
  <c r="G497" i="8"/>
  <c r="G265" i="8"/>
  <c r="G291" i="8"/>
  <c r="G1146" i="8"/>
  <c r="G1147" i="8"/>
  <c r="G1148" i="8"/>
  <c r="G877" i="8"/>
  <c r="G1019" i="8"/>
  <c r="G350" i="8"/>
  <c r="G351" i="8"/>
  <c r="G1020" i="8"/>
  <c r="G821" i="8"/>
  <c r="G822" i="8"/>
  <c r="G823" i="8"/>
  <c r="G880" i="8"/>
  <c r="G881" i="8"/>
  <c r="G352" i="8"/>
  <c r="G1021" i="8"/>
  <c r="G820" i="8"/>
  <c r="G282" i="8"/>
  <c r="G310" i="8"/>
  <c r="G311" i="8"/>
  <c r="G498" i="8"/>
  <c r="G1022" i="8"/>
  <c r="G1023" i="8"/>
  <c r="G824" i="8" l="1"/>
  <c r="G353" i="8"/>
  <c r="G1132" i="8"/>
  <c r="G1131" i="8"/>
  <c r="G958" i="8"/>
  <c r="G275" i="8"/>
  <c r="G67" i="8"/>
  <c r="G445" i="8"/>
  <c r="G323" i="8"/>
  <c r="G998" i="8"/>
  <c r="G715" i="8"/>
  <c r="G305" i="8"/>
  <c r="G1094" i="8"/>
  <c r="G1095" i="8"/>
  <c r="G407" i="8"/>
  <c r="G1093" i="8"/>
  <c r="G388" i="8"/>
  <c r="G387" i="8"/>
  <c r="G526" i="8"/>
  <c r="G384" i="8"/>
  <c r="G523" i="8"/>
  <c r="G522" i="8"/>
  <c r="G850" i="8"/>
  <c r="G851" i="8"/>
  <c r="G194" i="8"/>
  <c r="G195" i="8"/>
  <c r="G122" i="8"/>
  <c r="G123" i="8"/>
  <c r="G274" i="8"/>
  <c r="G864" i="8"/>
  <c r="G178" i="8"/>
  <c r="G179" i="8"/>
  <c r="G1079" i="8"/>
  <c r="G1078" i="8"/>
  <c r="G791" i="8"/>
  <c r="G792" i="8"/>
  <c r="G158" i="8"/>
  <c r="G157" i="8"/>
  <c r="G861" i="8"/>
  <c r="G862" i="8"/>
  <c r="G313" i="8"/>
  <c r="G887" i="8"/>
  <c r="G994" i="8"/>
  <c r="G995" i="8"/>
  <c r="G39" i="8"/>
  <c r="G720" i="8"/>
  <c r="G1142" i="8"/>
  <c r="G1143" i="8"/>
  <c r="G1017" i="8"/>
  <c r="G1018" i="8"/>
  <c r="G72" i="8"/>
  <c r="G79" i="8"/>
  <c r="G92" i="8"/>
  <c r="G929" i="8"/>
  <c r="G580" i="8"/>
  <c r="G581" i="8"/>
  <c r="G545" i="8"/>
  <c r="G544" i="8"/>
  <c r="G212" i="8"/>
  <c r="G213" i="8"/>
  <c r="G700" i="8"/>
  <c r="G701" i="8"/>
  <c r="G981" i="8"/>
  <c r="G459" i="8"/>
  <c r="G209" i="8"/>
  <c r="G210" i="8"/>
  <c r="G205" i="8"/>
  <c r="G206" i="8"/>
  <c r="G540" i="8"/>
  <c r="G335" i="8"/>
  <c r="G979" i="8"/>
  <c r="G320" i="8"/>
  <c r="G518" i="8"/>
  <c r="G517" i="8"/>
  <c r="G513" i="8"/>
  <c r="G514" i="8"/>
  <c r="G510" i="8"/>
  <c r="G437" i="8"/>
  <c r="G509" i="8"/>
  <c r="G434" i="8"/>
  <c r="G508" i="8"/>
  <c r="G507" i="8"/>
  <c r="G504" i="8"/>
  <c r="G431" i="8"/>
  <c r="G502" i="8"/>
  <c r="G501" i="8"/>
  <c r="G115" i="8"/>
  <c r="G334" i="8"/>
  <c r="G266" i="8"/>
  <c r="G499" i="8"/>
  <c r="G644" i="8"/>
  <c r="G645" i="8"/>
  <c r="G966" i="8"/>
  <c r="G315" i="8"/>
  <c r="G1085" i="8"/>
  <c r="G230" i="8"/>
  <c r="G960" i="8"/>
  <c r="G961" i="8"/>
  <c r="G882" i="8"/>
  <c r="G883" i="8"/>
  <c r="G312" i="8"/>
  <c r="G886" i="8"/>
  <c r="G885" i="8"/>
  <c r="G884" i="8"/>
  <c r="G878" i="8"/>
  <c r="G879" i="8"/>
  <c r="G1149" i="8"/>
  <c r="G28" i="8"/>
  <c r="G785" i="8"/>
  <c r="G786" i="8"/>
  <c r="G155" i="8"/>
  <c r="G156" i="8"/>
  <c r="G106" i="8"/>
  <c r="G107" i="8"/>
  <c r="G1007" i="8"/>
  <c r="G1006" i="8"/>
  <c r="G1118" i="8"/>
  <c r="G1119" i="8"/>
  <c r="G389" i="8"/>
  <c r="G390" i="8"/>
  <c r="G575" i="8"/>
  <c r="G576" i="8"/>
  <c r="G568" i="8"/>
  <c r="G569" i="8"/>
  <c r="G359" i="8"/>
  <c r="G360" i="8"/>
  <c r="G1150" i="8"/>
  <c r="G30" i="8"/>
  <c r="G834" i="8"/>
  <c r="G835" i="8"/>
  <c r="G406" i="8"/>
  <c r="G1092" i="8"/>
  <c r="G532" i="8"/>
  <c r="G531" i="8"/>
  <c r="G524" i="8"/>
  <c r="G525" i="8"/>
  <c r="G196" i="8"/>
  <c r="G845" i="8"/>
  <c r="G124" i="8"/>
  <c r="G125" i="8"/>
  <c r="G1087" i="8"/>
  <c r="G239" i="8"/>
  <c r="G277" i="8"/>
  <c r="G276" i="8"/>
  <c r="G996" i="8"/>
  <c r="G997" i="8"/>
  <c r="G587" i="8"/>
  <c r="G588" i="8"/>
  <c r="G414" i="8"/>
  <c r="G1109" i="8"/>
  <c r="G900" i="8"/>
  <c r="G901" i="8"/>
  <c r="G519" i="8"/>
  <c r="G520" i="8"/>
  <c r="G515" i="8"/>
  <c r="G516" i="8"/>
  <c r="G511" i="8"/>
  <c r="G512" i="8"/>
  <c r="G435" i="8"/>
  <c r="G436" i="8"/>
  <c r="G432" i="8"/>
  <c r="G433" i="8"/>
  <c r="G505" i="8"/>
  <c r="G506" i="8"/>
  <c r="G430" i="8"/>
  <c r="G503" i="8"/>
  <c r="G500" i="8"/>
  <c r="G80" i="8"/>
  <c r="G113" i="8"/>
  <c r="G114" i="8"/>
  <c r="G848" i="8"/>
  <c r="G847" i="8"/>
  <c r="G895" i="8"/>
  <c r="G896" i="8"/>
  <c r="G197" i="8"/>
  <c r="G198" i="8"/>
  <c r="G829" i="8"/>
  <c r="G830" i="8"/>
  <c r="G127" i="8"/>
  <c r="G81" i="8"/>
  <c r="G770" i="8"/>
  <c r="G347" i="8"/>
  <c r="G475" i="8"/>
  <c r="G332" i="8"/>
  <c r="G753" i="8"/>
  <c r="G75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FEFCA0-3075-46AE-8CEE-45A83717423B}" keepAlive="1" name="Consulta - BENFICA" description="Conexão com a consulta 'BENFICA' na pasta de trabalho." type="5" refreshedVersion="8" saveData="1">
    <dbPr connection="Provider=Microsoft.Mashup.OleDb.1;Data Source=$Workbook$;Location=BENFICA;Extended Properties=&quot;&quot;" command="SELECT * FROM [BENFICA]"/>
  </connection>
  <connection id="2" xr16:uid="{FDC58E2F-2930-4F6D-9440-4F2947F93D93}" keepAlive="1" name="Consulta - CENTRAL" description="Conexão com a consulta 'CENTRAL' na pasta de trabalho." type="5" refreshedVersion="8" saveData="1">
    <dbPr connection="Provider=Microsoft.Mashup.OleDb.1;Data Source=$Workbook$;Location=CENTRAL;Extended Properties=&quot;&quot;" command="SELECT * FROM [CENTRAL]"/>
  </connection>
  <connection id="3" xr16:uid="{DF900E11-6B9B-48D2-8E4B-A071099074C2}" keepAlive="1" name="Consulta - PROJ_2025(1)" description="Conexão com a consulta 'PROJ_2025' na pasta de trabalho." type="5" refreshedVersion="8" saveData="1">
    <dbPr connection="Provider=Microsoft.Mashup.OleDb.1;Data Source=$Workbook$;Location=PROJ_2025;Extended Properties=&quot;&quot;" command="SELECT * FROM [PROJ_2025]"/>
    <extLst>
      <ext xmlns:x15="http://schemas.microsoft.com/office/spreadsheetml/2010/11/main" uri="{DE250136-89BD-433C-8126-D09CA5730AF9}">
        <x15:connection id="" excludeFromRefreshAll="1"/>
      </ext>
    </extLst>
  </connection>
  <connection id="4" xr16:uid="{5F7A2813-A1F7-4828-9921-33070A905031}" keepAlive="1" name="Consulta - SUB" description="Conexão com a consulta 'SUB' na pasta de trabalho." type="5" refreshedVersion="8" saveData="1">
    <dbPr connection="Provider=Microsoft.Mashup.OleDb.1;Data Source=$Workbook$;Location=SUB;Extended Properties=&quot;&quot;" command="SELECT * FROM [SUB]"/>
  </connection>
</connections>
</file>

<file path=xl/sharedStrings.xml><?xml version="1.0" encoding="utf-8"?>
<sst xmlns="http://schemas.openxmlformats.org/spreadsheetml/2006/main" count="10219" uniqueCount="2311">
  <si>
    <t>Cód</t>
  </si>
  <si>
    <t>Material</t>
  </si>
  <si>
    <t>U.M.</t>
  </si>
  <si>
    <t>CMM</t>
  </si>
  <si>
    <t>Valor Unitário</t>
  </si>
  <si>
    <t>Quantidade Reservada</t>
  </si>
  <si>
    <t>Estoque</t>
  </si>
  <si>
    <t>CMM 
TOTAL</t>
  </si>
  <si>
    <t>ABRAÇADEIRA COPO 1</t>
  </si>
  <si>
    <t>UN</t>
  </si>
  <si>
    <t>ABRAÇADEIRA SEM FIM 3/4</t>
  </si>
  <si>
    <t>ABRAÇADEIRA TIPO COPO, 1/2¨</t>
  </si>
  <si>
    <t>ABRAÇADEIRA TIPO COPO, DE 3/4</t>
  </si>
  <si>
    <t>ACABAMENTO COM ALAVANCA PARA DESCARGA DE USO DE PNE</t>
  </si>
  <si>
    <t>ACABAMENTO CROMADO PARA VÁLVULA DE DESCARGA 1.1/2 E 1.1/4</t>
  </si>
  <si>
    <t>ACABAMENTO CROMADO PARA VÁLVULA DE DESCARGA FLUX (A-3650-CR)</t>
  </si>
  <si>
    <t>ACABAMENTO CROMADO PARA VÁLVULA DE DESCARGA, 1.1/2 E 1.1/4</t>
  </si>
  <si>
    <t>ACABAMENTO DE VÁLVULA DE DESCARGA TIPO ALAVANCA, CÓD.00184906</t>
  </si>
  <si>
    <t>ACABAMENTO DE VÁLVULA DE DESCARGA TIPO ALAVANCA, HYDRA CONFORTO, CÓD.4916.C.112</t>
  </si>
  <si>
    <t>ACABAMENTO VÁLVULA HYDRA MAX CROMADO</t>
  </si>
  <si>
    <t>ACABAMENTO VÁLVULA HYDRA MAX CROMADO 1.1/2 E 1.1/4</t>
  </si>
  <si>
    <t>ACIONADOR ALAVANCA CROMADO, PARA CAIXA DE DESCARGA ACOPLADA</t>
  </si>
  <si>
    <t>ACIONADOR LATERAL EMBUTIDO, CROMADO, PARA CAIXA DE DESCARGA ACOPLADA</t>
  </si>
  <si>
    <t>ACIONADOR LATERAL EXTERNO, CROMADO, PARA CAIXA DE DESCARGA ACOPLADA</t>
  </si>
  <si>
    <t>ACIONADOR SUPERIOR CROMADO, PARA CAIXA DE DESCARGA ACOPLADA</t>
  </si>
  <si>
    <t>ADAPTADOR EM LATÃO PARA VÁLVULA DE HIDRANTE C/LADO ROSCA INTERNA (65MM) 2 1/2 X 5 FPP E OUTRO LADO TIPO STORZ (40MM)</t>
  </si>
  <si>
    <t>ADAPTADOR INTERNO</t>
  </si>
  <si>
    <t>ADAPTADOR PARA CAIXA D'ÁGUA COM REGISTRO DE 25 MM</t>
  </si>
  <si>
    <t>ADAPTADOR PARA CAIXA D'ÁGUA COM REGISTRO DE 32 MM</t>
  </si>
  <si>
    <t>ADAPTADOR PARA CAIXA D'ÁGUA COM REGISTRO DE 50 MM</t>
  </si>
  <si>
    <t>ADAPTADOR SAÍDA DE VASO SANITÁRIO DN 100</t>
  </si>
  <si>
    <t>ADAPTADOR SOLDÁVEL COM ANEL PARA CAIXA D'ÁGUA DE 20 MM</t>
  </si>
  <si>
    <t>ADAPTADOR SOLDÁVEL COM ANEL PARA CAIXA D'ÁGUA DE 25 MM</t>
  </si>
  <si>
    <t>ADAPTADOR SOLDÁVEL COM ANEL PARA CAIXA D'ÁGUA DE 32 MM</t>
  </si>
  <si>
    <t>ADAPTADOR SOLDÁVEL COM ANEL PARA CAIXA D'ÁGUA DE 40 MM</t>
  </si>
  <si>
    <t>ADAPTADOR SOLDÁVEL COM ANEL PARA CAIXA D'ÁGUA DE 50 MM</t>
  </si>
  <si>
    <t>ADAPTADOR SOLDÁVEL COM ANEL PARA CAIXA D'ÁGUA DE 60 MM</t>
  </si>
  <si>
    <t>ADAPTADOR SOLDÁVEL COM BOLSA ROSCÁVEL, DE 32 MM X 1''</t>
  </si>
  <si>
    <t>ADAPTADOR SOLDÁVEL COM BOLSA ROSCÁVEL, DE 60 MM X 2</t>
  </si>
  <si>
    <t>ADAPTADOR SOLDÁVEL COM FLANGE EM ANEL  DE VEDAÇÃO 40MM X 1.1/4</t>
  </si>
  <si>
    <t>ADAPTADOR SOLDÁVEL COM FLANGE EM ANEL DE VEDAÇÃO 25 MM X 3/4</t>
  </si>
  <si>
    <t>ADAPTADOR SOLDÁVEL COM FLANGE EM ANEL DE VEDAÇÃO 32 MM X 1</t>
  </si>
  <si>
    <t>ADAPTADOR SOLDÁVEL COM FLANGE EM ANEL DE VEDAÇÃO 50MM X 1.1/2</t>
  </si>
  <si>
    <t>ADAPTADOR SOLDÁVEL COM FLANGES LIVRES PARA CAIXA D'ÁGUA  DE 25 X 3/4''</t>
  </si>
  <si>
    <t>ADAPTADOR SOLDÁVEL COM FLANGES LIVRES PARA CAIXA D'ÁGUA DE 110 X 4''</t>
  </si>
  <si>
    <t>ADAPTADOR SOLDÁVEL COM FLANGES LIVRES PARA CAIXA D'ÁGUA DE 40 X 1.1/4''</t>
  </si>
  <si>
    <t>ADAPTADOR SOLDÁVEL COM FLANGES LIVRES PARA CAIXA D'ÁGUA DE 50 X 1.1/2''</t>
  </si>
  <si>
    <t>ADAPTADOR SOLDÁVEL COM FLANGES LIVRES PARA CAIXA D'ÁGUA DE 60 X 2''</t>
  </si>
  <si>
    <t>ADAPTADOR SOLDÁVEL COM FLANGES LIVRES PARA CAIXA D'ÁGUA DE 75 X 2.1/2''</t>
  </si>
  <si>
    <t>ADAPTADOR SOLDÁVEL COM FLANGES LIVRES PARA CAIXA D'ÁGUA DE 85 X 3''</t>
  </si>
  <si>
    <t>ADAPTADOR SOLDÁVEL CURTO 25 MM X 3/4</t>
  </si>
  <si>
    <t>ADAPTADOR SOLDÁVEL CURTO 32 MM X 1</t>
  </si>
  <si>
    <t>ADAPTADOR SOLDÁVEL CURTO 40 MM X 1.1/4</t>
  </si>
  <si>
    <t>ADAPTADOR SOLDÁVEL CURTO 50 MM X 1.1/2</t>
  </si>
  <si>
    <t>ADAPTADOR SOLDÁVEL CURTO C/ BOLSA E ROSCA PARA REGISTRO DE 85 MM X 3''</t>
  </si>
  <si>
    <t>ADAPTADOR SOLDÁVEL CURTO C/ BOLSA ROSCA PARA REGISTRO DE 40MM X 1.1/4</t>
  </si>
  <si>
    <t>ADAPTADOR SOLDÁVEL CURTO C/ BOLSA ROSCA PARA REGISTRO DE 50MM X 1.1/2</t>
  </si>
  <si>
    <t>ADAPTADOR SOLDÁVEL CURTO COM BOLSA ROSCÁVEL P/ REGISTRO 20 X 1/2</t>
  </si>
  <si>
    <t>ADAPTADOR SOLDÁVEL CURTO COM BOLSA ROSCÁVEL P/ REGISTRO DE 25 X 3/4</t>
  </si>
  <si>
    <t>ADAPTADOR SOLDÁVEL CURTO COM BOLSA ROSCÁVEL P/ REGISTRO DE 60 MM X 2</t>
  </si>
  <si>
    <t>ADAPTADOR SOLDÁVEL CURTO COM BOLSA ROSCÁVEL P/ REGISTRO DE 75 MM X 21/2</t>
  </si>
  <si>
    <t>ADAPTADOR SOLDÁVEL CURTO COM BOLSA ROSCÁVEL P/ REGISTRO DE 85 MM X 3</t>
  </si>
  <si>
    <t>ADESIVO DE CONTATO EXTRA COLA - GALÃO ENTRE 3,2 E 3,5 L/2,8KG</t>
  </si>
  <si>
    <t>GL</t>
  </si>
  <si>
    <t>ADESIVO DE CONTATO EXTRA, SEM TOLUOL, 2,8 KG</t>
  </si>
  <si>
    <t>ADESIVO ESTRUTURAL DE BASE EPÓXI MÉDIA FLUIDEZ - COMPOUND 1KG CINZA</t>
  </si>
  <si>
    <t>ADESIVO PARA APLICAÇÃO EM PLACAS DE  PAVIFLEX PISO, 23KG</t>
  </si>
  <si>
    <t>BD</t>
  </si>
  <si>
    <t>ADESIVO PLÁSTICO PARA PVC INCOLOR, BISNAGA DE 75 G</t>
  </si>
  <si>
    <t>ADUELA (BATENTE) DE CEDRINHO OU ANGELIM PARA PORTA DE 100 CM. DIMENSÕES 15 CM X 3 CM, COM 3,5 CM DE REBAIXO (JOGO COMPLETO SEM ALIZAR)</t>
  </si>
  <si>
    <t>ADUELA (BATENTE) DE CEDRINHO OU ANGELIM PARA PORTA DE 80 CM. DIMENSÕES 15 CM X 3 CM, COM 3,5 CM DE REBAIXO (JOGO COMPLETO SEM ALIZAR)</t>
  </si>
  <si>
    <t>ADUELA DE CEDRINHO PARA PORTA DE 80 CM X 2,10 M DE 15 X 3 CM, COM 3,5 CM DE REBAIXO (JOGO COMPLETO)</t>
  </si>
  <si>
    <t>ALARME AUDIOVISUAL PARA BANHEIRO PNE/PCD A PILHA</t>
  </si>
  <si>
    <t>ALIZAR DE CEDRINHO OU ANGELIM PARA PORTA DE 100 CM COM 7 X 1,5 CM (JOGO COMPLETO)</t>
  </si>
  <si>
    <t>ALIZAR DE CEDRINHO OU ANGELIM PARA PORTA DE 80 CM COM 7 X 1,5 CM (JOGO COMPLETO)</t>
  </si>
  <si>
    <t>ANEL DE BORRACHA PARA ESGOTO 100MM</t>
  </si>
  <si>
    <t>ANEL DE BORRACHA PARA ESGOTO 50MM</t>
  </si>
  <si>
    <t>ANEL DE BORRACHA PARA ESGOTO 75MM</t>
  </si>
  <si>
    <t>ANEL DE CERA PARA VEDAÇÃO DE VASO SANITÁRIO</t>
  </si>
  <si>
    <t>ANEL DE CERA PARA VEDAÇÃO DE VASO SANITÁRIO COMPLETO COM PARAFUSO</t>
  </si>
  <si>
    <t>ARAME 10 TIRANTE  ROLO 10KG</t>
  </si>
  <si>
    <t>ARAME GALVANIZADO BWG Nº 16</t>
  </si>
  <si>
    <t>KG</t>
  </si>
  <si>
    <t>ARAME GALVANIZADO BWG Nº 18 (1,24 MM)</t>
  </si>
  <si>
    <t>ARAME GALVANIZADO BWG Nº 18, 1,24 MM</t>
  </si>
  <si>
    <t>AREIA (10KG)</t>
  </si>
  <si>
    <t>SC</t>
  </si>
  <si>
    <t>AREIA LAVADA - SACO DE 10 KG</t>
  </si>
  <si>
    <t>AREJADOR DE LATÃO CROMADO ROSCA FÊMEA 1/2</t>
  </si>
  <si>
    <t>AREJADOR DE LATÃO CROMADO ROSCA MACHO 1/2</t>
  </si>
  <si>
    <t>AREJADOR PARA TORNEIRA DE LAVATÓRIO FÊMEA</t>
  </si>
  <si>
    <t>AREJADOR PARA TORNEIRA DE LAVATÓRIO MACHO, ROSCA EXTERNA CPD 0188</t>
  </si>
  <si>
    <t>ARGAMASSA AUTONIVELANTE PARA REGULARIZAÇÃO DE PISO COM ACABAMENTO LISO - SACO COM 20KG</t>
  </si>
  <si>
    <t>ARGAMASSA COLANTE E CIMENTÍCIA PARA ASSENTAMENTO DE CERÂMICAS E PORCELANATOS EM ÁREAS INTERNAS, EXTERNAS E FACHADAS - ARGAMASSA FLEXÍVEL CINZA ACIII - SACO COM 20KG.</t>
  </si>
  <si>
    <t>ARGAMASSA COLANTE MULTIUSO, PARA ÁREA EXTERNA, SACO DE 20KG, ACII</t>
  </si>
  <si>
    <t>ARGAMASSA IMPERMEABILIZANTE VIAPLUS 7000 FIBRAS 18KG</t>
  </si>
  <si>
    <t>CX</t>
  </si>
  <si>
    <t>ARGAMASSA MULTIMASSA SACO DE 20KG</t>
  </si>
  <si>
    <t>ARGAMASSA MULTIUSO PRONTA SACO DE 25KG</t>
  </si>
  <si>
    <t>ARGAMASSA PARA ASSENTAMENTO, PARA PORCELANATO INTERNO, 20 KG</t>
  </si>
  <si>
    <t>ARGAMASSA PRONTA</t>
  </si>
  <si>
    <t>ASSENTO ALMOFADADO REFORÇADO NA COR BRANCA, PARA BACIA SANITÁRIA</t>
  </si>
  <si>
    <t>ASSENTO ELEVADO, 13,5 CM ALTURA, PARA BACIA SANITÁRIA</t>
  </si>
  <si>
    <t>ASSENTO ESTOFADO PARA BACIA SANITÁRIA</t>
  </si>
  <si>
    <t>ASSENTO LAQUEADO, BRANCO GELO, PARA BACIA SANITÁRIA</t>
  </si>
  <si>
    <t>ASSENTO LAQUEADO, BRANCO NEVE, PARA BACIA SANITÁRIA</t>
  </si>
  <si>
    <t>ASSENTO TERMOFIXO TUPAN SOFT CLOSE</t>
  </si>
  <si>
    <t>ASSOALHO DE MADEIRA IPÊ OU MAÇARANDUBA NA MEDIDA DE 14X2X300CM.</t>
  </si>
  <si>
    <t>PC</t>
  </si>
  <si>
    <t>ASSOALHO MADEIRA IPÊ DE 2 CM X 10 CM</t>
  </si>
  <si>
    <t>M2</t>
  </si>
  <si>
    <t>BACIA PARA CAIXA</t>
  </si>
  <si>
    <t>BACIA SANITÁRIA COM CAIXA ACOPLADA DUAL FLUX NA COR BRANCA</t>
  </si>
  <si>
    <t>BACIA SANITÁRIA CONVENCIONAL EM LOUÇA, COR BRANCA</t>
  </si>
  <si>
    <t>BACIA SANITÁRIA CONVENCIONAL, COR BRANCO GELO</t>
  </si>
  <si>
    <t>BACIA SANITÁRIA PARA CAIXA ACOPLADA, P.505</t>
  </si>
  <si>
    <t>BANCADA MESA PIA EM AÇO INOX COM CUBA (50X40X25) A ESQUERDA (140X70X85)</t>
  </si>
  <si>
    <t>BANCO ARTICULADO E DOBRÁVEL DE BANHO 70CM X 45CM</t>
  </si>
  <si>
    <t>BARRA CHATA 1 X 1/4X 6 M DE COMPRIMENTO</t>
  </si>
  <si>
    <t>BARRA CHATA DE AÇO CARBONO DE 1 X 1/8 DE 6M</t>
  </si>
  <si>
    <t>BARRA CHATA DE AÇO CARBONO DE 2 X 1/8 DE 6M</t>
  </si>
  <si>
    <t>BARRA CHATA MEDINDO 1/2 X 1/8, 6M DE COMPRIMENTO</t>
  </si>
  <si>
    <t>BARRA CHATA MEDINDO 3/4 X 1/8, 6M DE COMPRIMENTO</t>
  </si>
  <si>
    <t>BARRA DE APOIO FIXA, 30CM - INOX</t>
  </si>
  <si>
    <t>BARRA DE APOIO FIXA, 40CM - INOX</t>
  </si>
  <si>
    <t>BARRA DE APOIO FIXA, 80CM - INOX</t>
  </si>
  <si>
    <t>BARRA DE APOIO RETA, 40CM - INOX</t>
  </si>
  <si>
    <t>BARRA DE APOIO RETA, 70CM - INOX</t>
  </si>
  <si>
    <t>BARRA DE APOIO RETA, 80CM - INOX</t>
  </si>
  <si>
    <t>BARRA LAVATÓRIO U LATERAL, 26X23CM - INOX</t>
  </si>
  <si>
    <t>BARRA REDONDA DE AÇO CARBONO 5/8 DE 6M</t>
  </si>
  <si>
    <t>BARRA TUBULAR, EM AÇO INOX ESCOVADO, 1.1/4'', 104 CM</t>
  </si>
  <si>
    <t>BARRA TUBULAR, EM AÇO INOX ESCOVADO, 1.1/4'', 40 CM</t>
  </si>
  <si>
    <t>BARRA TUBULAR, EM AÇO INOX ESCOVADO, 1.1/4'', 80 CM</t>
  </si>
  <si>
    <t>BASE PARA REGISTRO DE PRESSÃO DE 1/2</t>
  </si>
  <si>
    <t>BASE PARA REGISTRO DE PRESSÃO DE 3/4</t>
  </si>
  <si>
    <t>BASE PARA VÁLVULA DE DESCARGA 1. 1/4</t>
  </si>
  <si>
    <t>BASE PARA VÁLVULA DE DESCARGA 1.1/2 COD.30705</t>
  </si>
  <si>
    <t>BATEDOR DE PORTA TIPO BOLA ESFERA</t>
  </si>
  <si>
    <t>BATENTE BOLA BRANCA</t>
  </si>
  <si>
    <t>BLOCO DE CONCRETO</t>
  </si>
  <si>
    <t>BOBINA C/MOLA 4 METROS</t>
  </si>
  <si>
    <t>BOBINA C/MOLA 6 METROS</t>
  </si>
  <si>
    <t>BORBOLETA PARA TRAVA JANELA GUILHOTINA 70 MM X 75 MM, COM PARAFUSO PARA FIXAÇÃO - PAR</t>
  </si>
  <si>
    <t>PR</t>
  </si>
  <si>
    <t>BUCHA DE NYLON S10</t>
  </si>
  <si>
    <t>BUCHA DE NYLON S12</t>
  </si>
  <si>
    <t>BUCHA DE NYLON S12 (EMBALAGEM COM 100 UNIDADES)</t>
  </si>
  <si>
    <t>BUCHA DE NYLON S7</t>
  </si>
  <si>
    <t>BUCHA DE NYLON S7 (EMBALAGEM COM 100 UNIDADES)</t>
  </si>
  <si>
    <t>BUCHA DE NYLON S8</t>
  </si>
  <si>
    <t>BUCHA DE NYLON S8 (EMBALAGEM COM 100 UNIDADES)</t>
  </si>
  <si>
    <t>BUCHA DE REDUÇÃO ROSCÁVEL 1 X 1/2</t>
  </si>
  <si>
    <t>BUCHA DE REDUÇÃO ROSCÁVEL 1 X 3/4</t>
  </si>
  <si>
    <t>BUCHA DE REDUÇÃO ROSCÁVEL 1. 1/4 X 3/4</t>
  </si>
  <si>
    <t>BUCHA DE REDUÇÃO ROSCÁVEL 1.1/4'' X 1''</t>
  </si>
  <si>
    <t>BUCHA DE REDUÇÃO ROSCÁVEL 3/4 X 1/2</t>
  </si>
  <si>
    <t>BUCHA DE REDUÇÃO ROSCÁVEL DE 1.1/2'' X 1''</t>
  </si>
  <si>
    <t>BUCHA DE REDUÇÃO ROSCÁVEL DE 1.1/2'' X 1.1/4''</t>
  </si>
  <si>
    <t>BUCHA DE REDUÇÃO ROSCÁVEL DE 1.1/2'' X 3/4''</t>
  </si>
  <si>
    <t>BUCHA DE REDUÇÃO ROSCÁVEL DE 2'' X 1''</t>
  </si>
  <si>
    <t>BUCHA DE REDUÇÃO ROSCÁVEL DE 2'' X 1.1/2''</t>
  </si>
  <si>
    <t>BUCHA DE REDUÇÃO ROSCÁVEL DE 2'' X 1.1/4''</t>
  </si>
  <si>
    <t>BUCHA DE REDUÇÃO SOLDÁVEL CURTA 25 MM X20 MM</t>
  </si>
  <si>
    <t>BUCHA DE REDUÇÃO SOLDÁVEL CURTA 32 MM X25 MM</t>
  </si>
  <si>
    <t>BUCHA DE REDUÇÃO SOLDÁVEL CURTA 40 MM X32 MM</t>
  </si>
  <si>
    <t>BUCHA DE REDUÇÃO SOLDÁVEL CURTA 50  X 40 MM</t>
  </si>
  <si>
    <t>BUCHA DE REDUÇÃO SOLDÁVEL CURTA 60 X 50 MM</t>
  </si>
  <si>
    <t>BUCHA DE REDUÇÃO SOLDÁVEL CURTA DE 75 MM X 60 MM</t>
  </si>
  <si>
    <t>BUCHA DE REDUÇÃO SOLDÁVEL CURTA DE 85 MM X 75 MM</t>
  </si>
  <si>
    <t>BUCHA DE REDUÇÃO SOLDÁVEL LONGA 75MM X 50MM</t>
  </si>
  <si>
    <t>BUCHA DE REDUÇÃO SOLDÁVEL LONGA 85 MM X 60 MM</t>
  </si>
  <si>
    <t>BUCHA SFORBOLT PARA DRYWALL COM PARAFUSO DE 1/4 X 2.1/2 - CAIXA 100 UND</t>
  </si>
  <si>
    <t>CABIDE AÇO</t>
  </si>
  <si>
    <t>CABO PARA ROLO DE 23 CM</t>
  </si>
  <si>
    <t>CADEADO 30MM</t>
  </si>
  <si>
    <t>CADEADO 30MM COM PORTA CADEADO</t>
  </si>
  <si>
    <t>CADEADO 35MM COM PORTA CADEADO</t>
  </si>
  <si>
    <t>CADEADO 40MM</t>
  </si>
  <si>
    <t>CADEADO 40MM COM PORTA CADEADO</t>
  </si>
  <si>
    <t>CADEADO DE 25MM</t>
  </si>
  <si>
    <t>CADEADO DE 35MM</t>
  </si>
  <si>
    <t>CADEADO DE SOLO PARA PORTA DE AÇO 011T. TETRA</t>
  </si>
  <si>
    <t>CAIBRO 5X5CM COM 3M</t>
  </si>
  <si>
    <t>CAIBRO DE IPÊ DE 6 X 6 X 300 CM</t>
  </si>
  <si>
    <t>CAIBRO DE MADEIRA 5CMX5CMX250CM</t>
  </si>
  <si>
    <t>CAIBRO MAÇARANDUBA MED.3M</t>
  </si>
  <si>
    <t>CAIXA ACOPLADA COM MECANISMO DE ACIONAMENTO DUPLO, COR BRANCA</t>
  </si>
  <si>
    <t>CAIXA COMPOSTA POR MOLDURA EM PERFIL U MED. 12X12 CM</t>
  </si>
  <si>
    <t>CAIXA COMPOSTA POR MOLDURA EM PERFIL U MED. 22X22 CM</t>
  </si>
  <si>
    <t>CAIXA COMPOSTA POR MOLDURA EM PERFIL U MED. 22X32 CM</t>
  </si>
  <si>
    <t>CAIXA COMPOSTA POR MOLDURA EM PERFIL U MED. 52X52 CM</t>
  </si>
  <si>
    <t>CAIXA COMPOSTA POR MOLDURA EM PERFIL U MED. 9X22 CM</t>
  </si>
  <si>
    <t>CAIXA D'AGUA EM POLIETILENO NA COR AZUL, TAMPA COM TRAVAMENTO, CAPACIDADE DE 10.000L</t>
  </si>
  <si>
    <t>CAIXA D'AGUA EM POLIETILENO NA COR AZUL, TAMPA COM TRAVAMENTO;CAPACIDADE DE 2.000L</t>
  </si>
  <si>
    <t>CAIXA D'ÁGUA 1000 LITROS</t>
  </si>
  <si>
    <t>CAIXA DE DESCARGA EXTERNA</t>
  </si>
  <si>
    <t>CAIXA SIFONADA MONTADA COM GRELHA E PORTA GRELHA DN 150X150X50 MM</t>
  </si>
  <si>
    <t>CAIXA SIFONADA MONTADA COM GRELHA E TAMPA REDONDA MED. 250X172X50 (PVC)</t>
  </si>
  <si>
    <t>CAIXA SIFONADA N70 RED 3 ENTR. 250 X 172 X 50, MONTADA COM TAMPA DE PVC REDONDA BRANCA</t>
  </si>
  <si>
    <t>CAMISA DE ESPUMA DE 23CM</t>
  </si>
  <si>
    <t>CANOPLA PARA VÁLVULA PRIMOR ABS 880</t>
  </si>
  <si>
    <t>CANTONEIRA BRANCA 30 X 30 CM, COM SUPORTE TIPO MÃO FRANCESA</t>
  </si>
  <si>
    <t>CANTONEIRA DE ABAS IGUAIS AÇO CARBONO, DE 1 X 1/8, MED. 6M</t>
  </si>
  <si>
    <t>CANTONEIRA DE ABAS IGUAIS AÇO CARBONO, DE 1. 1/2 X 1/8, MED. 6M</t>
  </si>
  <si>
    <t>CANTONEIRA DE ABAS IGUAIS AÇO CARBONO, DE 2 X 3/16, MED. 6M</t>
  </si>
  <si>
    <t>CANTONEIRA DE ABAS IGUAIS AÇO CARBONO, DE 3/4 X 1/8, MED. 6M</t>
  </si>
  <si>
    <t>CANTONEIRA LISA PERFIL, DRYWALL 25 X 30 X 3M</t>
  </si>
  <si>
    <t>CANTONEIRA PARA PRATELEIRAS DE 30CM EM BARRA CHATA DE FERRO, COM SUPORTE TIPO MÃO FRANCESA</t>
  </si>
  <si>
    <t>CANTONEIRA REMOVÍVEL BRANCA 3000X22X22MM</t>
  </si>
  <si>
    <t>CAP DE PVC, ROSCÁVEL, DE 1'</t>
  </si>
  <si>
    <t>CAP DE PVC, ROSCÁVEL, DE 1.1/2</t>
  </si>
  <si>
    <t>CAP DE PVC, ROSCÁVEL, DE 1.1/4</t>
  </si>
  <si>
    <t>CAP DE PVC, ROSCÁVEL, DE 1/2</t>
  </si>
  <si>
    <t>CAP DE PVC, ROSCÁVEL, DE 2</t>
  </si>
  <si>
    <t>CAP DE PVC, ROSCÁVEL, DE 3/4</t>
  </si>
  <si>
    <t>CAP DE PVC, SOLDÁVEL - 20 MM</t>
  </si>
  <si>
    <t>CAP DE PVC, SOLDÁVEL - 25 MM</t>
  </si>
  <si>
    <t>CAP DE PVC, SOLDÁVEL - 32MM</t>
  </si>
  <si>
    <t>CAP DE PVC, SOLDÁVEL - 40 MM</t>
  </si>
  <si>
    <t>CAP DE PVC, SOLDÁVEL - 50 MM</t>
  </si>
  <si>
    <t>CAP DE PVC, SOLDÁVEL - 60 MM</t>
  </si>
  <si>
    <t>CAP DE PVC, SOLDÁVEL - 75MM</t>
  </si>
  <si>
    <t>CAP DE PVC, SÉRIE NORMAL - DN  100MM</t>
  </si>
  <si>
    <t>CAP DE PVC, SÉRIE NORMAL - DN  40MM</t>
  </si>
  <si>
    <t>CAP DE PVC, SÉRIE NORMAL - DN  75MM</t>
  </si>
  <si>
    <t>CAP DE PVC, SÉRIE NORMAL - DN 40MM</t>
  </si>
  <si>
    <t>CAP DE PVC, SÉRIE NORMAL - DN 50MM</t>
  </si>
  <si>
    <t>CARRANCA PARA JANELA COM PARAFUSO E BUCHA S/7 ¿ PAR</t>
  </si>
  <si>
    <t>CASTELO COMPLEMENTO PARA VÁLVULA DE DESCARGA FLUXO -CPD-06134</t>
  </si>
  <si>
    <t>CASTELO COMPLETO</t>
  </si>
  <si>
    <t>CASTELO PARA TORNEIRA</t>
  </si>
  <si>
    <t>CHAPA DE COMPENSADO CEDRO NAVAL 1,60 X 2,20 ESPESSURA DE 6MM</t>
  </si>
  <si>
    <t>CHAPA DE COMPENSADO NAVAL 1,60M X 2,20M ESPESSURA DE 10 MM</t>
  </si>
  <si>
    <t>CHAPA DE COMPENSADO NAVAL 1,60M X 2,20M ESPESSURA DE 15MM</t>
  </si>
  <si>
    <t>CHAPA DE COMPENSADO NAVAL 1,60M X 2,20M ESPESSURA DE 20MM</t>
  </si>
  <si>
    <t>CHAPA DE FERRO METALON, MEDINDO 70 X 30 MM, 18 MM DE ESPESSURA, 6 M DE COMPRIMENTO</t>
  </si>
  <si>
    <t>CHAPA DE FERRO PRETA LISA 1X1X 3/16</t>
  </si>
  <si>
    <t>CHAPA DE LAMINADO MELAMÍNICO, BRANCO, DIMENSÕES 3085MM X 1250MM X 0,8MM DE ESPESSURA ACABAMENTO TEXTURIZADO</t>
  </si>
  <si>
    <t>CHAPA DE LAMINADO MELAMÍNICO, FOGGY, DIMENSÕES 3085MM X 1250MM X 0,8MM DE ESPESSURA ACABAMENTO TEXTURIZADO</t>
  </si>
  <si>
    <t>CHAPA DE LAMINADO TEXTURIZADA 3,08 X 1,25 M E 0,8 MM DE ESPESSURA, COR BRANCA</t>
  </si>
  <si>
    <t>CHAPA DE LAMINADO TEXTURIZADA, COM 1,3MM, COR BRANCA</t>
  </si>
  <si>
    <t>CHAPA DE OSB LP HOME PLUS, 2,20 X 1,22 M ESPESSURA DE 10 MM</t>
  </si>
  <si>
    <t>CHAPA DE PINUS NAVAL CRU, 2200 X 1600 X 10MM (220 X 160 X 1CM)</t>
  </si>
  <si>
    <t>CHAPA DE PINUS NAVAL CRU, 2200 X 1600 X 15MM (220 X 160 X 1,5CM)</t>
  </si>
  <si>
    <t>CHAPA DE PINUS NAVAL CRU, 2200 X 1600 X 20MM (220 X 160 X 2CM)</t>
  </si>
  <si>
    <t>CHAPA DE PROTEÇÃO , EM AÇO INOX ESCOVADO, 90X40 CM</t>
  </si>
  <si>
    <t>CHAPA DRYWALL V RU VERDE - MED: 120X180CMX12,5MM</t>
  </si>
  <si>
    <t>CHAPA EM AÇO GALVANIZADO N 18 (1,25MM) DIMENSÕES 2,00M X 1,00M</t>
  </si>
  <si>
    <t>CHAPA EM AÇO GALVANIZADO N 20 (0,95MM) DIMENSÕES 2,00M X 1,00M</t>
  </si>
  <si>
    <t>CHAPA GALVANIZADA, MEDINDO 2,00  X 1,00 METROS</t>
  </si>
  <si>
    <t>CHAPA PINUS NAVAL CRU, 2200 X 1600 X 6 MM (220 X 160 X 0,6 CM)</t>
  </si>
  <si>
    <t>CHAPA XADREZ DE AÇO CARBONO DE 2M X 1M E 3MM DE ESPESSURA</t>
  </si>
  <si>
    <t>CHAVE GOLD MOD. 002 - YALE</t>
  </si>
  <si>
    <t>CHAVE GOLD MOD. 016 - LA FONTE PEQ. L.Y.</t>
  </si>
  <si>
    <t>CHAVE GOLD MOD. 027 - AROUCA PEQ.</t>
  </si>
  <si>
    <t>CHAVE GOLD MOD. 072 - ALIANÇA PEQ. L.Y.</t>
  </si>
  <si>
    <t>CHAVE GOLD MOD. 1026</t>
  </si>
  <si>
    <t>CHAVE GOLD MOD. 109 - PACRI FECHADURA ELÉTRICA L.Y.</t>
  </si>
  <si>
    <t>CHAVE GOLD MOD. 1097 SOPRANO ARQUIVO</t>
  </si>
  <si>
    <t>CHAVE GOLD MOD. 1112 STAM FECH. LUM. C/REB</t>
  </si>
  <si>
    <t>CHAVE GOLD MOD. 142 - PAPAIZ L. UM</t>
  </si>
  <si>
    <t>CHAVE GOLD MOD. 150</t>
  </si>
  <si>
    <t>CHAVE GOLD MOD. 270 - LA FONTE GDE L.Y.</t>
  </si>
  <si>
    <t>CHAVE GOLD MOD. 297</t>
  </si>
  <si>
    <t>CHAVE GOLD MOD. 300 - PADO CAD. 7 PINOS  L.UM</t>
  </si>
  <si>
    <t>CHAVE GOLD MOD. 302</t>
  </si>
  <si>
    <t>CHAVE GOLD MOD. 381 - HAGA FECH. L.Y.</t>
  </si>
  <si>
    <t>CHAVE GOLD MOD. 398 - LOCKWELL GRANDE L. UM</t>
  </si>
  <si>
    <t>CHAVE GOLD MOD. 611</t>
  </si>
  <si>
    <t>CHAVE GOLD MOD. 721 - IMAB PEQ.</t>
  </si>
  <si>
    <t>CHAVE GOLD MOD. 749</t>
  </si>
  <si>
    <t>CHAVE GOLD MOD. 832 - AROUCA FECH.</t>
  </si>
  <si>
    <t>CHAVE GOLD MOD. 858 - LA FONTE FECH.</t>
  </si>
  <si>
    <t>CHAVE GOLD PACRI 109</t>
  </si>
  <si>
    <t>CHAVE GOLD VOUGA MOD.554 L.UM</t>
  </si>
  <si>
    <t>CHAVE HELA PERFIL STAM 1114</t>
  </si>
  <si>
    <t>CHAVE LOKWELL GRANDE LUM</t>
  </si>
  <si>
    <t>CHAVE PARA GAVETEIRO 1022 PAPAIZ</t>
  </si>
  <si>
    <t>CHAVE SOPRANO CURTA 1115</t>
  </si>
  <si>
    <t>CHAVE STAM 1111</t>
  </si>
  <si>
    <t>CHAVE TETRA CHAVE PAPAIZ 140</t>
  </si>
  <si>
    <t>CHAVE TETRA GOLD MOD. 183</t>
  </si>
  <si>
    <t>CHAVE TETRA GOLD MOD. 183 PAPAIZ</t>
  </si>
  <si>
    <t>CIMENTO BRANCO SACO DE 1KG</t>
  </si>
  <si>
    <t>CIMENTO CP II, SACO  COM 25 KG</t>
  </si>
  <si>
    <t>CIMENTO CP II, SACO 50 KG</t>
  </si>
  <si>
    <t>COLA ADESIVA PVA EXTRA, 1KG</t>
  </si>
  <si>
    <t>COLA BRANCA PARA MADEIRA CASCOREZ EXTRA, 1KG</t>
  </si>
  <si>
    <t>COLA EPÓXI DUREPOXI SECAGEM EM 2 HORAS, CX DE 100 G</t>
  </si>
  <si>
    <t>COLA PARA CARPETE, ADESIVO GRID SET GREEN GLUE</t>
  </si>
  <si>
    <t>COLA PARA CARPETE, ADESIVO GRID SET GREEN GLUE, 4 GALÕES</t>
  </si>
  <si>
    <t>COLA PARA PISO VINÍLICO</t>
  </si>
  <si>
    <t>CONCERTINA DE AÇO</t>
  </si>
  <si>
    <t>RL</t>
  </si>
  <si>
    <t>CONE DE VEDAÇÃO</t>
  </si>
  <si>
    <t>CONEXÃO DE SAÍDA 40MM</t>
  </si>
  <si>
    <t>CONEXÃO DE SAÍDA 50MM</t>
  </si>
  <si>
    <t>CONJUNTO DE BARRA ANTIPÂNICO PARA PORTA DE MADEIRA DUPLA, MEDINDO 1,00 M X 2,10 M, COM FECHADURA E MAÇANETA EXTERNA.</t>
  </si>
  <si>
    <t>CONJUNTO DE FIXAÇÃO PARA TANQUE, COM BUCHA DE 12 MM</t>
  </si>
  <si>
    <t>CONJUNTO DE PARAFUSO P/ TELHA DE FIBROCIMENTO 5/16 X 110 MM, ARRUELA DE VEDAÇÃO CÔNCAVA PVC E ARRUELA DE VEDAÇÃO DE FERRO ZINCADO.</t>
  </si>
  <si>
    <t>CONJUNTO MOVEL AUTOMÁTICO CARGA 80KG</t>
  </si>
  <si>
    <t>CONJUNTO PARA INSTALAÇÃO DO MICTÓRIO</t>
  </si>
  <si>
    <t>CONJUNTO PARA INSTALAÇÃO DO MICTÓRIO MODELO M712</t>
  </si>
  <si>
    <t>CONJUNTO PARAFUSO DE FIXAÇÃO LATERAL PARA BACIA SANITÁRIA</t>
  </si>
  <si>
    <t>CONJUNTO PARAFUSO DE FIXAÇÃO PARA BACIA E LAVATÓRIO CROMADO B 8</t>
  </si>
  <si>
    <t>CONTRA-SEDE PARA VÁLVULA</t>
  </si>
  <si>
    <t>CONTRA-SEDE PARA VÁLVULA HIDRA MAX 2550</t>
  </si>
  <si>
    <t>CORRENTE E FIXADOR PARA CAIXA ACOPLADA</t>
  </si>
  <si>
    <t>CORTIÇA EMBORRACHADA EM FOLHA MEDINDO 60 X 90 CM E COM 2 MM DE ESPESSURA</t>
  </si>
  <si>
    <t>CRUZETA SOLDÁVEL DE 25 MM</t>
  </si>
  <si>
    <t>CRUZETA SOLDÁVEL DE 50 MM</t>
  </si>
  <si>
    <t>CUBA OVAL GRANDE BRANCA SEM LADRÃO, COR BRANCA</t>
  </si>
  <si>
    <t>CURVA DE PVC DE 90 CURTA P/ ESGOTO PRIMÁRIO - DN 100 MM</t>
  </si>
  <si>
    <t>CURVA DE PVC DE 90 CURTA P/ ESGOTO PRIMÁRIO - DN 50 MM</t>
  </si>
  <si>
    <t>CURVA DE PVC DE 90 CURTA P/ ESGOTO SECUNDÁRIO - DN 40MM</t>
  </si>
  <si>
    <t>CURVA DE PVC DE 90 CURTA P/ ESGOTO, 150 MM</t>
  </si>
  <si>
    <t>CURVA DE PVC DE 90 CURTA SÉRIE NORMAL - DN 75 MM</t>
  </si>
  <si>
    <t>CURVA DE PVC DE 90 CURTA SÉRIE NORMAL DE 100 MM</t>
  </si>
  <si>
    <t>CURVA DE PVC DE 90 CURTA SÉRIE NORMAL DE 40 MM</t>
  </si>
  <si>
    <t>CURVA DE PVC DE 90 CURTA SÉRIE NORMAL DE 50 MM</t>
  </si>
  <si>
    <t>CURVA DE PVC DE 90 CURTA SÉRIE NORMAL DE 75 MM</t>
  </si>
  <si>
    <t>CURVA DE PVC DE 90 LONGA P/ ESGOTO, 150 MM</t>
  </si>
  <si>
    <t>CURVA DE PVC DE 90 LONGA P/ ESGOTO, SN - DN 100 MM</t>
  </si>
  <si>
    <t>CURVA DE PVC DE 90 LONGA P/ ESGOTO, SN - DN 40 MM</t>
  </si>
  <si>
    <t>CURVA DE PVC DE 90 LONGA P/ ESGOTO, SN - DN 50 MM</t>
  </si>
  <si>
    <t>CURVA DE PVC DE 90 LONGA P/ ESGOTO, SN - DN 75 MM</t>
  </si>
  <si>
    <t>CURVA DE PVC DE 90 SOLDÁVEL DE 20MM</t>
  </si>
  <si>
    <t>CURVA DE PVC DE 90 SOLDÁVEL DE 25 MM</t>
  </si>
  <si>
    <t>CURVA DE PVC DE 90 SOLDÁVEL DE 32 MM</t>
  </si>
  <si>
    <t>CURVA DE PVC DE 90 SOLDÁVEL DE 32MM</t>
  </si>
  <si>
    <t>CURVA DE PVC DE 90 SOLDÁVEL DE 40 MM</t>
  </si>
  <si>
    <t>CURVA DE PVC DE 90 SOLDÁVEL DE 50 MM</t>
  </si>
  <si>
    <t>CURVA DE PVC DE 90 SOLDÁVEL DE 60 MM</t>
  </si>
  <si>
    <t>DEGRAU RETO U 600X250X25 MM XADREZ</t>
  </si>
  <si>
    <t>DISCO (LÂMINA) DE SERRA, DIÂMETRO 10 - COM 80 DENTES</t>
  </si>
  <si>
    <t>DISCO DE CORTE DE 4. 1/2 X 1MM X 7/8</t>
  </si>
  <si>
    <t>DISCO DE CORTE, DIÂMETRO 7 X 1/16 X 7/8 PARA AÇO INOX</t>
  </si>
  <si>
    <t>DISCO DE DESBASTE DE 4. 1/2 X 1/4</t>
  </si>
  <si>
    <t>DISCO DE DESBASTE DIÂMETRO 7 X 1/4 X 7/8</t>
  </si>
  <si>
    <t>DOBRADIÇA 3.1/2 X 3 LATÃO OXIDADO COM ANEL</t>
  </si>
  <si>
    <t>DOBRADIÇA 5 X 4, COM ANÉIS E PARAFUSOS, EM LATÃO CROMO ACETINADO</t>
  </si>
  <si>
    <t>DOBRADIÇA BIVOTANTE REF: 2110</t>
  </si>
  <si>
    <t>DOBRADIÇA BIVOTANTE REF: 2140</t>
  </si>
  <si>
    <t>DOBRADIÇA COR CINZA PARA DIVISÓRIA  DE AÇO 86 X 57 MM</t>
  </si>
  <si>
    <t>DOBRADIÇA CROMADA PARA DIVISÓRIA</t>
  </si>
  <si>
    <t>DOBRADIÇA DE 2X 1 1/1</t>
  </si>
  <si>
    <t>DOBRADIÇA DE 2X 1 1/2</t>
  </si>
  <si>
    <t>DOBRADIÇA DE 2X 1 1/2, CANTO RETO</t>
  </si>
  <si>
    <t>DOBRADIÇA DE 3X3</t>
  </si>
  <si>
    <t>DOBRADIÇA FECHAMATIC, DE 3 1/2 X 3 EM FERRO, PRETA</t>
  </si>
  <si>
    <t>DOBRADIÇA FECHAMATIC, DE 3 1/2 X 3, PRETA</t>
  </si>
  <si>
    <t>DOBRADIÇA FOLHA LEVE, DE 3 EM FERRO</t>
  </si>
  <si>
    <t>DOBRADIÇA HETTICH SELEKTA, DE 11MM</t>
  </si>
  <si>
    <t>DOBRADIÇA PARA PORTA DE DIVISÓRIA NA COR PRETA</t>
  </si>
  <si>
    <t>DOBRADIÇA VAI-VEM, DE 4, CORPO EM LATÃO POLIDO</t>
  </si>
  <si>
    <t>DUCHA HIGIÊNICA</t>
  </si>
  <si>
    <t>ELETRODO OK 46.00 E6013 DE 2,5MM</t>
  </si>
  <si>
    <t>ENGATE FLEXÍVEL METÁLICO, DE 30CM,1/2''</t>
  </si>
  <si>
    <t>ENGATE FLEXÍVEL METÁLICO, DE 40CM, 1/2''</t>
  </si>
  <si>
    <t>ENGATE FLEXÍVEL PVC DE 30CM X 1/2</t>
  </si>
  <si>
    <t>ENGATE FLEXÍVEL PVC DE 40 CM X 1/2</t>
  </si>
  <si>
    <t>ESCADA MARINHEIRO COM SAÍDA DE PISCINA E COM GUARDA CORPO - RESINA POLIESTER - ALTURA PISO A PISO: 6700 MM</t>
  </si>
  <si>
    <t>ESCADA MARINHEIRO COM SAÍDA DE PISCINA E COM GUARDA CORPO - RESINA POLIESTER - ALTURA PISO A PISO: 7500 MM COR: AMARELO</t>
  </si>
  <si>
    <t>ESCOVA (BROXA) RETANGULAR</t>
  </si>
  <si>
    <t>ESPAÇADOR DE PLÁSTICO PARA PISO 3MM - SACO COM 100 UNIDADES</t>
  </si>
  <si>
    <t>ESPAÇADOR DE PLÁSTICO PARA PISO 5MM - SACO COM 100 UNIDADES</t>
  </si>
  <si>
    <t>ESPAÇADOR PARA MALHA POP FERRO AÇO EPS 10/20MM, CX. 1500 PEÇAS</t>
  </si>
  <si>
    <t>ESPUMA EXPANSIVA DE PU USO PROFISSIONAL, 480G/ 500ML</t>
  </si>
  <si>
    <t>ESQUADRIA COM VIDRO LAMINADO</t>
  </si>
  <si>
    <t>ESTOPA BRANCA</t>
  </si>
  <si>
    <t>ESTOPA BRANCA EXTRA SACO COM 400 GR</t>
  </si>
  <si>
    <t>ESTOPA BRANCA EXTRA SACO COM 500 G</t>
  </si>
  <si>
    <t>ESTRUTURA EM ALUMINIO</t>
  </si>
  <si>
    <t>FECHADURA ALAVANCA - IMAB - COR PRETA - LINHA 1000 FECHADURA EXTERNA ¿ BROCA 55MM</t>
  </si>
  <si>
    <t>FECHADURA CILÍNDRICA, CROMADA, PARA PORTA DE DIVISÓRIA 90 MM</t>
  </si>
  <si>
    <t>FECHADURA CILÍNDRICA, PRETA, PARA PORTA DE DIVISÓRIA 90 MM</t>
  </si>
  <si>
    <t>FECHADURA COM ALAVANCA CROMADA PARA BANHEIRO</t>
  </si>
  <si>
    <t>FECHADURA COM CILINDRO DE EMBUTIR, REF: ART.937B PAPAIZ</t>
  </si>
  <si>
    <t>FECHADURA COM CILINDRO DE EMBUTIR, REF: ART.940B PAPAIZ</t>
  </si>
  <si>
    <t>FECHADURA COM CILINDRO OVAL 16 X 25 MM</t>
  </si>
  <si>
    <t>FECHADURA COM CILINDRO REDONDO 22MM</t>
  </si>
  <si>
    <t>FECHADURA COR CINZA PARA PORTA DIVISÓRIA</t>
  </si>
  <si>
    <t>FECHADURA COR PRETA, PARA DIVISÓRIA</t>
  </si>
  <si>
    <t>FECHADURA COR PRETA, PARA PORTA INTERNA</t>
  </si>
  <si>
    <t>FECHADURA CROMADA PARA DIVISÓRIA</t>
  </si>
  <si>
    <t>FECHADURA DE EMBUTIR COM ESPELHO PARA MÓVEIS DO TIPO GAVETEIRO EM ZAMAC COM CHAVES</t>
  </si>
  <si>
    <t>FECHADURA DE SOBREPOR 22 MM</t>
  </si>
  <si>
    <t>FECHADURA DE SOBREPOR PARA GAVETEIRO COM CILINDRO 22 MM E LINGÜETA COM ACIONAMENTO VERTICAL E FURO NA PONTA</t>
  </si>
  <si>
    <t>FECHADURA ELÉTRICA</t>
  </si>
  <si>
    <t>FECHADURA EXTERNA ALAVANCA LINHA INOX 40 MM</t>
  </si>
  <si>
    <t>FECHADURA EXTERNA COM MAÇANETA DE ALAVANCA 20 MM</t>
  </si>
  <si>
    <t>FECHADURA EXTERNA COM MAÇANETA DE ALAVANCA 26 A 26,5 MM</t>
  </si>
  <si>
    <t>FECHADURA EXTERNA LINHA PREMIUM, EM AÇO INOX ESCOVADO, REFERENCIA: CJH987E17XE00K MARCA IMAB</t>
  </si>
  <si>
    <t>FECHADURA EXTERNA, COM UM LADO TIPO ALAVANCA E O OUTRO TIPO BOLA</t>
  </si>
  <si>
    <t>FECHADURA INTERNA COM MAÇANETA DE ALAVANCA NA COR PRETA IMAB 1000 (COMPLETA)</t>
  </si>
  <si>
    <t>FECHADURA LIVRE/OCUPADO PARA BANHEIRO</t>
  </si>
  <si>
    <t>FECHADURA PARA GAVETA E PORTAS TAMBOR 17X22MM CHAVE FIXA</t>
  </si>
  <si>
    <t>FECHADURA PARA GAVETA E PORTAS TAMBOR 17X31MM CHAVE FIXA</t>
  </si>
  <si>
    <t>FECHADURA PARA VIDRO, RECORTE SANTA MARINA</t>
  </si>
  <si>
    <t>FECHADURA TIPO ALAVANCA -  COR PRETA - LINHA 1000</t>
  </si>
  <si>
    <t>FECHADURA TUBULAR PARA DIVISÓRIA</t>
  </si>
  <si>
    <t>FECHO PARA PORTAS E JANELAS COM FIO REDONDO MED. 4</t>
  </si>
  <si>
    <t>FECHO PARA PORTAS E JANELAS COM FIO REDONDO MED. 5</t>
  </si>
  <si>
    <t>FIO DE NYLON Nº 60 ROLO COM 100 METROS</t>
  </si>
  <si>
    <t>FITA ANTIDERRAPANTE PARA ESCADAS E RAMPAS NA COR FOSFORESCENTE, ROLO 50MM X 5M</t>
  </si>
  <si>
    <t>FITA ANTIDERRAPANTE PARA ESCADAS E RAMPAS NA COR PRETA, COM FAIXA FOTOLUMINESCENTE, 48MM X 30M</t>
  </si>
  <si>
    <t>FITA ANTIDERRAPANTE PARA ESCADAS E RAMPAS NA COR PRETA, ROLO 50MM X 5M</t>
  </si>
  <si>
    <t>FITA ANTIDERRAPANTE PARA ESCADAS E RAMPAS NA COR TRANSPARENTE, ROLO 50MM X 5M</t>
  </si>
  <si>
    <t>FITA CREPE MEDINDO 24MM X 50M</t>
  </si>
  <si>
    <t>FITA CREPE MEDINDO 48MM X 50M</t>
  </si>
  <si>
    <t>FITA DE ACABAMENTO , TELADA, MED. 5CM X 90M</t>
  </si>
  <si>
    <t>FITA DE ACABAMENTO PARA TESTEIRA DE MDF, MED. 35MM X 20M</t>
  </si>
  <si>
    <t>FITA DE BORDA PARA LAMINADO (FITA ACABAMENTO PVC 30/35MM)</t>
  </si>
  <si>
    <t>FITA DE BORDA PARA LAMINADO BRANCO TX, ESPESSURA 0,4 MM, LARGURA 22 MM, ROLO COM 50 M.</t>
  </si>
  <si>
    <t>FITA DE BORDA PARA LAMINADO BRANCO TX, ESPESSURA 0,4 MM, LARGURA 35 MM, ROLO COM 50 M.</t>
  </si>
  <si>
    <t>FITA DE BORDA PARA LAMINADO BRANCO TX, ESPESSURA 1 MM, LARGURA 33 MM, ROLO COM 25 M.</t>
  </si>
  <si>
    <t>FITA DE BORDA PARA LAMINADO BRANCO TX, ESPESSURA 1 MM, LARGURA 33 MM, ROLO COM 50M</t>
  </si>
  <si>
    <t>FITA DUPLA FACE DE ADESIVO COMPACTADO DE SILICONE TIPO VHB, TRANSPARENTE 12 MM X 20 M COM 1 MM DE ESPESSURA</t>
  </si>
  <si>
    <t>FITA VEDA ROSCA MED. 18 MM X 50M</t>
  </si>
  <si>
    <t>FIXADOR DE PORTA PARA PISO, CROMADO</t>
  </si>
  <si>
    <t>FIXADOR DE PORTA PARA RODAPÉ, CROMADO</t>
  </si>
  <si>
    <t>FORRO DE PVC, LÂMINA FRISADA  BRANCA - MEDINDO 200 MM X 7 MM X 3,50 M</t>
  </si>
  <si>
    <t>FORRO MINERAL ARMSTRONG; MODELO ENCORE; DIMENSÕES 1250MM X 625MM X 13MM; EMBALAGEM/CAIXA COM 12 PLACAS OU 9,37 M2</t>
  </si>
  <si>
    <t>FORRO MODULAR ARMSTRONG DE FIBRA MINERAL GEORGIAN LAY-IN 16 MM X 62,5 CM X 1,25 M BRANCO, CX COM 12 UNIDADES</t>
  </si>
  <si>
    <t>FORRO MODULAR DE FIBRA MINERAL 15 X 1250 X 625MM BRANCO, CX COM 12 UNIDADES</t>
  </si>
  <si>
    <t>GANCHO CABIDEIRO DUPLO PAREDE, METAL</t>
  </si>
  <si>
    <t>GANCHO CABIDEIRO DUPLO PAREDE, METAL- PARA TOALHA ROUPA</t>
  </si>
  <si>
    <t>GESSO EM PÓ, COM EMBALAGEM DE 1 KG</t>
  </si>
  <si>
    <t>GONZO 1/2</t>
  </si>
  <si>
    <t>GONZO 3/4</t>
  </si>
  <si>
    <t>GONZO 5/8</t>
  </si>
  <si>
    <t>GONZO DE 1</t>
  </si>
  <si>
    <t>GRAXA PARA ROLAMENTOS E ENGRENAGEM, LATA COM 1/2KG</t>
  </si>
  <si>
    <t>GRAXA PARA ROLAMENTOS E ENGRENAGEM, LATA COM 500G</t>
  </si>
  <si>
    <t>GRELHA GR 95, SIMPLES, COM CAIXILHO</t>
  </si>
  <si>
    <t>GRELHA PARA RALO QUADRADO COM CAIXILHO INOX 10 CM</t>
  </si>
  <si>
    <t>GRELHA PARA RALO QUADRADO COM CAIXILHO INOX 15 CM</t>
  </si>
  <si>
    <t>GRELHA PARA RALO REDONDO COM CAIXILHO INOX 10 CM</t>
  </si>
  <si>
    <t>GRELHA PARA RALO REDONDO COM CAIXILHO INOX 15 CM</t>
  </si>
  <si>
    <t>HASTE DE ¼ , DOBRÁVEL COM VEDANTE, MEDINDO DE 150MM A 300MM DE COMPRIMENTO, COM ROSCA EM UMA DAS EXTREMIDADES.</t>
  </si>
  <si>
    <t>HASTE PARA TELHA EM AÇO BAIXO CARBONO, BITOLA DE 1/4, 150 MM</t>
  </si>
  <si>
    <t>CJ</t>
  </si>
  <si>
    <t>IMPERMEABILIZANTE FLEXÍVEL PARA LAJES 18 LITROS</t>
  </si>
  <si>
    <t>IMPERMEABILIZANTE FLEXÍVEL, BALDE 12 A 15 KG</t>
  </si>
  <si>
    <t>IMPERMEABILIZANTE FLEXÍVEL, BALDE 12 KG</t>
  </si>
  <si>
    <t>IMPERMEABILIZANTE SEMI-FLEXÍVEL 18 KG</t>
  </si>
  <si>
    <t>IMPERMEABILIZANTE SIKATOP 100 SEMI-FLEXÍVEL 18 KG</t>
  </si>
  <si>
    <t>IMPERMEABILIZANTE VEDAPREN BRANCO</t>
  </si>
  <si>
    <t>JOELHO DE PVC DE 45 ESGOTO PRIM - DN 100 MM</t>
  </si>
  <si>
    <t>JOELHO DE PVC DE 45 ESGOTO PRIM - DN 50 MM</t>
  </si>
  <si>
    <t>JOELHO DE PVC DE 45 ESGOTO PRIM - DN 75 MM</t>
  </si>
  <si>
    <t>JOELHO DE PVC DE 45 ESGOTO SEC - DN 40 MM</t>
  </si>
  <si>
    <t>JOELHO DE PVC DE 45 ROSCÁVEL DE 1'</t>
  </si>
  <si>
    <t>JOELHO DE PVC DE 45 ROSCÁVEL DE 1.1/2</t>
  </si>
  <si>
    <t>JOELHO DE PVC DE 45 ROSCÁVEL DE 1.1/4</t>
  </si>
  <si>
    <t>JOELHO DE PVC DE 45 ROSCÁVEL DE 1/2</t>
  </si>
  <si>
    <t>JOELHO DE PVC DE 45 ROSCÁVEL DE 2</t>
  </si>
  <si>
    <t>JOELHO DE PVC DE 45 ROSCÁVEL DE 3/4</t>
  </si>
  <si>
    <t>JOELHO DE PVC DE 45 SOLDÁVEL DE 20MM</t>
  </si>
  <si>
    <t>JOELHO DE PVC DE 45 SOLDÁVEL DE 25MM</t>
  </si>
  <si>
    <t>JOELHO DE PVC DE 45 SOLDÁVEL DE 32MM</t>
  </si>
  <si>
    <t>JOELHO DE PVC DE 45 SOLDÁVEL DE 40MM</t>
  </si>
  <si>
    <t>JOELHO DE PVC DE 45 SOLDÁVEL DE 50MM</t>
  </si>
  <si>
    <t>JOELHO DE PVC DE 45 SOLDÁVEL DE 60MM</t>
  </si>
  <si>
    <t>JOELHO DE PVC DE 90 DE 50 MM</t>
  </si>
  <si>
    <t>JOELHO DE PVC DE 90 ROSCÁVEL DE 1.1/2</t>
  </si>
  <si>
    <t>JOELHO DE PVC DE 90 ROSCÁVEL DE 1.1/4</t>
  </si>
  <si>
    <t>JOELHO DE PVC DE 90 ROSCÁVEL DE 1/2</t>
  </si>
  <si>
    <t>JOELHO DE PVC DE 90 ROSCÁVEL DE 1/2''</t>
  </si>
  <si>
    <t>JOELHO DE PVC DE 90 ROSCÁVEL DE 1¨</t>
  </si>
  <si>
    <t>JOELHO DE PVC DE 90 ROSCÁVEL DE 2</t>
  </si>
  <si>
    <t>JOELHO DE PVC DE 90 ROSCÁVEL DE 3/4</t>
  </si>
  <si>
    <t>JOELHO DE PVC DE 90 SOLDÁVEL COM BUCHA DE LATÃO 25 MM X 1/2</t>
  </si>
  <si>
    <t>JOELHO DE PVC DE 90 SOLDÁVEL DE 20 MM</t>
  </si>
  <si>
    <t>JOELHO DE PVC DE 90 SOLDÁVEL DE 20 X 1/2</t>
  </si>
  <si>
    <t>JOELHO DE PVC DE 90 SOLDÁVEL DE 25 MM</t>
  </si>
  <si>
    <t>JOELHO DE PVC DE 90 SOLDÁVEL DE 25 X 3/4</t>
  </si>
  <si>
    <t>JOELHO DE PVC DE 90 SOLDÁVEL DE 32 MM</t>
  </si>
  <si>
    <t>JOELHO DE PVC DE 90 SOLDÁVEL DE 40 MM</t>
  </si>
  <si>
    <t>JOELHO DE PVC DE 90 SOLDÁVEL DE 50 MM</t>
  </si>
  <si>
    <t>JOELHO DE PVC DE 90 SOLDÁVEL DE 60 MM</t>
  </si>
  <si>
    <t>JOELHO DE PVC DE 90 SOLDÁVEL DE 75 MM</t>
  </si>
  <si>
    <t>JOELHO DE PVC DE 90 SOLDÁVEL, COM BUCHA DE LATÃO, DE 20 MM X 1/2</t>
  </si>
  <si>
    <t>JOELHO DE PVC DE 90 SOLDÁVEL, COM BUCHA DE LATÃO, DE 25 X 3/4</t>
  </si>
  <si>
    <t>JOELHO DE PVC DE 90 SOLDÁVEL, COM ROSCA, DE 20 X 1/2</t>
  </si>
  <si>
    <t>JOELHO DE PVC DE 90 SOLDÁVEL, COM ROSCA, DE 25 X 3/4</t>
  </si>
  <si>
    <t>JOELHO DE PVC DE 90 SOLDÁVEL, DE 40MM</t>
  </si>
  <si>
    <t>JOELHO DE PVC DE 90 SOLDÁVEL, DE 40X38MM</t>
  </si>
  <si>
    <t>JOELHO DE PVC DE 90 X 1'</t>
  </si>
  <si>
    <t>JOELHO DE PVC DE 90, SÉRIE NORMAL, DE 100MM</t>
  </si>
  <si>
    <t>JOELHO DE PVC DE 90, SÉRIE NORMAL, DE 40MM</t>
  </si>
  <si>
    <t>JOELHO DE PVC DE 90, SÉRIE NORMAL, DE 50MM</t>
  </si>
  <si>
    <t>JOELHO DE PVC DE 90, SÉRIE NORMAL, DE 75MM</t>
  </si>
  <si>
    <t>JOELHO DE PVC SOLDÁVEL COM BUCHA DE LATÃO, COM REDUÇÃO 32 X 3/4</t>
  </si>
  <si>
    <t>JOELHO DE PVC SOLDÁVEL DE 75 MM</t>
  </si>
  <si>
    <t>JOELHO DE REDUÇÃO DE 90 ROSCÁVEL DE 1'X 3/4</t>
  </si>
  <si>
    <t>JOELHO DE REDUÇÃO DE 90 ROSCÁVEL DE 3/4 X 1/2</t>
  </si>
  <si>
    <t>JOELHO DE REDUÇÃO DE 90 SOLDÁVEL DE 25 X 20</t>
  </si>
  <si>
    <t>JOELHO DE REDUÇÃO DE 90 SOLDÁVEL DE 32 X 25</t>
  </si>
  <si>
    <t>JUNÇÃO DE PVC ESGOTO DE 100 MM</t>
  </si>
  <si>
    <t>JUNÇÃO DE PVC ESGOTO DE 150 MM</t>
  </si>
  <si>
    <t>JUNÇÃO DE PVC ESGOTO DE 40 MM</t>
  </si>
  <si>
    <t>JUNÇÃO DE PVC ESGOTO DE 50 MM</t>
  </si>
  <si>
    <t>JUNÇÃO DE PVC ESGOTO DE 75 MM</t>
  </si>
  <si>
    <t>JUNÇÃO DE PVC SOLDÁVEL CURTA COM BOLSA E ROSCA PARA REG. 32 MM X 1'</t>
  </si>
  <si>
    <t>JUNÇÃO DE PVC SOLDÁVEL DE 40 MM</t>
  </si>
  <si>
    <t>JUNÇÃO DE PVC SOLDÁVEL DE 50 MM</t>
  </si>
  <si>
    <t>JUNÇÃO DE PVC SOLDÁVEL DE 60 MM</t>
  </si>
  <si>
    <t>JUNÇÃO SIMPLES 50 X 50MM, ESGOTO SÉRIE NORMAL</t>
  </si>
  <si>
    <t>JUNÇÃO SIMPLES 75 X 75MM, ESGOTO SÉRIE NORMAL</t>
  </si>
  <si>
    <t>JUNÇÃO SIMPLES PARA ESGOTO SÉRIE NORMAL 100MM X 100MM</t>
  </si>
  <si>
    <t>JUNÇÃO SIMPLES PARA ESGOTO SÉRIE NORMAL 100MM X 50MM</t>
  </si>
  <si>
    <t>JUNÇÃO SIMPLES PARA ESGOTO SÉRIE NORMAL 100MM X 75MM</t>
  </si>
  <si>
    <t>KIT COMANDO MONTREAL M9000, AÇO INOX, MONTANA - PNE</t>
  </si>
  <si>
    <t>KIT DE ACIONAMENTO , PARA VÁLVULA DE DESCARGA 1 1/2 (REF.00116300 DOCOL) OU SIMILAR</t>
  </si>
  <si>
    <t>KIT DE ACIONAMENTO COMPLETO, PARA VÁLVULA, DE 1 1/2</t>
  </si>
  <si>
    <t>KIT DE ACIONAMENTO COMPLETO, PARA VÁLVULA, DE 1 1/4</t>
  </si>
  <si>
    <t>KIT DE ACIONAMENTO SUPERIOR PARA CAIXA ACOPLADA</t>
  </si>
  <si>
    <t>KIT DE INSTALAÇÃO PARA BACIA CONVENCIONAL COM FIXAÇÃO VERTICAL</t>
  </si>
  <si>
    <t>KIT DESCARGA COMPLETA, MONTANA M9000 ELEGANCE BRANCO - PNE</t>
  </si>
  <si>
    <t>KIT DOCOL ACIONAMENTO COMPLETO VEDA 1.1/2 E 1.1/4''</t>
  </si>
  <si>
    <t>KIT DOCOL ORIGINAL DOCOL DO ACIONAMENTO PRESSMATIC COMPACT</t>
  </si>
  <si>
    <t>KIT PARA CAIXA ACOPLADA - ENTRADA MASTER FLUX E SAIDA DUAL FLUSH SUPERIOR</t>
  </si>
  <si>
    <t>KIT REPARO PARA VÁLVULA HYDRA MASTER 2530 1.1/4 1.1/2</t>
  </si>
  <si>
    <t>KIT REPARO PARA VÁLVULA HYDRA MAX 1.1/4 1.1/2 OU SIMILAR</t>
  </si>
  <si>
    <t>KIT SOS MASSA ADESIVA 100GR</t>
  </si>
  <si>
    <t>KIT VEDANTE PARA VÁLVULA DE 1 1/2 - DOCOL</t>
  </si>
  <si>
    <t>KIT VEDANTE PARA VÁLVULA DE 1 1/4 - DOCOL</t>
  </si>
  <si>
    <t>LAVATÓRIO COM COLUNA, COR BRANCA</t>
  </si>
  <si>
    <t>LAVATÓRIO EM LOUÇA, COM COLUNA SUSPENSA</t>
  </si>
  <si>
    <t>LIXA MULTIUSO, Nº 100</t>
  </si>
  <si>
    <t>LIXA MULTIUSO, Nº 120</t>
  </si>
  <si>
    <t>LIXA MULTIUSO, Nº 220</t>
  </si>
  <si>
    <t>LIXA PARA FERRO Nº 100</t>
  </si>
  <si>
    <t>LIXA PARA FERRO Nº 160</t>
  </si>
  <si>
    <t>LIXA PARA FERRO Nº 320</t>
  </si>
  <si>
    <t>LIXA PARA FERRO Nº 40</t>
  </si>
  <si>
    <t>LIXA PARA FERRO Nº 80</t>
  </si>
  <si>
    <t>LIXA PARA FERRO Nº. 220</t>
  </si>
  <si>
    <t>LIXA PARA MADEIRA Nº 100</t>
  </si>
  <si>
    <t>LIXA PARA MADEIRA Nº 120</t>
  </si>
  <si>
    <t>LIXA PARA MASSA Nº 100</t>
  </si>
  <si>
    <t>LIXA PARA MASSA Nº 120</t>
  </si>
  <si>
    <t>LONA PLÁSTICA TIPO TERREIRO, DE 4M, ROLO COM 100 METROS</t>
  </si>
  <si>
    <t>LUBRIFICANTE ANTICORROSIVO SOLUÇÃO - AEROSOL</t>
  </si>
  <si>
    <t>LT</t>
  </si>
  <si>
    <t>LUBRIFICANTE ANTICORROSIVO À BASE DE ZINCO PARA METAIS - LATA DE 900ML</t>
  </si>
  <si>
    <t>LUBRIFICANTE ANTIFERRUGEM SPRAY</t>
  </si>
  <si>
    <t>LUBRIFICANTE EM PASTA, 400GR</t>
  </si>
  <si>
    <t>P</t>
  </si>
  <si>
    <t>LUVA DE CORRER PARA TUBO DE ESGOTO - DN 100 MM</t>
  </si>
  <si>
    <t>LUVA DE CORRER PARA TUBO DE ESGOTO - DN 40 MM</t>
  </si>
  <si>
    <t>LUVA DE CORRER PARA TUBO DE ESGOTO - DN 50MM</t>
  </si>
  <si>
    <t>LUVA DE CORRER PARA TUBO DE ESGOTO - DN 75 MM</t>
  </si>
  <si>
    <t>LUVA DE CORRER PARA TUBO ROSCÁVEL 1</t>
  </si>
  <si>
    <t>LUVA DE CORRER PARA TUBO ROSCÁVEL 1.1/2</t>
  </si>
  <si>
    <t>LUVA DE CORRER PARA TUBO ROSCÁVEL 1.1/4</t>
  </si>
  <si>
    <t>LUVA DE CORRER PARA TUBO ROSCÁVEL 1/2</t>
  </si>
  <si>
    <t>LUVA DE CORRER PARA TUBO ROSCÁVEL 2</t>
  </si>
  <si>
    <t>LUVA DE CORRER PARA TUBO ROSCÁVEL 3/4</t>
  </si>
  <si>
    <t>LUVA DE CORRER PARA TUBO SOLDÁVEL 20 MM</t>
  </si>
  <si>
    <t>LUVA DE CORRER PARA TUBO SOLDÁVEL 25 MM</t>
  </si>
  <si>
    <t>LUVA DE CORRER PARA TUBO SOLDÁVEL 32 MM</t>
  </si>
  <si>
    <t>LUVA DE CORRER PARA TUBO SOLDÁVEL 40 MM</t>
  </si>
  <si>
    <t>LUVA DE CORRER PARA TUBO SOLDÁVEL 50 MM</t>
  </si>
  <si>
    <t>LUVA DE CORRER PARA TUBO SOLDÁVEL 60 MM</t>
  </si>
  <si>
    <t>LUVA DE REDUÇÃO ROSCÁVEL 1 X 3/4</t>
  </si>
  <si>
    <t>LUVA DE REDUÇÃO ROSCÁVEL 3/4 X 1/2</t>
  </si>
  <si>
    <t>LUVA DE REDUÇÃO SOLDÁVEL 25 X 20 MM</t>
  </si>
  <si>
    <t>LUVA DE REDUÇÃO SOLDÁVEL 32 X 25 MM</t>
  </si>
  <si>
    <t>LUVA DE REDUÇÃO SOLDÁVEL 40 X 32 MM</t>
  </si>
  <si>
    <t>LUVA DE REDUÇÃO SOLDÁVEL 50 X 25 MM</t>
  </si>
  <si>
    <t>LUVA DE REDUÇÃO SOLDÁVEL 60 X 50 MM</t>
  </si>
  <si>
    <t>LUVA ROSCÁVEL DE 1''</t>
  </si>
  <si>
    <t>LUVA ROSCÁVEL DE 1.1/2</t>
  </si>
  <si>
    <t>LUVA ROSCÁVEL DE 1.1/4</t>
  </si>
  <si>
    <t>LUVA ROSCÁVEL DE 1/2</t>
  </si>
  <si>
    <t>LUVA ROSCÁVEL DE 1/2¨</t>
  </si>
  <si>
    <t>LUVA ROSCÁVEL DE 2</t>
  </si>
  <si>
    <t>LUVA ROSCÁVEL DE 3/4</t>
  </si>
  <si>
    <t>LUVA SIMPLES DE ESGOTO DE 40MM</t>
  </si>
  <si>
    <t>LUVA SIMPLES DE ESGOTO SN DN 100 MM</t>
  </si>
  <si>
    <t>LUVA SIMPLES DE ESGOTO SN DN 40 MM</t>
  </si>
  <si>
    <t>LUVA SIMPLES DE ESGOTO SN DN 50 MM</t>
  </si>
  <si>
    <t>LUVA SIMPLES DE ESGOTO SN DN 75 MM</t>
  </si>
  <si>
    <t>LUVA SOLDÁVEL - 20 MM</t>
  </si>
  <si>
    <t>LUVA SOLDÁVEL - 25 MM</t>
  </si>
  <si>
    <t>LUVA SOLDÁVEL - 32 MM</t>
  </si>
  <si>
    <t>LUVA SOLDÁVEL - 40 MM</t>
  </si>
  <si>
    <t>LUVA SOLDÁVEL - 50 MM</t>
  </si>
  <si>
    <t>LUVA SOLDÁVEL - 60 MM</t>
  </si>
  <si>
    <t>LUVA SOLDÁVEL - 75 MM</t>
  </si>
  <si>
    <t>LUVA SOLDÁVEL - 85 MM</t>
  </si>
  <si>
    <t>LUVA SOLDÁVEL, COM BUCHA DE LATÃO, DE 20 X 1/2</t>
  </si>
  <si>
    <t>LUVA SOLDÁVEL, COM BUCHA DE LATÃO, DE 25 X 3/4</t>
  </si>
  <si>
    <t>LUVA SOLDÁVEL, COM ROSCA, DE 20 X 1/2</t>
  </si>
  <si>
    <t>LUVA SOLDÁVEL, COM ROSCA, DE 25 X 3/4</t>
  </si>
  <si>
    <t>LUVA SOLDÁVEL, COM ROSCA, DE 50MM X 1.1/2</t>
  </si>
  <si>
    <t>LÃ DE VIDRO PARA DRYWALL ISOVER (1,2 X 12,5 X 0,05M) ROLO COM 15M²</t>
  </si>
  <si>
    <t>MANTA ASFÁLTICA AUTOADESIVA COM 3MM DE ESPESSURA, ROLO 1 X 10M</t>
  </si>
  <si>
    <t>MANTA FRIA AUTOADESIVA ALUMINIZADA DE 1 A 3 MM DE ESPESSURA, 90 CM OU 1 M DE LARGURA E 10 M DE COMPRIMENTO EM ROLO</t>
  </si>
  <si>
    <t>MANTA LÃ DE VIDRO PARA DRYWALL ISOVER</t>
  </si>
  <si>
    <t>MASSA ACRÍLICA 18 LITROS</t>
  </si>
  <si>
    <t>MASSA ACRÍLICA BALDE DE 18 LITROS</t>
  </si>
  <si>
    <t>MASSA ADESIVA PLÁSTICA PARA MÁRMORES E GRANITOS, NA COR CINZA, LATA DE 400 G</t>
  </si>
  <si>
    <t>MASSA ADESIVA PLÁSTICA, COR BRANCA, 290ML</t>
  </si>
  <si>
    <t>MASSA CORRIDA PVA, 18 LITROS</t>
  </si>
  <si>
    <t>MASSA PARA DRYWALL EM PÓ - SACO DE 20KG</t>
  </si>
  <si>
    <t>MASSA PARA MADEIRA F12, COR MARFIM, 400 GRAMAS</t>
  </si>
  <si>
    <t>MASSA PARA MADEIRA F12, COR MOGNO, 400 GRAMAS</t>
  </si>
  <si>
    <t>MASSA PARA ZARCÃO PARA VEDAÇÃO POTE COM 200 G</t>
  </si>
  <si>
    <t>MECANISMO CERÂMICO 1/2 PARA TORNEIRA DE LAVATÓRIO LOFT - CPD 02102</t>
  </si>
  <si>
    <t>MECANISMO DE ACIONAMENTO PARA VÁLVULA HIDRA MASTER GL-2530</t>
  </si>
  <si>
    <t>MECANISMO PARA CAIXA DE DESCARGA ACOPLADA, COM ACIONAMENTO ALAVANCA</t>
  </si>
  <si>
    <t>MECANISMO PARA CAIXA DE DESCARGA ACOPLADA, COM ACIONAMENTO LATERAL EXTERNO</t>
  </si>
  <si>
    <t>MECANISMO PARA CAIXA DE DESCARGA ACOPLADA, COMPLETA, COM ACIONAMENTO SUPERIOR</t>
  </si>
  <si>
    <t>MICTÓRIO COM SIFÃO INTEGRADO (BRANCO GELO)</t>
  </si>
  <si>
    <t>MICTÓRIO COM SIFÃO INTEGRADO BRANCO GELO M712</t>
  </si>
  <si>
    <t>MOLA HIDRAULICA AEREA A530, AUTOMATICA PARA PORTA, FORÇA 2</t>
  </si>
  <si>
    <t>MOLA HIDRAULICA AEREA AUTOMATICA PARA PORTA C/3 REGULAGENS</t>
  </si>
  <si>
    <t>MOLA HIDRAULICA PISO P330, PARA PORTA COM ESPELHO INOX EIXO T,</t>
  </si>
  <si>
    <t>MOLA PARA PORTA DE AÇO DE ENROLAR MANUAL</t>
  </si>
  <si>
    <t>MONTANTE PERFIL, DRYWALL 70 X 30 X 3M</t>
  </si>
  <si>
    <t>NIPEL DE PVC ROSCÁVEL DE 1''</t>
  </si>
  <si>
    <t>NIPEL DE PVC ROSCÁVEL DE 1.1/2''</t>
  </si>
  <si>
    <t>NIPEL DE PVC ROSCÁVEL DE 1.1/4''</t>
  </si>
  <si>
    <t>NIPEL DE PVC ROSCÁVEL DE 1/2</t>
  </si>
  <si>
    <t>NIPEL DE PVC ROSCÁVEL DE 2</t>
  </si>
  <si>
    <t>NIPEL DE PVC ROSCÁVEL DE 3/4</t>
  </si>
  <si>
    <t>OBTURADOR COAXIAL - MONTANA</t>
  </si>
  <si>
    <t>OBTURADOR UNIVERSAL PARA VÁLVULA DE SAÍDA DE ÁGUA</t>
  </si>
  <si>
    <t>PAINEL DIVISÓRIA 35MM CINZA CRISTAL</t>
  </si>
  <si>
    <t>PAINEL DIVISÓRIA COR AREIA JUNDIAÍ DE 35MM, ENCABEÇAMENTO EM MADEIRA E MIOLO DO TIPO COLMEIA  COM MEDIDA APROX. DE 1,20 X 2,11 M (COM TOLERÂNCIA 2 CM ).</t>
  </si>
  <si>
    <t>PAINEL DIVISÓRIA COR CINZA OCIDENTE DE 35MM, ENCABEÇAMENTO EM MADEIRA E MIOLO DO TIPO COLMEIA  COM MEDIDA APROX. DE 1,20 X 2,11 M (COM TOLERÂNCIA 2 CM ).</t>
  </si>
  <si>
    <t>PAINEL DIVISÓRIA MED. 1,20 X 2,10 M EM MELAMINA - AREIA JUNDIAI</t>
  </si>
  <si>
    <t>PAINEL DIVISÓRIA SANITÁRIA, LAMINADO MELAMÍNICO ESTRUTURAL</t>
  </si>
  <si>
    <t>PARAFUSO ATARRAXANTE CABEÇA CHATA 4,2 X 16 MM</t>
  </si>
  <si>
    <t>PARAFUSO ATARRAXANTE CABEÇA CHATA 6,3 X 50 MM</t>
  </si>
  <si>
    <t>PARAFUSO ATARRAXANTE CABEÇA CHATA, 4,2 X 38 MM</t>
  </si>
  <si>
    <t>PARAFUSO ATARRAXANTE CABEÇA CHATA, 4,8 X 50 MM</t>
  </si>
  <si>
    <t>PARAFUSO ATARRAXANTE CABEÇA CHATA, FENDA PHILIPS, 2,5X25</t>
  </si>
  <si>
    <t>PARAFUSO ATARRAXANTE CABEÇA DE PANELA, 4,2 X 16 MM</t>
  </si>
  <si>
    <t>PARAFUSO ATARRAXANTE CABEÇA DE PANELA, 4,2 X 16 MM (EMBALAGEM COM 100 UNIDADES)</t>
  </si>
  <si>
    <t>PARAFUSO AUTO ATARRAXANTE CABEÇA CHATA 4,2 X 16 MM  (EMBALAGEM COM 100 UNIDADES)</t>
  </si>
  <si>
    <t>PARAFUSO AUTO ATARRAXANTE, PHILIPS CABEÇA CHATA, 4,2 X 16 MM (EMBALAGEM COM 100 UNIDADES)</t>
  </si>
  <si>
    <t>PARAFUSO AUTO ATARRAXANTE, PHILIPS CABEÇA CHATA, 4,2 X 38 MM (EMBALAGEM COM 100 UNIDADES)</t>
  </si>
  <si>
    <t>PARAFUSO AUTO ATARRAXANTE, PHILIPS CABEÇA CHATA, 4,8 X 50 MM (CX C/100 UNIDADES)</t>
  </si>
  <si>
    <t>PARAFUSO AUTO PERFURANTE SEXTAVADO 5,5 X 7/8 (TELHADO)</t>
  </si>
  <si>
    <t>PARAFUSO CABEÇA CHATA, FENDA, 6,1 X 65</t>
  </si>
  <si>
    <t>PARAFUSO CABEÇA DE PANELA, FENDA PHILIPS, 3,0 X 25</t>
  </si>
  <si>
    <t>PARAFUSO CABEÇA DE PANELA, FENDA PHILIPS, 6,0 X 65</t>
  </si>
  <si>
    <t>PARAFUSO CABEÇA DE PANELA, FENDA PHILIPS, 6,0 X 65 (EMBALAGEM COM 100 UNIDADES)</t>
  </si>
  <si>
    <t>PARAFUSO CABEÇA DE PANELA, FENDA,  2,5 X 25</t>
  </si>
  <si>
    <t>PARAFUSO CABEÇA DE PANELA, FENDA, 4,2 X 38</t>
  </si>
  <si>
    <t>PARAFUSO CABEÇA DE PANELA, FENDA, 4,8 X 38</t>
  </si>
  <si>
    <t>PARAFUSO CABEÇA DE PANELA, FENDA, 4,8 X 50</t>
  </si>
  <si>
    <t>PARAFUSO CABEÇA DE PANELA, FENDA, 4,8 X 50 (EMBALAGEM COM 100 UNIDADES)</t>
  </si>
  <si>
    <t>PARAFUSO CABEÇA DE TROMBETA, 3,5 X 25MM GN 25 PONTA AGULHA</t>
  </si>
  <si>
    <t>PARAFUSO CABEÇA DE TROMBETA, 3,5X25, PARA FIXAR CHAPAS DE GESSO SOBRE PERFIS METÁLICOS</t>
  </si>
  <si>
    <t>PARAFUSO CABEÇA FLANGEADA, AUTOBROCANTE, PHILIPS,  4,23X19, EM AÇO</t>
  </si>
  <si>
    <t>PARAFUSO CABEÇA FLANGEADA, PONTA BROCA, 4,2X13</t>
  </si>
  <si>
    <t>PARAFUSO CABEÇA FLANGEADA, PONTA BROCA, 4,2X13MM (EMBALAGEM COM 100 UNIDADES)</t>
  </si>
  <si>
    <t>PARAFUSO CABEÇA FLANGEADA, PONTA BROCA, 4,2X19MM (EMBALAGEM COM 100 UNIDADES)</t>
  </si>
  <si>
    <t>PARAFUSO CABEÇA SEXTAVADA 3/16X2 (50MM)</t>
  </si>
  <si>
    <t>PARAFUSO CABEÇA SEXTAVADA 3/16X50</t>
  </si>
  <si>
    <t>PARAFUSO CABEÇA SEXTAVADA 5/16X2.1/2 (63MM)</t>
  </si>
  <si>
    <t>PARAFUSO CABEÇA SEXTAVADA 5/16X3 (76MM)</t>
  </si>
  <si>
    <t>PARAFUSO CABEÇA SEXTAVADA 5/16X65</t>
  </si>
  <si>
    <t>PARAFUSO CABEÇA SEXTAVADA 5/16X80</t>
  </si>
  <si>
    <t>PARAFUSO COM CABEÇA, 12 X 12</t>
  </si>
  <si>
    <t>PARAFUSO DE FIXAÇÃO PARA VASO SANITÁRIO E LAVATÓRIO, COM BUCHA DE 10 MM</t>
  </si>
  <si>
    <t>PARAFUSO DRYWALL CABEÇA DE TROMBETA, 3,5 X 25 PONTA BROCA</t>
  </si>
  <si>
    <t>PARAFUSO DRYWALL CABEÇA DE TROMBETA, 3,5 X 25MM PONTA BROCA (CX C/100 UNIDADES)</t>
  </si>
  <si>
    <t>PARAFUSO DRYWALL CABEÇA FLANGEADA, PONTA BROCA, 4,2 X 13 MM</t>
  </si>
  <si>
    <t>PARAFUSO DRYWALL, CABEÇA DE TROMBETA, PONTA AGULHA, 3,5 X 45MM (EMBALAGEM COM 100 UNIDADES)</t>
  </si>
  <si>
    <t>PARAFUSO DRYWALL, CABEÇA DE TROMBETA, PONTA AGULHA, 3,5 X 45MM GN 45</t>
  </si>
  <si>
    <t>PARAFUSO DRYWALL, CABEÇA TROMBETA 3,5X25MM, PONTA AGULHA. (EMBALAGEM COM 100 UNIDADES)</t>
  </si>
  <si>
    <t>PARAFUSO P/ DRYWALL, CABEÇA TROMBETA 3,5X25MM, PONTA AGULHA</t>
  </si>
  <si>
    <t>PARAFUSO P/ DRYWALL, CABEÇA TROMBETA 3,5X25MM, PONTA AGULHA. (EMBALAGEM COM 100 UNIDADES)</t>
  </si>
  <si>
    <t>PARAFUSO PARA DRYWALL PONTA BROCA FLANGEADA13MM</t>
  </si>
  <si>
    <t>PARAFUSO PARA FIXAÇÃO DE BACIA, COM BUCHA 10 MM</t>
  </si>
  <si>
    <t>PARAFUSO PARA TANQUE BUCHA 12 LONGO - 110 MM</t>
  </si>
  <si>
    <t>PARAFUSO PARABOLT SEXTAVADOS 5/8</t>
  </si>
  <si>
    <t>PARAFUSO PHILIPS CABEÇA CHATA 4,0X35MM</t>
  </si>
  <si>
    <t>PARAFUSO PHILIPS CABEÇA DE PANELA 4,0X12MM</t>
  </si>
  <si>
    <t>PEDRA BRITA 0 (M³)</t>
  </si>
  <si>
    <t>M3</t>
  </si>
  <si>
    <t>PEDRA BRITA 01</t>
  </si>
  <si>
    <t>PEDRA BRITA 01 (M³)</t>
  </si>
  <si>
    <t>PEDRA BRITA 1 GRADUADA - SACO DE 20 KG</t>
  </si>
  <si>
    <t>PEDRA CINZA, TIPO COMRUMBÁ, MED. 75 X 60,5 X 2CM</t>
  </si>
  <si>
    <t>PEDRA CINZA, TIPO COMRUMBÁ, MED. 80 X 60,5 X 2CM</t>
  </si>
  <si>
    <t>PEDRA CINZA, TIPO CORUMBÁ,  MED. 61 X 15 X 2CM</t>
  </si>
  <si>
    <t>PERFIL CLICADO PRINCIPAL T24 3125 X 24 X 32MM</t>
  </si>
  <si>
    <t>PERFIL DE AÇO TIPO BATENTE DE PORTA NA COR CINZA OCIDENTE ( CONJUNTO )</t>
  </si>
  <si>
    <t>JG</t>
  </si>
  <si>
    <t>PERFIL DE AÇO TIPO BATENTE DE PORTA NA COR CINZA OCIDENTE (PEÇA)</t>
  </si>
  <si>
    <t>PERFIL DE AÇO TIPO BATENTE DE PORTA NA COR PRETA</t>
  </si>
  <si>
    <t>PERFIL DE AÇO TIPO BATENTE DE PORTA NA COR PRETA (PEÇA)</t>
  </si>
  <si>
    <t>PERFIL DE AÇO TIPO BATENTE DE PORTA NA COR PRETA. (CONJUNTO)</t>
  </si>
  <si>
    <t>PERFIL DE AÇO TIPO GUARNIÇÃO COM BAGUETE NA COR PRETA</t>
  </si>
  <si>
    <t>PERFIL DE AÇO TIPO GUARNIÇÃO COM BAGUETE PARA VIDRO NA COR CINZA OCIDENTE</t>
  </si>
  <si>
    <t>PERFIL DE AÇO TIPO H NA COR CINZA OCIDENTE</t>
  </si>
  <si>
    <t>PERFIL DE AÇO TIPO H NA COR PRETA</t>
  </si>
  <si>
    <t>PERFIL DE AÇO TIPO U NA COR CINZA OCIDENTE</t>
  </si>
  <si>
    <t>PERFIL DE AÇO TIPO U RASO, PRETO</t>
  </si>
  <si>
    <t>PERFIL GUIA DRYWALL 70 X 30 X 3M</t>
  </si>
  <si>
    <t>PERFIL PARA FORRO DRYWALL CANALETA F530 46 X 18 X 3M</t>
  </si>
  <si>
    <t>PERFIL PERFIL U 100 MM X 3/16, COM  6 M</t>
  </si>
  <si>
    <t>PERNA DE MADEIRA PERNA DE 3, 5 CM X 5 CM</t>
  </si>
  <si>
    <t>PERNA DE MADEIRA PERNA DE 3, 6 CM X 6 CM</t>
  </si>
  <si>
    <t>PIA DE INOX MED. 120 X 53 X 15 CM COM FORRAÇÃO DE CONCRETO</t>
  </si>
  <si>
    <t>PIGMENTO CORANTE COR AZUL</t>
  </si>
  <si>
    <t>FR</t>
  </si>
  <si>
    <t>PIGMENTO CORANTE COR OCRE</t>
  </si>
  <si>
    <t>PIGMENTO CORANTE COR PRETA</t>
  </si>
  <si>
    <t>PIGMENTO CORANTE COR VERDE</t>
  </si>
  <si>
    <t>PINO ACIONADOR VEDANTE 20 MM ANTIGA DA PRIMOR</t>
  </si>
  <si>
    <t>PINO ACIONADOR VEDANTE 50 MM NOVA DA PRIMOR</t>
  </si>
  <si>
    <t>PISO CERÂMICO, MED.45CMX45CM, REF.:HABITAT CIMENTO AC, CÓD.8040855</t>
  </si>
  <si>
    <t>M2.</t>
  </si>
  <si>
    <t>PISO PAVIFLEX INTENSITY - COR QUARTZ GREY 30X30CMX2MM</t>
  </si>
  <si>
    <t>PISO PAVIFLEX INTENSITY 30X30CMX2MM</t>
  </si>
  <si>
    <t>PISO TÁTIL DE ALERTA EM PVC - 25CM X25CM, COM FITA DE FIXAÇÃO</t>
  </si>
  <si>
    <t>PISO TÁTIL DIRECIONAL EM PVC - 25CM X25CM, COM FITA DE FIXAÇÃO</t>
  </si>
  <si>
    <t>PISO VINÍLICO 3MM X 60CM X 60CM</t>
  </si>
  <si>
    <t>PISO VINÍLICO 47,5 X 47,5</t>
  </si>
  <si>
    <t>PISO VINÍLICO 475 X 475MM</t>
  </si>
  <si>
    <t>PISO VINÍLICO AUTOPORTANTE 4MM X 60,96CM X 60,96CM.</t>
  </si>
  <si>
    <t>PISO VINÍLICO PAVIFLEX  - THRU 30X30CMX2MM</t>
  </si>
  <si>
    <t>PISTÃO FLUX CPD-06136 PARA VÁLVULA DE DESCARGA FLUX</t>
  </si>
  <si>
    <t>PISTÃO FLUXO PARA VÁLVULA DE DESCARGA</t>
  </si>
  <si>
    <t>PLACA DE GESSO ACARTONADO, MED. 1200 X 1800 X 12,5MM, COR BRANCA</t>
  </si>
  <si>
    <t>PLACA DE GESSO LISO MED. 60X60CM</t>
  </si>
  <si>
    <t>PLACA DE IMPACTO 40CM X 90CM</t>
  </si>
  <si>
    <t>PLACA DE MDF COM ACABAMENTO NA COR TABACO, MED. 2,75M X 1,84M</t>
  </si>
  <si>
    <t>PLAQUETA PLASTICA 40X40MM</t>
  </si>
  <si>
    <t>PLUGUE ROSCÁVEL DE 1''</t>
  </si>
  <si>
    <t>PLUGUE ROSCÁVEL DE 1.1/2''</t>
  </si>
  <si>
    <t>PLUGUE ROSCÁVEL DE 1.1/4''</t>
  </si>
  <si>
    <t>PLUGUE ROSCÁVEL DE 1/2</t>
  </si>
  <si>
    <t>PLUGUE ROSCÁVEL DE 2</t>
  </si>
  <si>
    <t>PLUGUE ROSCÁVEL DE 3/4</t>
  </si>
  <si>
    <t>PORTA CADEADO (ALDABRA) PARA CADEADO ATÉ 35 MM.</t>
  </si>
  <si>
    <t>PORTA CADEADO 101MM (4 POL.)</t>
  </si>
  <si>
    <t>PORTA CADEADO 63MM (2.1/2 POL.)</t>
  </si>
  <si>
    <t>PORTA CADEADO 89MM (3.1/2 POL.)</t>
  </si>
  <si>
    <t>PORTA DE MADEIRA, LISA, MED. 2,10M X 0,60M</t>
  </si>
  <si>
    <t>PORTA DE MADEIRA, LISA, MED. 2,10M X 0,70M</t>
  </si>
  <si>
    <t>PORTA DE MADEIRA, LISA, MED. 2,10M X 0,80M</t>
  </si>
  <si>
    <t>PORTA DE MADEIRA, LISA, MED. 2,10M X 0,90M</t>
  </si>
  <si>
    <t>PORTA DE MADEIRA, LISA, MED. 2,10M X 1,00M</t>
  </si>
  <si>
    <t>PORTA EM VIDRO TEMPERADO 10MM</t>
  </si>
  <si>
    <t>PORTA PAPEL SANITÁRIO COM TAMPA</t>
  </si>
  <si>
    <t>PORTA PARA DIVISÓRIA 35MM COR AREIA JUNDIAÍ, ENCABEÇAMENTO EM MADEIRA COM MEDIDA APROX. DE 0,90 M X 2,10 M (COM TOLERÂNCIA 2 CM).</t>
  </si>
  <si>
    <t>PORTA PARA DIVISÓRIA MED.  0,82 X 2,10 REVESTIDA EM MELAMINA NA COR AREIA JUNDIAI</t>
  </si>
  <si>
    <t>PORTA PARA DIVISÓRIA MED. 0,82X2,10 REVESTIDA EM MELAMINA NA COR AREIA JUNDIAI</t>
  </si>
  <si>
    <t>PORTA PARA DIVISÓRIA MED. 0,82X2,10, 35MM CINZA CRISTAL</t>
  </si>
  <si>
    <t>PORTA PARA DIVISÓRIA MED. 0,90X2,10 REVESTIDA EM CHAPA DURA DE FIBRAS DE EUCALIPTO</t>
  </si>
  <si>
    <t>PORTA PARA DIVISÓRIA MED. 0,90X2,10 REVESTIDA EM MELAMINA NA COR AREIA JUNDIAI</t>
  </si>
  <si>
    <t>PORTA PARA DIVISÓRIA MED. 0,90X2,10, 35MM NA COR CINZA CRISTAL</t>
  </si>
  <si>
    <t>PREGO ARDOX, 15 X 15 COM CABEÇA</t>
  </si>
  <si>
    <t>PREGO ARDOX, 17 X 27 COM CABEÇA</t>
  </si>
  <si>
    <t>PREGO EM AÇO INOX, 12 X 12 COM CABEÇA</t>
  </si>
  <si>
    <t>PREGO EM AÇO INOX, 12 X 12 COM CABEÇA.</t>
  </si>
  <si>
    <t>PREGO EM AÇO INOX, 12 X 12 SEM CABEÇA</t>
  </si>
  <si>
    <t>PREGO EM AÇO INOX, 12 X 12 SEM CABEÇA(KG)</t>
  </si>
  <si>
    <t>PREGO EM AÇO INOX, 15 X 15 COM CABEÇA (KG)</t>
  </si>
  <si>
    <t>PREGO EM AÇO INOX, 15 X 15 SEM CABEÇA</t>
  </si>
  <si>
    <t>PREGO EM AÇO, MED. 3,0 X 5,0 COM CABEÇA</t>
  </si>
  <si>
    <t>PREGO EM AÇO, MED. 3,0 X 5,0 SEM CABEÇA</t>
  </si>
  <si>
    <t>PREGO MED. 10 X 10 COM CABEÇA</t>
  </si>
  <si>
    <t>PREGO MED. 10 X 10 SEM CABEÇA</t>
  </si>
  <si>
    <t>PREGO MED. 12 X 12 SEM CABEÇA</t>
  </si>
  <si>
    <t>PREGO MED. 13 X 15 COM CABEÇA</t>
  </si>
  <si>
    <t>PREGO MED. 13 X 15 SEM CABEÇA</t>
  </si>
  <si>
    <t>PREGO MED. 13 X 18 COM CABEÇA</t>
  </si>
  <si>
    <t>PREGO MED. 13 X 18 SEM CABEÇA</t>
  </si>
  <si>
    <t>PREGO MED. 13 X 24 SEM CABEÇA</t>
  </si>
  <si>
    <t>PREGO MED. 16 X 24 SEM CABEÇA</t>
  </si>
  <si>
    <t>PREGO MED. 17 X 27 COM CABEÇA</t>
  </si>
  <si>
    <t>PREGO MED. 17 X 27 SEM CABEÇA</t>
  </si>
  <si>
    <t>PRIMER FLEX PARA AUTONIVELANTE</t>
  </si>
  <si>
    <t>PRIMER PARA MANTA ASFÁLTICA ALUMINIZADA BASE ÁGUA 3,6L</t>
  </si>
  <si>
    <t>PRIMER PARA MANTAS VEDACIT, ASFÁLTICO DE BASE SOLVENTE, 18 LT</t>
  </si>
  <si>
    <t>PROLONGADOR DE PVC PARA TUBO ESGOTO DE 100 MM</t>
  </si>
  <si>
    <t>PROLONGADOR DE PVC PARA TUBO ESGOTO DE 150 MM</t>
  </si>
  <si>
    <t>PÉ DE VÁLVULA DE METAL DE 1''</t>
  </si>
  <si>
    <t>PÉ DE VÁLVULA DE METAL DE 1.1/2</t>
  </si>
  <si>
    <t>PÉ DE VÁLVULA DE METAL DE 1.1/4</t>
  </si>
  <si>
    <t>PÉ DE VÁLVULA DE METAL DE 3/4''</t>
  </si>
  <si>
    <t>PÉ DE VÁLVULA DE METALDE 2''</t>
  </si>
  <si>
    <t>RALO QUADRADO, MONTADO COM GRELHA MED. 100X53X40MM</t>
  </si>
  <si>
    <t>REBITE 2,4 X 6MM ALUMÍNIO</t>
  </si>
  <si>
    <t>REBITE 4,0 X 25MM NA COR PRETA</t>
  </si>
  <si>
    <t>REBITE DE REPUXO 3,2 X 22MM ALUMÍNIO</t>
  </si>
  <si>
    <t>REBITE DE REPUXO 3,2 X 22MM ALUMÍNIO POLIDO ( EMBALAGEM COM 100 UNIDADES)</t>
  </si>
  <si>
    <t>REBITE DE REPUXO 4 X 20MM ALUMÍNIO</t>
  </si>
  <si>
    <t>REBITE DE REPUXO 4,0 X 19MM ALUMÍNIO POLIDO ( EMBALAGEM COM 100 UNIDADES)</t>
  </si>
  <si>
    <t>REBITE DE REPUXO EM ALUMINIO 4,0 X 20MM NA COR PRETA</t>
  </si>
  <si>
    <t>REBITE DE REPUXO EM ALUMINIO POLIDO 4,0 X 20MM</t>
  </si>
  <si>
    <t>REBITE DE REPUXO, 3,2 X 12MM EM ALUMINIO COR PRETA ( CX C/1000 UNIDADES)</t>
  </si>
  <si>
    <t>REBITE DE REPUXO, 3,2 X 12MM EM ALUMINIO POLIDO</t>
  </si>
  <si>
    <t>REBITE DE REPUXO, 3,2 X 12MM EM ALUMINIO POLIDO ( EMBALAGEM COM 100 UNIDADES)</t>
  </si>
  <si>
    <t>REBITE DE REPUXO, 3,2 X 12MM NA COR PRETA</t>
  </si>
  <si>
    <t>REBITE DE REPUXO, 3,2 X 22MM EM ALUMINIO COR PRETA ( CX C/1000 UNIDADES)</t>
  </si>
  <si>
    <t>REBITE DE REPUXO, 3,2 X 22MM EM ALUMINIO POLIDO</t>
  </si>
  <si>
    <t>REBITE DE REPUXO, 3,2 X 22MM NA COR PRETA</t>
  </si>
  <si>
    <t>REBITE DE REPUXO, 4,0 X 20MM EM ALUMINIO POLIDO (CX C/100 UNIDADES)</t>
  </si>
  <si>
    <t>REBITE DE REPUXO, 4,0 X 25MM EM ALUMINIO NA COR PRETA (CX C/1000 UNIDADES)</t>
  </si>
  <si>
    <t>REDUTOR THINNER 2002, 900ML</t>
  </si>
  <si>
    <t>REDUÇÃO EXCÊNTRICA ESGOTO PRIM- DN 100 X 50</t>
  </si>
  <si>
    <t>REDUÇÃO EXCÊNTRICA ESGOTO PRIM- DN 100 X 75</t>
  </si>
  <si>
    <t>REDUÇÃO EXCÊNTRICA ESGOTO PRIM- DN 150 X 100</t>
  </si>
  <si>
    <t>REDUÇÃO EXCÊNTRICA SÉRIE NORMAL - DN 75 X 50</t>
  </si>
  <si>
    <t>REGISTRO BRUTO 1 1/4</t>
  </si>
  <si>
    <t>REGISTRO BRUTO 1''</t>
  </si>
  <si>
    <t>REGISTRO BRUTO 1.1/2</t>
  </si>
  <si>
    <t>REGISTRO BRUTO 2''</t>
  </si>
  <si>
    <t>REGISTRO BRUTO, GALVANIZADO, DE 1/2</t>
  </si>
  <si>
    <t>REGISTRO BRUTO, GALVANIZADO, DE 3/4</t>
  </si>
  <si>
    <t>REGISTRO DE 2.1/2</t>
  </si>
  <si>
    <t>REGISTRO DE ESFERA VS, SOLDÁVEL, DE 25MM</t>
  </si>
  <si>
    <t>REGISTRO DE ESFERA VS, SOLDÁVEL, DE 32MM</t>
  </si>
  <si>
    <t>REGISTRO DE ESFERA VS, SOLDÁVEL, DE 40MM</t>
  </si>
  <si>
    <t>REGISTRO DE ESFERA VS, SOLDÁVEL, DE 50MM</t>
  </si>
  <si>
    <t>REGISTRO DE ESFERA VS, SOLDÁVEL, DE 60MM</t>
  </si>
  <si>
    <t>REGISTRO DE PRESSÃO COM ACABAMENTO DE 1/2</t>
  </si>
  <si>
    <t>REGISTRO DE PRESSÃO COM ACABAMENTO DE 3/4</t>
  </si>
  <si>
    <t>REGISTRO ESFERA ROSCÁVEL 3/4</t>
  </si>
  <si>
    <t>REGULADOR PARA PERFIL F530</t>
  </si>
  <si>
    <t>REGULADOR PARA PERFIL ¿T¿ CLICADO ¿ TIPO PRESSÃO</t>
  </si>
  <si>
    <t>REJUNTE FLEXIVEL, COR CINZA PLATINA ( SACO 5KG)</t>
  </si>
  <si>
    <t>REJUNTE PARA PISO CERÂMICO, COR BRANCO, 1 KG</t>
  </si>
  <si>
    <t>REMOVEDOR REDUCOLA DILUENTE - LATA 900ML</t>
  </si>
  <si>
    <t>REPARO 2550 DNA 32/40</t>
  </si>
  <si>
    <t>REPARO CROMADA DE ESCOAMENTO PARA TANQUE 1.1/2 E 1.1/4</t>
  </si>
  <si>
    <t>REPARO FABRIMAR COM ÊMBOLO COMPLETO</t>
  </si>
  <si>
    <t>REPARO HIDRA 2511/5/6/7 1.1/2''</t>
  </si>
  <si>
    <t>REPARO HIDRA MAX 2550</t>
  </si>
  <si>
    <t>REPARO HYDRA MAX. (COMPLETO)</t>
  </si>
  <si>
    <t>REPARO PARA TORNEIRA UNIVERSAL, CERÂMICO, 1/4 DE VOLTA, COM ABERTURA NO SENTIDO HORÁRIO</t>
  </si>
  <si>
    <t>REPARO PARA VÁLVULA  HIDRA MAX 1.1/4'' E 1.1/2''.</t>
  </si>
  <si>
    <t>REPARO PARA VÁLVULA DOCOL - ALTA PRESSÃO</t>
  </si>
  <si>
    <t>REPARO PARA VÁLVULA DOCOL - BAIXA PRESSÃO</t>
  </si>
  <si>
    <t>REPARO PRIMOR 1 /12''</t>
  </si>
  <si>
    <t>REPARO PRIMOR 1 1/2 COM REGULADOR EXTERNO ALTA E BAIXA PRESSÃO</t>
  </si>
  <si>
    <t>REPARO PRIMOR 1 1/4 COM REGULADOR EXTERNO ALTA E BAIXA PRESSÃO</t>
  </si>
  <si>
    <t>REVESTIMENTO CERÂMICO, MED.45CMX45CM, REF.: FORMA BRANCO AC, CÓD.8040852</t>
  </si>
  <si>
    <t>REVESTIMENTO PARA PISO EM CERÂMICA</t>
  </si>
  <si>
    <t>RIPA MAÇARANDUBA LINEAR MED.3M</t>
  </si>
  <si>
    <t>RODAPÉ EM MDF MED.7CM X 1,5CM X 2,4M</t>
  </si>
  <si>
    <t>ROLDANA TRIPORT</t>
  </si>
  <si>
    <t>ROLO DE 23CM DE LÃ DE POLIÉSTER 5MM</t>
  </si>
  <si>
    <t>ROLO DE ESPUMA DE 23 CM</t>
  </si>
  <si>
    <t>ROLO DE ESPUMA DE 9CM COM CABO</t>
  </si>
  <si>
    <t>ROLO DE LÃ DE CARNEIRO 23CM SEM CABO, ALTURA ENTRE 13 E 19MM</t>
  </si>
  <si>
    <t>ROLO DE LÃ DE CARNEIRO 23CM SEM CABO, ALTURA ENTRE 22 E 25MM</t>
  </si>
  <si>
    <t>ROLO DE LÃ DE CARNEIRO 9CM COM CABO, ALTURA DE 12MM</t>
  </si>
  <si>
    <t>ROLO DE LÃ DE CARNEIRO DE 9CM COM CABO</t>
  </si>
  <si>
    <t>ROLO DE LÃ SINTETICO 23 CM COM SUPORTE GARFO, ALTURA DA LÃ ENTRE 5 E 7 MM</t>
  </si>
  <si>
    <t>SACO DE ENTULHO 50 LITROS REFORÇADO</t>
  </si>
  <si>
    <t>SAPATA DUPLA EM AÇO CHAPA 14</t>
  </si>
  <si>
    <t>SAPATA SIMPLES EM AÇO CHAPA 14</t>
  </si>
  <si>
    <t>SARRAFO DE 10 X 2,5CM, MEDINDO 300 CM</t>
  </si>
  <si>
    <t>SEDE PARA VÁLVULA 1.1/4 E 1.1/2</t>
  </si>
  <si>
    <t>SEDE PARA VÁLVULA HIDRA MAX 2550</t>
  </si>
  <si>
    <t>SELADOR ACRÍLICO 3,6 LITROS</t>
  </si>
  <si>
    <t>SELADORA PARA MADEIRA 3,6 LITROS</t>
  </si>
  <si>
    <t>SELANTE DE SILICONE ESTRUTURAL SIKASIL 50GR</t>
  </si>
  <si>
    <t>BT</t>
  </si>
  <si>
    <t>SIFÃO CORRUGADO, 40 / 50 MM, COR BRANCA</t>
  </si>
  <si>
    <t>SIFÃO PARA LAVATÓRIO 1'' X 1. 1/2 X 30 CM, CROMADO</t>
  </si>
  <si>
    <t>SIFÃO PARA MICTÓRIO, CROMADO COM SAÍDA 1/1/4' RÍGIDO, TIPO COPO</t>
  </si>
  <si>
    <t>SIFÃO PARA MICTÓRIO, CROMADO DE 1.1/2</t>
  </si>
  <si>
    <t>SIFÃO PARA MICTÓRIO, CROMADO DE 2''</t>
  </si>
  <si>
    <t>SIFÃO SANFONADO UNIV. ENTRADA 1''. 1 1/4, 1 1/2 SAÍDA DE 40 MM E 50 MM</t>
  </si>
  <si>
    <t>SIFÃO SANFONADO UNIV. ENTRADA 1''. 1 1/4, 1/2 SAÍDA DE 40 MM E 50 MM</t>
  </si>
  <si>
    <t>SILICONE BISNAGA DE 270 G</t>
  </si>
  <si>
    <t>SILICONE BISNAGA DE 280 G</t>
  </si>
  <si>
    <t>SISAL PACOTE C/ 250G</t>
  </si>
  <si>
    <t>SISAL PACOTE COM 1 KG</t>
  </si>
  <si>
    <t>SOLUÇÃO LIMPADORA 1000 ML</t>
  </si>
  <si>
    <t>SOLVENTE AGUARRÁS 900 ML</t>
  </si>
  <si>
    <t>SOLVENTE REDUCOLA 900 ML.</t>
  </si>
  <si>
    <t>SOLVENTE REDUCOLA LATA COM 900ML</t>
  </si>
  <si>
    <t>SPUD CROMADO 1.1/2''</t>
  </si>
  <si>
    <t>SPUD PARA TUBO DE 1.1/2 E 40MM  BS-5</t>
  </si>
  <si>
    <t>SUPORTE PARA ROLOS DE PINTURA DE 23 CM</t>
  </si>
  <si>
    <t>TAMPA COM ARO QUADRADO 61X61CM, CAIXA DE INSPEÇÃO</t>
  </si>
  <si>
    <t>TAMPA COM ARO REDONDO 55CM, CAIXA DE ESGOTO</t>
  </si>
  <si>
    <t>TAMPA COM ARO REDONDO 60CM, CAIXA DE ESGOTO</t>
  </si>
  <si>
    <t>TAMPA COM ARO REDONDO 68CM, CAIXA DE ESGOTO</t>
  </si>
  <si>
    <t>TAMPA COM ARO RETANGULAR 32X42CM, CAIXA DE INCÊNDIO</t>
  </si>
  <si>
    <t>TAMPA COM ARO RETANGULAR 45X50CM, CAIXA DE ESGOTO</t>
  </si>
  <si>
    <t>TAMPA COM ARO RETANGULAR 46X41CM, CAIXA DE ESGOTO</t>
  </si>
  <si>
    <t>TAMPA COM ARO RETANGULAR 53X46CM, CAIXA DE ESGOTO</t>
  </si>
  <si>
    <t>TAMPA COM ARO RETANGULAR 60X40CM, CAIXA DE INCÊNDIO</t>
  </si>
  <si>
    <t>TAMPA DE FERRO FUNDIDO PARA CAIXA DE ESGOTO</t>
  </si>
  <si>
    <t>TAMPA DE FERRO FUNDIDO PARA CAIXA DE GORDURA</t>
  </si>
  <si>
    <t>TAMPA DE FERRO FUNDIDO PARA CAIXA DE INCÊNDIO</t>
  </si>
  <si>
    <t>TAMPA DE FERRO FUNDIDO, QUADRADA</t>
  </si>
  <si>
    <t>TAMPA DE FERRO FUNDIDO, REDONDA 60CM</t>
  </si>
  <si>
    <t>TAMPA PARA CAIXA D¿ÁGUA EM POLIETILENO</t>
  </si>
  <si>
    <t>TAMPÃO FOFO, CINZENTO</t>
  </si>
  <si>
    <t>TANQUE LOUÇA 30 LITROS</t>
  </si>
  <si>
    <t>TARJETA DE FERRO 1 1/2 - GALVANIZADO</t>
  </si>
  <si>
    <t>TARJETA TRINCO FERROLHO 2,5 AÇO ZINCADO </t>
  </si>
  <si>
    <t>TARUGO DE POLIETILENO COR CINZA</t>
  </si>
  <si>
    <t>MT</t>
  </si>
  <si>
    <t>TARUGO DE POLIETILENO COR CINZA. (ROLO COM 100 METROS)</t>
  </si>
  <si>
    <t>TARUGO DE POLIETILENO COR CINZA. (ROLO COM 50 METROS)</t>
  </si>
  <si>
    <t>TARUGO DE POLIETILENO COR PRETA</t>
  </si>
  <si>
    <t>TARUGO DE POLIETILENO COR PRETA. (ROLO COM 100 METROS)</t>
  </si>
  <si>
    <t>TE DE PVC DE REDUÇÃO ROSCÁVEL DE 1 X 3/4</t>
  </si>
  <si>
    <t>TE DE PVC DE REDUÇÃO ROSCÁVEL DE 1.1/2 X 3/4</t>
  </si>
  <si>
    <t>TE DE PVC DE REDUÇÃO ROSCÁVEL DE 3/4 X 1/2</t>
  </si>
  <si>
    <t>TE DE PVC DE REDUÇÃO SOLDÁVEL DE 25 X 1/2, COM BUCHA DE LATÃO NA BOLSA CENTRAL</t>
  </si>
  <si>
    <t>TE DE PVC DE REDUÇÃO SOLDÁVEL DE 32 X 3/4, COM BUCHA DE LATÃO NA BOLSA CENTRAL</t>
  </si>
  <si>
    <t>TE DE PVC DE REDUÇÃO SOLDÁVEL DE 50 X 25MM</t>
  </si>
  <si>
    <t>TE DE PVC ROSCÁVEL DE 1''</t>
  </si>
  <si>
    <t>TE DE PVC ROSCÁVEL DE 1.1/2''</t>
  </si>
  <si>
    <t>TE DE PVC ROSCÁVEL DE 1.1/4''</t>
  </si>
  <si>
    <t>TE DE PVC ROSCÁVEL DE 1/2¨</t>
  </si>
  <si>
    <t>TE DE PVC ROSCÁVEL DE 2</t>
  </si>
  <si>
    <t>TE DE PVC ROSCÁVEL DE 3/4¨</t>
  </si>
  <si>
    <t>TE DE PVC SOLD. BUCHA DE LATÃO COM REDUÇÃO 25 X 1/2</t>
  </si>
  <si>
    <t>TE DE PVC SOLDÁVEL COM BUCHA DE LATÃO BOLSA CENTRAL 20 MM X 1/2</t>
  </si>
  <si>
    <t>TE DE PVC SOLDÁVEL COM BUCHA DE LATÃO BOLSA CENTRAL 25 MM X 3/4</t>
  </si>
  <si>
    <t>TE DE PVC SOLDÁVEL DE 20MM</t>
  </si>
  <si>
    <t>TE DE PVC SOLDÁVEL DE 25MM</t>
  </si>
  <si>
    <t>TE DE PVC SOLDÁVEL DE 32MM</t>
  </si>
  <si>
    <t>TE DE PVC SOLDÁVEL DE 40 MM</t>
  </si>
  <si>
    <t>TE DE PVC SOLDÁVEL DE 50 MM</t>
  </si>
  <si>
    <t>TE DE PVC SOLDÁVEL DE 60 MM</t>
  </si>
  <si>
    <t>TE DE PVC SOLDÁVEL DE 75MM</t>
  </si>
  <si>
    <t>TE DE PVC SOLDÁVEL, COM BUCHA DE LATÃO, DE 20MM X 1/2</t>
  </si>
  <si>
    <t>TE PARA ESGOTO SÉRIE NORMAL 100MM</t>
  </si>
  <si>
    <t>TE PARA ESGOTO SÉRIE NORMAL 200MM</t>
  </si>
  <si>
    <t>TE SOLDÁVEL C/ BUCHA DE LATÃO NA BOLSA CENTRAL 25 X 1/2'</t>
  </si>
  <si>
    <t>TELA EM POLIÉSTER PARA IMPERMEABILIZAÇÃO 49CMX50M</t>
  </si>
  <si>
    <t>TELHA BICA ITABORAI</t>
  </si>
  <si>
    <t>TELHA CAPA ITABORAI</t>
  </si>
  <si>
    <t>TELHA DE AÇO GALVANIZADO, TRAPEZOIDAL 1,045M X 6M, ESPESSURA 0,5MM, BORDAS UNIFORMES, PERMITINDO ENCAIXE COM SOBREPOSIÇÃO EXATA</t>
  </si>
  <si>
    <t>TELHA GALVANIZADA TRAPEZOIDAL, 4 MT</t>
  </si>
  <si>
    <t>TELHA GALVANIZADA TRAPEZOIDAL, 5 MT</t>
  </si>
  <si>
    <t>TELHA METÁLICA PARA TAPUME 40MM X 1020MM X 2020MM</t>
  </si>
  <si>
    <t>TELHA ONDULADA 2,44 X 1,10 X 6MM</t>
  </si>
  <si>
    <t>TELHA ONDULADA COMPOSTA DE FIBROCIMENTO, 6 MM</t>
  </si>
  <si>
    <t>TELHA TRAPEZOIDAL EM AÇO GALVANIZADO DIMENSÕES 1,02M X 2,20M X 40MM ESPESSURA 0,43MM</t>
  </si>
  <si>
    <t>TELHA TRAPEZOIDAL EM CHAPA GALVANIZADA COM PINTURA ELETROSTÁTICA NA COR BRANCA, MEDINDO 1,05 X 2,20 M</t>
  </si>
  <si>
    <t>TIJOLO COBOGÓ 39 X 39</t>
  </si>
  <si>
    <t>TINTA ACRÍLICA ACETINADA 3,6L COR AZUL CLARO, REF.: ÁGUA GELADA</t>
  </si>
  <si>
    <t>TINTA ACRÍLICA ACETINADA 3,6L COR AZUL MÉDIO, REF.: TROVOADA</t>
  </si>
  <si>
    <t>TINTA ACRÍLICA ACETINADA 3,6L COR MOSTARDA, REF.: NOZES</t>
  </si>
  <si>
    <t>TINTA ACRÍLICA FOSCO, BRANCO GELO, 18 LITROS</t>
  </si>
  <si>
    <t>TINTA ACRÍLICA METALATEX  VERMELHO RÚSTICO 18 LTS</t>
  </si>
  <si>
    <t>TINTA BRANCO NEVE, 18 LITROS</t>
  </si>
  <si>
    <t>TINTA COR CONCRETO, 18 LITROS</t>
  </si>
  <si>
    <t>TINTA EPÓXI AMARELA, 18 LITROS</t>
  </si>
  <si>
    <t>TINTA EPÓXI AMARELA, GALÃO 3,6 LTS</t>
  </si>
  <si>
    <t>TINTA EPÓXI AZUL, 18 LITROS</t>
  </si>
  <si>
    <t>TINTA EPÓXI BRANCA, GALÃO 3,6 LTS</t>
  </si>
  <si>
    <t>TINTA EPÓXI CINZA ESCURO 2,7L + CATALIZADOR 900ML(3,6L)</t>
  </si>
  <si>
    <t>TINTA EPÓXI CINZA, 18 LITROS</t>
  </si>
  <si>
    <t>TINTA EPÓXI CINZA, GALÃO 3,6 LTS</t>
  </si>
  <si>
    <t>TINTA EPÓXI CONCRETO, 18 LITROS</t>
  </si>
  <si>
    <t>TINTA ESMALTE ACETINADO, COR GELO, 3,6 LITROS</t>
  </si>
  <si>
    <t>TINTA ESMALTE ACETINADO, COR PLATINA, 3,6 LITROS</t>
  </si>
  <si>
    <t>TINTA ESMALTE POLIURETANO BICOMPONENTE ACRÍLICO, COR AZUL BÚZIOS, 3,6 LITROS</t>
  </si>
  <si>
    <t>TINTA ESMALTE SINTÉTICO PARA MADEIRA E METAIS - GALÃO DE 3,6 LITROS - COR BRANCO GELO</t>
  </si>
  <si>
    <t>TINTA ESMALTE SINTÉTICO PARA MADEIRA E METAIS - GALÃO DE 3,6 LITROS - COR BRANCO NEVE</t>
  </si>
  <si>
    <t>TINTA ESMALTE SINTÉTICO PARA MADEIRA E METAIS - GALÃO DE 3,6 LITROS - COR PLATINA</t>
  </si>
  <si>
    <t>TINTA ESMALTE SINTÉTICO PARA MADEIRA E METAIS - GALÃO DE 3,6 LITROS - COR PRETA</t>
  </si>
  <si>
    <t>TINTA ESMALTE SINTÉTICO PRETO FOSCO</t>
  </si>
  <si>
    <t>TINTA ESMALTE SINTÉTICO, BRANCO NEVE FOSCO, 3,6 LITROS</t>
  </si>
  <si>
    <t>TINTA ESMALTE SINTÉTICO, COR GELO FOSCO, 3,6 LITROS</t>
  </si>
  <si>
    <t>TINTA ESMALTE SINTÉTICO, COR PLATINA FOSCO, 3,6 LITROS</t>
  </si>
  <si>
    <t>TINTA ESMALTE SINTÉTICO, COR PRETO FOSCO, 3,6 LITROS</t>
  </si>
  <si>
    <t>TINTA FOSCO NA COR AREIA, 3,6 LITROS</t>
  </si>
  <si>
    <t>TINTA FOSCO NA COR VERMELHO CARDINAL, GALÃO DE 3,6 LITROS</t>
  </si>
  <si>
    <t>TINTA FOSCO, BRANCO NEVE, 18 LITROS</t>
  </si>
  <si>
    <t>TINTA LOYAL BLUE, 18 LITROS</t>
  </si>
  <si>
    <t>TINTA LÁTEX ACRÍLICA BRANCO GELO, 18 LITROS</t>
  </si>
  <si>
    <t>TINTA LÁTEX ACRÍLICA BRANCO NEVE, 18 LITROS</t>
  </si>
  <si>
    <t>TINTA LÁTEX ACRÍLICA CONCRETO, 18 LITROS</t>
  </si>
  <si>
    <t>TINTA OU PVA,  LINHA PREMIUM, COR AREIA, ACABAMENTO FOSCO, CARACTERÍSTICA SEM ODOR</t>
  </si>
  <si>
    <t>TINTA OU PVA,  LINHA PREMIUM, COR VERMELHO CARDINAL, ACABAMENTO FOSCO, CARACTERÍSTICA SEM ODOR</t>
  </si>
  <si>
    <t>TINTA PARA PISO NA COR AMARELO, 3,6 LITROS</t>
  </si>
  <si>
    <t>TINTA PARA PISO NA COR AZUL, 3,6 LITROS</t>
  </si>
  <si>
    <t>TINTA PARA PISO NA COR BRANCO, 3,6 LITROS</t>
  </si>
  <si>
    <t>TINTA PARA PISO NA COR CINZA ESCURO, 3,6 LITROS</t>
  </si>
  <si>
    <t>TINTA PARA PISO NA COR CINZA, 3,6 LITROS</t>
  </si>
  <si>
    <t>TINTA PARA PISO NA COR CONCRETO, 3,6 LITROS</t>
  </si>
  <si>
    <t>TINTA PARA PISO NA COR PRETA, 3,6 LITROS</t>
  </si>
  <si>
    <t>TINTA RESINA ACRÍLICA PARA CÊRAMICA E TELHAS, 18 LITROS</t>
  </si>
  <si>
    <t>TOLDO RETRÁTIL</t>
  </si>
  <si>
    <t>TORNEIRA BÓIA PARA CAIXA D'ÁGUA  DE 3/4</t>
  </si>
  <si>
    <t>TORNEIRA BÓIA PARA CAIXA D'ÁGUA DE 1/2</t>
  </si>
  <si>
    <t>TORNEIRA BÓIA PFC</t>
  </si>
  <si>
    <t>TORNEIRA BÓIA PRESSÃO BALÃO METÁLICO 1''</t>
  </si>
  <si>
    <t>TORNEIRA BÓIA PRESSÃO BALÃO METÁLICO 1.1/2''</t>
  </si>
  <si>
    <t>TORNEIRA BÓIA PRESSÃO BALÃO METÁLICO 1.1/4''</t>
  </si>
  <si>
    <t>TORNEIRA BÓIA PRESSÃO BALÃO METÁLICO 2</t>
  </si>
  <si>
    <t>TORNEIRA BÓIA PRESSÃO BALÃO METÁLICO 3/4''</t>
  </si>
  <si>
    <t>TORNEIRA DE MESA/BANCADA PARA COZINHA TUBO LONGO/ALTO MÓVEL COM ACIONAMENTO CONVENCIONAL EM ACABAMENTO METAL CROMADO ACIONAMENTO 1/4 DE VOLTA E ENTRADA 1/2</t>
  </si>
  <si>
    <t>TORNEIRA DE MESA/BANCADA PARA COZINHA, COM ACIONAMENTO CONVENCIONAL COM 1/4 DE VOLTA E ENTRADA DE 1/2</t>
  </si>
  <si>
    <t>TORNEIRA DE MESA/BANCADA PARA LAVATÓRIO COM ACIONAMENTO CONVENCIONAL EM ACABAMENTO METAL CROMADO</t>
  </si>
  <si>
    <t>TORNEIRA DE MESA/BANCADA PARA LAVATÓRIO DE USO DE PNE, COM ACIONAMENTO POR PRESSÃO MANUAL E FECHAMENTO AUTOMÁTICO</t>
  </si>
  <si>
    <t>TORNEIRA DE MESA/BANCADA PARA LAVATÓRIO, COM ACIONAMENTO HIDROMECÂNICO POR PRESSÃO MANUAL E FECHAMENTO AUTOMÁTICO</t>
  </si>
  <si>
    <t>TORNEIRA DE MESA/BANCADA PARA LAVATÓRIO, TUBO LONGO/ALTO, COM ACIONAMENTO TIPO ALAVANCA EM ACABAMENTO METAL CROMADO C/ JATO CONCENTRADO</t>
  </si>
  <si>
    <t>TORNEIRA DE PAREDE PARA COZINHA TUBO RETO LONGO MÓVEL COM ACIONAMENTO CONVENCIONAL EM ACABAMENTO METAL CROMADO - CARACTERÍSTICAS EXTRAS: ACIONAMENTO 1/4 DE VOLTA E ENTRADA 1/2; TUBO APROX. 20CM</t>
  </si>
  <si>
    <t>TORNEIRA DE PAREDE PARA COZINHA TUBO RETO LONGO MÓVEL COM ACIONAMENTO CONVENCIONAL, ACABAMENTO METAL CROMADO - ACIONAMENTO 1/4 DE VOLTA E ENTRADA 1/2; TUBO APROX. 20CM, AREJADOR MÓVEL.</t>
  </si>
  <si>
    <t>TORNEIRA PARA COZINHA, 1/2, 20 CM</t>
  </si>
  <si>
    <t>TORNEIRA PARA JARDIM 3128 C33</t>
  </si>
  <si>
    <t>TORNEIRA PARA LAVATÓRIO 1190  ADDE - 1/2 - C-23 DN-15</t>
  </si>
  <si>
    <t>TORNEIRA PARA LAVATÓRIO ADÁGIO 1190-AD</t>
  </si>
  <si>
    <t>TORNEIRA PARA LAVATÓRIO ALFA PRESSMATIC COM SISTEMA AUTOMÁTICO DE FECHAMENTO</t>
  </si>
  <si>
    <t>TORNEIRA PARA LAVATÓRIO COM SISTEMA AUTOMÁTICO DE FECHAMENTO</t>
  </si>
  <si>
    <t>TORNEIRA PARA LAVATÓRIO DE MESA COM FECHAMENTO AUTOMÁTICO E ALAVANCA</t>
  </si>
  <si>
    <t>TORNEIRA PARA LAVATÓRIO LOFT REF.1194 - LO.</t>
  </si>
  <si>
    <t>TORNEIRA PARA PIA, TIPO BANCA 1167, DE 1/2 X 17CM, EM METAL CROMADO</t>
  </si>
  <si>
    <t>TORNEIRA PARA PIA, TOP JET 1170 DE 250MM, DE 1/2, EM METAL CROMADO</t>
  </si>
  <si>
    <t>TORNEIRA PARA PIA, TOP JET 1171 DE 200MM, DE 1/2, EM METAL CROMADO</t>
  </si>
  <si>
    <t>TORNEIRA PARA TANQUE 1126 1/2</t>
  </si>
  <si>
    <t>TORNEIRA PARA TANQUE E JARDIM</t>
  </si>
  <si>
    <t>TORNEIRA TOP JET 250MM ADAGIO 1170</t>
  </si>
  <si>
    <t>TRAVA DE SEGURANÇA TETRA CHAVE DE INOX, FORMATO REDONDO, SEM PARAFUSOS APARENTES</t>
  </si>
  <si>
    <t>TRAVA DE SEGURANÇA TETRA CHAVE PAPAIZ 140</t>
  </si>
  <si>
    <t>TRAVESSA CLICADA T24 625 X 24 X 26MM</t>
  </si>
  <si>
    <t>TRAVESSA CLICADA T24 625 X 24 X 32MM</t>
  </si>
  <si>
    <t>TRILHO STANLEY EM FERRO, MEDINDO 50 MM X 60 MM X 17 MM X 9 MM, 18 MM DE ESPESSURA, 3 M DE COMPRIMENTO</t>
  </si>
  <si>
    <t>TRINCHA DE 1</t>
  </si>
  <si>
    <t>TRINCHA DE 1 1/2</t>
  </si>
  <si>
    <t>TRINCHA DE 2</t>
  </si>
  <si>
    <t>TRINCHA DE 3</t>
  </si>
  <si>
    <t>TRINCHA DE 3 1/2</t>
  </si>
  <si>
    <t>TRINCO FECHO BOTÃO PARA MÓVEIS</t>
  </si>
  <si>
    <t>TRINCO PARA BLINDEX REF: 2240</t>
  </si>
  <si>
    <t>TRINCO PARA PORTA DE ARMÁRIO</t>
  </si>
  <si>
    <t>TRINCO TIPO FERROLHO 7CM (PARA ARMÁRIOS)</t>
  </si>
  <si>
    <t>TUBO DE AÇO CARBONO QUADRADO METALON DE 30 X 30 X 2MM ESPESSURA COM  6M</t>
  </si>
  <si>
    <t>TUBO DE AÇO CARBONO RETANGULAR METALON DE 100 X 40 X 3MM ESPESSURA COM 6 M</t>
  </si>
  <si>
    <t>TUBO DE DESCARGA 40MM COM SPUD</t>
  </si>
  <si>
    <t>TUBO DE LIGAÇÃO FLEXÍVEL, CROMADO, COM SPUD DE VEDAÇÃO</t>
  </si>
  <si>
    <t>TUBO DE PVC DE 40MM, PARA ESGOTO, COM 3 METROS</t>
  </si>
  <si>
    <t>TUBO DE PVC DE 50MM, PARA ESGOTO, COM 6 METROS</t>
  </si>
  <si>
    <t>TUBO DE PVC ROSCÁVEL DE 1, COM 3 M</t>
  </si>
  <si>
    <t>TUBO DE PVC ROSCÁVEL DE 1.1/2, COM 3 M</t>
  </si>
  <si>
    <t>TUBO DE PVC ROSCÁVEL DE 1.1/4, COM 3 M</t>
  </si>
  <si>
    <t>TUBO DE PVC ROSCÁVEL DE 1/2, COM 3 M</t>
  </si>
  <si>
    <t>TUBO DE PVC ROSCÁVEL DE 2, COM 3 M</t>
  </si>
  <si>
    <t>TUBO DE PVC ROSCÁVEL DE 3/4, COM 3 M</t>
  </si>
  <si>
    <t>TUBO DE PVC SOLDÁVEL DE 20 MM, COM 3 METROS</t>
  </si>
  <si>
    <t>TUBO DE PVC SOLDÁVEL DE 25 MM, COM 3 METROS</t>
  </si>
  <si>
    <t>TUBO DE PVC SOLDÁVEL DE 32 MM, COM 3 METROS</t>
  </si>
  <si>
    <t>TUBO DE PVC SOLDÁVEL DE 40 MM, COM 3 METROS</t>
  </si>
  <si>
    <t>TUBO DE PVC SOLDÁVEL DE 50 MM, COM 3 METROS</t>
  </si>
  <si>
    <t>TUBO DE PVC SOLDÁVEL DE 50 MM, COM 6 METROS</t>
  </si>
  <si>
    <t>TUBO DE PVC SOLDÁVEL DE 60 MM, COM 3 METROS</t>
  </si>
  <si>
    <t>TUBO DE PVC SOLDÁVEL DE 75 MM, COM 3 METROS</t>
  </si>
  <si>
    <t>TUBO DE PVC SOLDÁVEL DE 85 MM, COM 3 METROS</t>
  </si>
  <si>
    <t>TUBO DE PVC SÉRIE NORMAL DE 100MM, COM 3 METROS</t>
  </si>
  <si>
    <t>TUBO DE PVC SÉRIE NORMAL DE 150MM, COM 3 METROS</t>
  </si>
  <si>
    <t>TUBO DE PVC SÉRIE NORMAL DE 40MM, COM 3 METROS</t>
  </si>
  <si>
    <t>TUBO DE PVC SÉRIE NORMAL DE 40MM, PONTA BOLSA, COM 3 METROS</t>
  </si>
  <si>
    <t>TUBO DE PVC SÉRIE NORMAL DE 50MM, COM 3 METROS</t>
  </si>
  <si>
    <t>TUBO DE PVC SÉRIE NORMAL DE 75MM, COM 3 METROS</t>
  </si>
  <si>
    <t>TUBO DE PVC SÉRIE NORMAL DE 75MM, PONTA BOLSA, COM 3 METROS</t>
  </si>
  <si>
    <t>TUBO EM METALON  RETANGULAR DIMENSÕES 70 X 30 MM X 6,00M (ESPESSURA 18 MM)</t>
  </si>
  <si>
    <t>TUBO GALVANIZADO DE 2 1/2 X 1/8</t>
  </si>
  <si>
    <t>TUBO SEÇÃO QUADRADA DE METALON, 20 X 20 X 18, 6 M DE COMPRIMENTO</t>
  </si>
  <si>
    <t>TUBO SEÇÃO QUADRADA DE METALON, 50 X 30 X 18, 6 M DE COMPRIMENTO</t>
  </si>
  <si>
    <t>TUBO SEÇÃO RETANGULAR DE METALON, 50 X 30 X 18, 6M DE COMPRIMENTO</t>
  </si>
  <si>
    <t>TÁBUA DE CEDRINHO 300 X 20 X 2,5CM, BRUTA</t>
  </si>
  <si>
    <t>TÁBUA DE CEDRINHO 300 X 30 X 2,5CM, BRUTA</t>
  </si>
  <si>
    <t>TÁBUA DE CEDRINHO OU PINUS 300 X 30 X 2,5CM, APARELHADA</t>
  </si>
  <si>
    <t>TÁBUA DE MAÇARANDUBA APARELHADA DE 300 X 30 X 3 CM</t>
  </si>
  <si>
    <t>UNIÃO DE PVC  SOLDÁVEL DE 50 MM</t>
  </si>
  <si>
    <t>UNIÃO DE PVC  SOLDÁVEL DE 60 MM</t>
  </si>
  <si>
    <t>UNIÃO DE PVC ROSCÁVEL DE 1</t>
  </si>
  <si>
    <t>UNIÃO DE PVC ROSCÁVEL DE 1.1/2</t>
  </si>
  <si>
    <t>UNIÃO DE PVC ROSCÁVEL DE 1.1/4</t>
  </si>
  <si>
    <t>UNIÃO DE PVC ROSCÁVEL DE 1/2</t>
  </si>
  <si>
    <t>UNIÃO DE PVC ROSCÁVEL DE 2</t>
  </si>
  <si>
    <t>UNIÃO DE PVC ROSCÁVEL DE 3/4</t>
  </si>
  <si>
    <t>UNIÃO DE PVC SOLDÁVEL DE 20 MM</t>
  </si>
  <si>
    <t>UNIÃO DE PVC SOLDÁVEL DE 25 MM</t>
  </si>
  <si>
    <t>UNIÃO DE PVC SOLDÁVEL DE 32MM</t>
  </si>
  <si>
    <t>UNIÃO DE PVC SOLDÁVEL DE 40 MM</t>
  </si>
  <si>
    <t>UNIÃO DE PVC SOLDÁVEL DE 75 MM</t>
  </si>
  <si>
    <t>UNIÃO DE PVC SOLDÁVEL DE 85 MM</t>
  </si>
  <si>
    <t>VARA DE FERRO 3/8</t>
  </si>
  <si>
    <t>VEDA JUNTA EM BISNAGA, COM 280 GRAMAS</t>
  </si>
  <si>
    <t>VEDA JUNTA EM BISNAGA, COM 73 GRAMAS</t>
  </si>
  <si>
    <t>VEDAÇÃO ACIONADOR S FLUX P/ VÁLVULA DE DESCARGA  SILENT FLUX</t>
  </si>
  <si>
    <t>VEDAÇÃO PISTÃO S FLUX CPD 08791 PARA VÁLVULA DE DESCARGA SILENT FLUX</t>
  </si>
  <si>
    <t>VEDAÇÃO PISTÃO S FLUX CPD 08806 PARA VÁLVULA DE DESCARGA SILENT FLUX</t>
  </si>
  <si>
    <t>VERNIZ EXTRA, MARÍTIMO NATURAL, 3,6 LITROS</t>
  </si>
  <si>
    <t>VERNIZ INCOLOR BRILHANTE A BASE D'ÁGUA, SECAGEM RÁPIDA - 900ML</t>
  </si>
  <si>
    <t>VERNIZ INCOLOR EXTRA BRILHO, 3,6 LITROS</t>
  </si>
  <si>
    <t>VERNIZ INCOLOR PARA MADEIRA 3,6L</t>
  </si>
  <si>
    <t>VERNIZ MARÍTIMO BRILHANTE INCOLOR</t>
  </si>
  <si>
    <t>VERNIZ TINGIDOR, COR CASTANHO, 3,6 LITROS</t>
  </si>
  <si>
    <t>VERNIZ TINGIDOR, COR IMBUIA, 3,6 LITROS</t>
  </si>
  <si>
    <t>VERNIZ TINGIDOR, COR MOGNO, 3,6 LITROS</t>
  </si>
  <si>
    <t>VIDRO 8MM - 67CM X 214CM</t>
  </si>
  <si>
    <t>VIDRO ANTI REFLEXO, INCOLOR, 2MM</t>
  </si>
  <si>
    <t>VIDRO CRISTAL TEMPERADO 10MM</t>
  </si>
  <si>
    <t>VIDRO FUMÊ DE 4MM - MEDIDA APROXIMADA 177 X 107CM</t>
  </si>
  <si>
    <t>VIDRO INCOLOR LISO 1,20M X 1,20M</t>
  </si>
  <si>
    <t>VIDRO MINI BOREAL DE 3MM - MEDIDA APROXIMADA 169 X 28,5CM</t>
  </si>
  <si>
    <t>VÁLVULA DE DESCARGA 1.1/2 BP</t>
  </si>
  <si>
    <t>VÁLVULA DE DESCARGA 1.1/4 AP</t>
  </si>
  <si>
    <t>VÁLVULA DE DESCARGA DE MICTÓRIO DE 1/2 COM FECHAMENTO AUTOMÁTICO, ACABAMENTO CROMADO</t>
  </si>
  <si>
    <t>VÁLVULA DE DESCARGA PARA MICTÓRIO</t>
  </si>
  <si>
    <t>VÁLVULA DE ESCOAMENTO PARA LAVATÓRIO 1603/1, EM METAL CROMADO</t>
  </si>
  <si>
    <t>VÁLVULA DE ESCOAMENTO PARA LAVATÓRIO 7/8 COM LADRÃO E TAMPA PLÁSTICA CROMADA</t>
  </si>
  <si>
    <t>VÁLVULA DE ESCOAMENTO PARA TANQUE 1 1/2, EM METAL CROMADO</t>
  </si>
  <si>
    <t>VÁLVULA DE ESCOAMENTO PARA TANQUE 1.1/4, EM METAL CROMADO</t>
  </si>
  <si>
    <t>VÁLVULA DE ESCOAMENTO PARA TANQUE 1/2, EM METAL CROMADO</t>
  </si>
  <si>
    <t>VÁLVULA DE ESCOAMENTO TIPO AMERICANA PARA PIA 3.1/2 X 1.1/2'' COM CESTA CROMADA</t>
  </si>
  <si>
    <t>VÁLVULA DE RETENÇÃO FUNDO DE POÇO DE METAL 1. 1/2¨</t>
  </si>
  <si>
    <t>VÁLVULA DE RETENÇÃO FUNDO DE POÇO DE METAL 2¨</t>
  </si>
  <si>
    <t>VÁLVULA DE RETENÇÃO FUNDO DE POÇO VERTICAL DE METAL 1¨</t>
  </si>
  <si>
    <t>VÁLVULA DE RETENÇÃO VERTICAL</t>
  </si>
  <si>
    <t>VÁLVULA DE RETENÇÃO VERTICAL DE 3', BRONZE, COM ROSCA BSP</t>
  </si>
  <si>
    <t>VÁLVULA DE RETENÇÃO VERTICAL DE METAL 1.1/4¨</t>
  </si>
  <si>
    <t>VÁLVULA DE RETENÇÃO VERTICAL DE METAL 3/4¨</t>
  </si>
  <si>
    <t>VÁLVULA FUNDO DE POÇO DE 3, MATERIAL  METAL BRONZE, EXTREMIDADE COM ROSCA BSP</t>
  </si>
  <si>
    <t>VÁLVULA FUNDO DE POÇO DE METAL 1¨</t>
  </si>
  <si>
    <t>VÁLVULA FUNDO DE POÇO DE METAL 3/4¨</t>
  </si>
  <si>
    <t>VÁLVULA LAVATÓRIO 1'' LATÃO EM METAL CROMADO</t>
  </si>
  <si>
    <t>VÁLVULA UNIÃO FUNDO DE POÇO DE METAL 1.1/4</t>
  </si>
  <si>
    <t>VÁLVULA UNIÃO VERTICAL DE METAL 2.1/2</t>
  </si>
  <si>
    <t>VÁLVULA VERTICAL DE METAL 1. 1/4¨</t>
  </si>
  <si>
    <t>VÁLVULA VERTICAL DE METAL 1.1/2¨</t>
  </si>
  <si>
    <t>VÁLVULA VERTICAL DE METAL 2.1/2¨</t>
  </si>
  <si>
    <t>VÁLVULA VERTICAL DE METAL 2¨</t>
  </si>
  <si>
    <t>ZARCÃO UNIVERSAL ANTI-FERRUGEM, 3,6 LITROS</t>
  </si>
  <si>
    <t>ÊMBOLO PARA VÁLVULA PRIMOR 40 MM</t>
  </si>
  <si>
    <t>ÊMBOLO PARA VÁLVULA PRIMOR 45 MM ANTIGA</t>
  </si>
  <si>
    <t>ÓLEO DESENGRIPANTE SPRAY 300ML(LATA)</t>
  </si>
  <si>
    <t>BÓIA PRESSÃO 1</t>
  </si>
  <si>
    <t>BÓIA PRESSÃO 1.1/4''</t>
  </si>
  <si>
    <t>CORRENTE PLÁSTICA, NA COR AMARELA -POLIETILENO</t>
  </si>
  <si>
    <t>SIFÃO METAL P/TANQUE 1.1/4 X 30CM - TIPO COPO</t>
  </si>
  <si>
    <t>Código do
Material</t>
  </si>
  <si>
    <t>Descrição do Material</t>
  </si>
  <si>
    <t>Data da Última Compra</t>
  </si>
  <si>
    <t>Último Fornecedor</t>
  </si>
  <si>
    <t>Valor Unitário da
Última Compra</t>
  </si>
  <si>
    <t>Estoque
Atual</t>
  </si>
  <si>
    <t>Consumo
do Período</t>
  </si>
  <si>
    <t>Consumo Médio
do Período</t>
  </si>
  <si>
    <t>ABRAÇADEIRA DENTADA, EM NYLON 300MM</t>
  </si>
  <si>
    <t>01.015.704/0001-09 - RUNTIME ELETRONICA LTDA</t>
  </si>
  <si>
    <t>ABRAÇADEIRA T50R</t>
  </si>
  <si>
    <t>03.184.328/0001-01 - MHT ALMEIDA COMERCIO E REPRESENTAÇOES</t>
  </si>
  <si>
    <t>ABRAÇADEIRA TIPO COPO DE 2''</t>
  </si>
  <si>
    <t>32.080.334/0001-09 - TERRA GOMES COMERCIO E SOLUCOES CORPORATIVAS EIRELI</t>
  </si>
  <si>
    <t>ABRAÇADEIRA TIPO COPO, DE 3/4"</t>
  </si>
  <si>
    <t>07.789.673/0001-11 - B E B COMERCIO DE MATERIAL ELETRICO E DE CONSTRUCAO LTDA</t>
  </si>
  <si>
    <t>ACABAMENTO PARA VÁLVULA DE DESCARGA DOCOL, MODELO CLÁSSICA CROMADA</t>
  </si>
  <si>
    <t>ADAPTADOR UNIVERSAL 2P +T COM ATERRAMENTO 10 A, 250 V</t>
  </si>
  <si>
    <t>ADESIVO DE CONTATO EXTRA COLA - GALÃO DE 3,2 L/2,8KG</t>
  </si>
  <si>
    <t>11.440.967/0001-00 - FAST DECOR PISOS CARPETES E DRYWALL LTDA</t>
  </si>
  <si>
    <t>ADOÇANTE LÍQUIDO</t>
  </si>
  <si>
    <t>02.768.278/0001-39 - GRANA 298 DISTR ALIMENTOS LTDA</t>
  </si>
  <si>
    <t>ALIZAR DE CEDRINHO PARA PORTA DE 80 CM COM 7 X 1,5 CM (JOGO COMPLETO)</t>
  </si>
  <si>
    <t>ALMOFADA PARA CARIMBO COR AZUL</t>
  </si>
  <si>
    <t>05.214.053/0001-29 - PARCO COMERCIO E SERVIÇOS LTDA</t>
  </si>
  <si>
    <t>ALMOFADA PARA CARIMBO COR VERMELHA</t>
  </si>
  <si>
    <t>ANEL GUIA 40MM C/ ROSCA</t>
  </si>
  <si>
    <t>ANILHA DE IDENTIFICAÇÃO NUMÉRICA, DE 0-9</t>
  </si>
  <si>
    <t>01.377.071/0001-70 - LANTELE COMERCIAL ELETRICA LTDA</t>
  </si>
  <si>
    <t>APAGADOR PARA QUADRO DE LOUSA/VIDRO</t>
  </si>
  <si>
    <t>APONTADOR .</t>
  </si>
  <si>
    <t>ARRUELA LISA 1/4?</t>
  </si>
  <si>
    <t>36.724.325/0001-64 - GERIR COMERCIO E SERVICOS DE REFRIGERACAO LTDA</t>
  </si>
  <si>
    <t>AÇÚCAR .</t>
  </si>
  <si>
    <t>29.939.920/0001-51 - GABRIELLA PESSOA ANTUNES BICCHIERI</t>
  </si>
  <si>
    <t>BANDEIRA OFICIAL DO TIPO 2 (DOIS) PANOS, 90 X 128 CM, DA REPÚBLICA FEDERATIVA DO BRASIL</t>
  </si>
  <si>
    <t>79.034.153/0001-00 - N. F. GRANDE &amp; CIA LTDA - EPP</t>
  </si>
  <si>
    <t>BANDEIRA OFICIAL DO TIPO 2 (DOIS) PANOS, 90 X 128 CM, DO ESTADO DO RIO DE JANEIRO</t>
  </si>
  <si>
    <t>BANDEIRA OFICIAL DO TIPO 2 (DOIS) PANOS, 90 X 128 CM, DO MINISTÉRIO PÚBLICO DO RIO DE JANEIRO</t>
  </si>
  <si>
    <t>BANDEJA APARADORA DE ÁGUA PARA AR CONDICIONADO 18.000 A 30.000 BTUS (COM MEDIDAS MÍNIMAS DE 70 X 50CM)</t>
  </si>
  <si>
    <t>36.742.836/0001-09 - FAST FRIO PRODUTOS E SERVIÇOS LTDA</t>
  </si>
  <si>
    <t>BOBINA DE PAPEL OFFSET 76X40, COR BRANCA, PARA IMPRESSORA 40 COLUNAS</t>
  </si>
  <si>
    <t>02.577.214/0001-50 - EXITO MONTANGENS E COMÉRCIO LTDA</t>
  </si>
  <si>
    <t>BOMBA SUBMERSÍVEL 2303 SDE 2 3.0CV 220V 2P</t>
  </si>
  <si>
    <t>22.065.938/0001-22 - CCK COMERCIAL EIRELI - EPP</t>
  </si>
  <si>
    <t>BORRACHA .</t>
  </si>
  <si>
    <t>21.268.211/0001-80 - LUCTOR - SERVICOS DE MANUTENCAO, CONSERVACAO E LIMPEZA PREDIAL LTDA</t>
  </si>
  <si>
    <t>BORRIFADOR TIPO SPRAY COM BICO DOSADOR</t>
  </si>
  <si>
    <t>27.039.914/0001-12 - ALNETTO COMERCIAL E SERVICOS LTDA</t>
  </si>
  <si>
    <t>BUCHA COM ARRUELA DE PVC ROSQUEÁVEL, ANTICHAMA, SEÇÃO CIRCULAR, NA COR CINZA OU PRETA PARA ELETRODUTO DE 2".</t>
  </si>
  <si>
    <t>BUCHA COM PARAFUSO S-6</t>
  </si>
  <si>
    <t>13.322.188/0001-36 - JOAO FRANCISCO DUARTE</t>
  </si>
  <si>
    <t>13.488.227/0001-70 - JMA SOARES SOLUCOES INTEGRADAS DISTRIBUIDORA E ENGENHARIA LTDA</t>
  </si>
  <si>
    <t>BUCHA S10-10 MM</t>
  </si>
  <si>
    <t>BUCHA S6-6 MM</t>
  </si>
  <si>
    <t>03.035.715/0001-78 - SOBERANA 503 PARAFUSOS LTDA</t>
  </si>
  <si>
    <t>BÓIA ELÉTRICA AUTOMÁTICO PARA NÍVEL DE ÁGUA 25A</t>
  </si>
  <si>
    <t>42.240.841/0001-16 - FOX STORE LTDA</t>
  </si>
  <si>
    <t>CABO DE ELETRICIDADE FLEXÍVEL DE 10,00 MM², ISOLAMENTO EM PVC 750V, COR AZUL.</t>
  </si>
  <si>
    <t>26.507.653/0001-55 - VOLT MATERIAIS ELETRICOS EIRELI</t>
  </si>
  <si>
    <t>CABO DE ELETRICIDADE FLEXÍVEL DE 10,00 MM², ISOLAMENTO EM PVC 750V, COR PRETA</t>
  </si>
  <si>
    <t>CABO DE ELETRICIDADE FLEXÍVEL DE 10,00 MM², ISOLAMENTO EM PVC 750V, COR VERDE.</t>
  </si>
  <si>
    <t>CABO DE ELETRICIDADE FLEXÍVEL DE 2,5 MM², ISOLAMENTO EM PVC 750V, COR AZUL</t>
  </si>
  <si>
    <t>CABO DE ELETRICIDADE FLEXÍVEL DE 2,5 MM², ISOLAMENTO EM PVC 750V, COR PRETA</t>
  </si>
  <si>
    <t>CABO DE ELETRICIDADE FLEXÍVEL DE 2,5 MM², ISOLAMENTO EM PVC 750V, COR VERDE</t>
  </si>
  <si>
    <t>CABO DE ELETRICIDADE FLEXÍVEL DE 4 MM², ISOLAMENTO EM PVC 750V, COR AZUL</t>
  </si>
  <si>
    <t>CABO DE ELETRICIDADE FLEXÍVEL DE 4 MM², ISOLAMENTO EM PVC 750V, COR PRETA</t>
  </si>
  <si>
    <t>CABO DE ELETRICIDADE FLEXÍVEL DE 4 MM², ISOLAMENTO EM PVC 750V, COR VERDE</t>
  </si>
  <si>
    <t>CABO DE ELETRICIDADE FLEXÍVEL DE 6,0 MM² ISOLAMENTO EM PVC 750V NA COR AZUL</t>
  </si>
  <si>
    <t>CABO DE ELETRICIDADE FLEXÍVEL DE 6,0 MM² ISOLAMENTO EM PVC 750V NA COR PRETA</t>
  </si>
  <si>
    <t>CABO DE ELETRICIDADE FLEXÍVEL DE 6,0 MM² ISOLAMENTO EM PVC 750V NA COR VERDE</t>
  </si>
  <si>
    <t>CABO PP 4X2,5MM</t>
  </si>
  <si>
    <t>CABO TELEFÔNICO CI 50X02 - 02 PARES BLINDADOS E ESTANHADO ROLO 200M</t>
  </si>
  <si>
    <t>11.099.588/0001-07 - SOLARIS TELEINFORMATICA LTDA - EPP</t>
  </si>
  <si>
    <t>CABO UTP 4 PARES, CAT 6, COR CINZA.- (MT)</t>
  </si>
  <si>
    <t>18.641.075/0001-17 - LICITARE PRODUTOS, MATERIAIS E SERVICOS LTDA EPP</t>
  </si>
  <si>
    <t>CAFÉ TORRADO E MOÍDO EM PÓ (500 GRAMAS)</t>
  </si>
  <si>
    <t>27.245.852/0001-03 - SUL BRASIL ATACADISTA LIMITADA</t>
  </si>
  <si>
    <t>CAIXA BOX DE PAPELÃO (ARQUIVO MORTO)</t>
  </si>
  <si>
    <t>CAIXA DE CORRESPONDÊNCIA (PAPELEIRA DUPLA)</t>
  </si>
  <si>
    <t>CAIXA DE PASSAGEM DE SOBREPOR EM AÇO 40X40</t>
  </si>
  <si>
    <t>04.191.294/0001-37 - BMB CONSTRUCOES E COMERCIAL DO ANIL LTDA</t>
  </si>
  <si>
    <t>CAIXA DE SUPERFÍCIE 3X3 BAIXA 75X75X31, C/ENTRADAS TRASEIRAS P/ FIXAÇÃO DOS CABOS E P/ FIXAÇÃO DE PARAFUSOS</t>
  </si>
  <si>
    <t>CALHA PARA LÂMPADA FLUORESCENTE, DE 2X40W, CHANFRADA</t>
  </si>
  <si>
    <t>CAMPAINHA TIPO CIGARRA DE SOBREPOR 127 V</t>
  </si>
  <si>
    <t>CANALETA SISTEMA X, COM TAMPA, 50X20X2000, 3 VIAS</t>
  </si>
  <si>
    <t>CANALETA SISTEMA X, TERMOPLÁSTICA AUTO-EXTINGUÍVEL 110X20X2000 , C/ DIVISÓRIAS COR BRANCA</t>
  </si>
  <si>
    <t>CANALETA SISTEMA X, TERMOPLÁSTICA AUTO-EXTINGUÍVEL 20X10X2000 , C/ CAPA E DIVISÓRIAS - COR BRANCA</t>
  </si>
  <si>
    <t>CANETA ESFEROGRÁFICA COR AZUL</t>
  </si>
  <si>
    <t>CANETA ESFEROGRÁFICA COR VERMELHA</t>
  </si>
  <si>
    <t>CANETA MARCA TEXTO</t>
  </si>
  <si>
    <t>CANETA MARCADOR PERMANENTE PARA CD, COR PRETA</t>
  </si>
  <si>
    <t>CAPA DE PROCESSO MINISTÉRIO PÚBLICO DO RJ</t>
  </si>
  <si>
    <t>27.232.288/0001-86 - RB COMUNICACAO VISUAL EIRELI</t>
  </si>
  <si>
    <t>CAPACETE DE COMBATE A INCÊNDIO</t>
  </si>
  <si>
    <t>10.416.895/0001-01 - IDEAL SEG COMERCIO DE EQUIPAMENTOS E SERVICOS DE SEGURANCA LTDA</t>
  </si>
  <si>
    <t>CARTUCHO DE TONER PARA IMPRESSORA OKI B431DN, REF. 44917617</t>
  </si>
  <si>
    <t>05.808.979/0001-42 - V.C. DA ROCHA DISTRIBUIDORA</t>
  </si>
  <si>
    <t>CD-R CAP. 80 MINUTOS, 700MB</t>
  </si>
  <si>
    <t>31.352.507/0001-38 - RS COMERCIO DE MATERIAIS E SERVICOS LTDA</t>
  </si>
  <si>
    <t>CD-RW 700MB, REGRAVÁVEL</t>
  </si>
  <si>
    <t>CESTO DE LIXO EM POLIPROPILENO (ESCRITÓRIO)</t>
  </si>
  <si>
    <t>21.559.804/0001-03 - GERBRA COMERCIO LTDA</t>
  </si>
  <si>
    <t>CHAPA LAMINADO DE FORMICA  DIMENSÕES - 1,25 X 3,08M</t>
  </si>
  <si>
    <t>CHUVEIRO ELÉTRICO</t>
  </si>
  <si>
    <t>CILINDRO DE IMAGEM PARA IMPRESSORA OKI B431DN+ - P/N 44574301</t>
  </si>
  <si>
    <t>CLIPS 3/0</t>
  </si>
  <si>
    <t>CLIPS 8/0</t>
  </si>
  <si>
    <t>COLA PLÁSTICA</t>
  </si>
  <si>
    <t>CONECTOR RJ 45 PLUG, CAT 6</t>
  </si>
  <si>
    <t>27.732.837/0001-81 - VINTEK COM VAREJISTA MATERIAL ELETRICO E SERVICOS EIRELI</t>
  </si>
  <si>
    <t>CONTATORA TRIFÁSICA 9AX220V 60HZ, CATEGORIA AC-2/AC-3, CONTATOS PRINCIPAIS 3NA (NORMALMENTE ABERTO), CONTATOS AUXILIARES 1NA (NORMALMENTE ABERTO) + 1NF (NORMALMENTE FECHADO), MODELO SIEMENS 3RT1016 OU SIMILAR</t>
  </si>
  <si>
    <t>04.384.015/0001-51 - MULTI-ACAO COMERCIO DE MATERIAIS ELETRICOS LTDA</t>
  </si>
  <si>
    <t>COPO DESCARTÁVEL PARA CAFÉ</t>
  </si>
  <si>
    <t>13.551.097/0001-72 - EECOO SUSTENTABILIDADE - COMERCIO, IMPORTACAO E EXPORTACAO LTDA  ME</t>
  </si>
  <si>
    <t>COPO DESCARTÁVEL PARA ÁGUA</t>
  </si>
  <si>
    <t>DESENGORDURANTE /DETERGENTE PARA LIMPEZA DE AR CONDICIONADO DE 1 LITRO</t>
  </si>
  <si>
    <t>DETERGENTE LÍQUIDO</t>
  </si>
  <si>
    <t>03.288.019/0001-73 - K&amp;S COMERCIO E SERVICOS LTDA</t>
  </si>
  <si>
    <t>DISJUNTOR TERMOMAGNÉTICO BIFÁSICO 16A X 250V PADRÃO DIN</t>
  </si>
  <si>
    <t>DISJUNTOR TERMOMAGNÉTICO BIFÁSICO 20A X 250V PADRÃO DIN</t>
  </si>
  <si>
    <t>DISJUNTOR TERMOMAGNÉTICO BIFÁSICO 25A X 250V PADRÃO DIN</t>
  </si>
  <si>
    <t>DISJUNTOR TERMOMAGNÉTICO BIFÁSICO 32A X 250V PADRÃO DIN SIEMENS</t>
  </si>
  <si>
    <t>DISJUNTOR TERMOMAGNÉTICO MONOFÁSICO 16A X 250 V PADRÃO DIN</t>
  </si>
  <si>
    <t>DISJUNTOR TERMOMAGNÉTICO MONOFÁSICO 20A X 250V PADRÃO DIN</t>
  </si>
  <si>
    <t>DISJUNTOR TERMOMAGNÉTICO TRIFÁSICO 50AX250V PADRÃO DIN</t>
  </si>
  <si>
    <t>DIVISÓRIA DE MESA EM ACRÍLICO PARA PROTEÇÃO SALIVAR</t>
  </si>
  <si>
    <t>14.634.618/0001-18 - RS2 PUBLICIDADE LTDA</t>
  </si>
  <si>
    <t>19.518.708/0001-67 - INFRACORP COMERCIO E SERVICO EIRELI</t>
  </si>
  <si>
    <t>DOBRADIÇA FOLHA LEVE, DE 3" EM FERRO</t>
  </si>
  <si>
    <t>DVD-R 8,5GB</t>
  </si>
  <si>
    <t>DVD-RW 4,7GB, REGRAVÁVEL</t>
  </si>
  <si>
    <t>ELEMENTO FILTRANTE (REFIL)</t>
  </si>
  <si>
    <t>23.075.030/0001-62 - MENDELI REPRESENTACAO COMERCIO E SERVICOS EIRELI ME</t>
  </si>
  <si>
    <t>ELETRODUTO DE PVC RÍGIDO, ANTICHAMA, SEÇÃO CIRCULAR 2''</t>
  </si>
  <si>
    <t>ELÁSTICO .</t>
  </si>
  <si>
    <t>ELÁSTICO PARA PRENDER PROCESSOS</t>
  </si>
  <si>
    <t>36.090.736/0001-45 - SALVIOLI INDUSTRIA E COMERCIO LTDA</t>
  </si>
  <si>
    <t>ENVELOPE TIPO CARTA MED. 114X228MM</t>
  </si>
  <si>
    <t>32.186.812/0001-60 - D.G.L SERVICOS E NEGOCIOS COMERCIAIS EIRELI ME</t>
  </si>
  <si>
    <t>ENVELOPE TIPO SACO MED. 185X248MM</t>
  </si>
  <si>
    <t>ENVELOPE TIPO SACO MED. 229X324MM</t>
  </si>
  <si>
    <t>ENVELOPE TIPO SACO MED. 370X470MM</t>
  </si>
  <si>
    <t>09.181.312/0001-13 - A VIEIRA SERVICOS</t>
  </si>
  <si>
    <t>ENVELOPE TIPO SACO TAM. OFÍCIO, MED. 260X360MM</t>
  </si>
  <si>
    <t>EQUIPAMENTO DE PROTEÇÃO RESPIRATÓRIA - ERP</t>
  </si>
  <si>
    <t>ESPELHO PARA CAIXA DE SUPERFÍCIE 3X3", COM 2 SAÍDAS RJ45 BRANCO</t>
  </si>
  <si>
    <t>ESPONJA DE LIMPEZA, PACOTE UNITÁRIO</t>
  </si>
  <si>
    <t>ETIQUETA ADESIVA, EM PAPEL COUCHÉ, ROLO COM 500 ETIQUETAS (ZEBRA) (COMPATÍVEL COM SEWOOD-LK-B24 E TSC TTP-244CE)</t>
  </si>
  <si>
    <t>03.983.321/0001-41 - ACOMPANY COMERCIO DE EQUIPAMENTOS ELETRONICOS LTDA - ME</t>
  </si>
  <si>
    <t>ETIQUETA AUTO ADESIVA, PARA IMPRESSORA LASER, FORMATO 101,6X33,9 MM (CX.C/ 1.400 ETIQUETAS)</t>
  </si>
  <si>
    <t>11.012.016/0001-30 - GREEN PAPER COMERCIO EIRELI - EPP</t>
  </si>
  <si>
    <t>EXAUSTOR PARA BANHEIRO, POTÊNCIA DE 20W / BIVOLT, CAPACIDADE DE RENOVAÇÃO DE AR NOMINAL DE 80M³/H, ADAPTÁVEL A TUBOS DE 100MM, NA COR BRANCA, MARCA VENTOKIT OU SIMILAR.</t>
  </si>
  <si>
    <t>EXTRATOR DE GRAMPO</t>
  </si>
  <si>
    <t>00.710.985/0001-49 - VIBHUTI COMÉRCIO LTDA - EPP</t>
  </si>
  <si>
    <t>FILTRO DE LINHA 5 TOMADAS</t>
  </si>
  <si>
    <t>FILTRO DE PAPEL NÚMERO 103</t>
  </si>
  <si>
    <t>FITA ADESIVA MED. 48MMX50M, PARA FECHAMENTO DE EMBALAGEM</t>
  </si>
  <si>
    <t>FITA ALUMINIZADA DE 48MMX45M</t>
  </si>
  <si>
    <t>FITA ALUMINIZADA DE 50MMX50M</t>
  </si>
  <si>
    <t>12.564.602/0001-50 - MULTITERM ISOLAMENTOS TERMICOS E ACUSTICOS - EIRELI</t>
  </si>
  <si>
    <t>FITA CREPE MED. 24MM X 50M</t>
  </si>
  <si>
    <t>07.065.674/0001-13 - SALENAS CONFECÇÃO E MATERIAIS P/ESCRITÓRIO EIRELI</t>
  </si>
  <si>
    <t>FITA CREPE MED. 48MM X 50M</t>
  </si>
  <si>
    <t>FITA ISOLANTE 19MM X 20M EM PVC - COR PRETA</t>
  </si>
  <si>
    <t>FITA MED. 12MMX30M (DUREX)</t>
  </si>
  <si>
    <t>FITA PVC DE 100MMX10M</t>
  </si>
  <si>
    <t>FITA VELCRO PARA AMARRAÇÃO DE CABOS LÓGICOS (METRO)</t>
  </si>
  <si>
    <t>FITA VELCRO PARA AMARRAÇÃO DE CABOS LÓGICOS 20MM</t>
  </si>
  <si>
    <t>FITILHO PLÁSTICO PARA AMARRAÇÃO DE EMBALAGEM</t>
  </si>
  <si>
    <t>10.656.610/0001-00 - ARDO DO BRASIL DISTRIBUIDORA DE PECAS E SERVICOS LTDA</t>
  </si>
  <si>
    <t>FRASCO PARA ÁLCOOL GEL COM VÁLVULA PUMP</t>
  </si>
  <si>
    <t>GARRAFA DE ÁGUA PERSONALIZADA</t>
  </si>
  <si>
    <t>08.086.693/0001-99 - UNITY BRINDES LTDA</t>
  </si>
  <si>
    <t>GRAMPEADOR DE MESA PARA GRAMPO 24/8 E 26/6</t>
  </si>
  <si>
    <t>GRAMPO PARA GRAMPEADOR 26/6, CX COM 1.000 UNIDADES</t>
  </si>
  <si>
    <t>GRAMPO PARA GRAMPEADOR 9/12, TAM. GRANDE, CAIXA COM 1.000 UNIDADES</t>
  </si>
  <si>
    <t>GÁS ACETILENO</t>
  </si>
  <si>
    <t>74.187.840/0001-41 - EDEN GASES E SOLDAS LTDA - EPP</t>
  </si>
  <si>
    <t>GÁS OXIGÊNIO</t>
  </si>
  <si>
    <t>GÁS R22 PARA APARELHO DE AR CONDICIONADO (RECIPIENTE DE 13,6 KG)</t>
  </si>
  <si>
    <t>30.534.778/0001-41 - REFRIPENHA COMERCIO DE EQUIPAMENTOS ELETRONICOS EIRELI</t>
  </si>
  <si>
    <t>GÁS REFRIGERANTE R410A, 11,34KG</t>
  </si>
  <si>
    <t>ISOLADOR DO TIPO ROLDANA, DE PORCELANA 72X72MM</t>
  </si>
  <si>
    <t>KIT PORCA GAIOLA PARA RACK DE "19" (PARAFUSOS PHILIPS M5 + PORCA GAIOLA)</t>
  </si>
  <si>
    <t>26.503.796/0001-99 - EFICILUX COMERCIO E SERVICO DE EQUIPAMENTOS ELETRICOS LTDA</t>
  </si>
  <si>
    <t>KIT REPARO PARA VÁLVULA HYDRA MASTER 2530 1.1/4 1.1/2"</t>
  </si>
  <si>
    <t>LIVRO CARGA ATA</t>
  </si>
  <si>
    <t>LUMINÁRIA DE EMBUTIR 2X32, EM AÇO GALVANIZADO, COM REFLETOR EM ALUMÍNIO E DIFUSOR COM ALETAS EM CHAPAS DE AÇO GALVANIZADO 1230X220MM</t>
  </si>
  <si>
    <t>LUVA DE PVC ROSCÁVEL, ANTICHAMA, CIRCULAR, P/ ELETRODUTO DE 2''</t>
  </si>
  <si>
    <t>26.469.541/0001-57 - SUL.COM ATACADO E VAREJO LTDA EPP</t>
  </si>
  <si>
    <t>LÁPIS PRETO</t>
  </si>
  <si>
    <t>08.543.707/0001-56 - RIQUEL COMERCIAL E DISTRIBUIDORA DE MANUFATURADOS LTDA EPP</t>
  </si>
  <si>
    <t>LÂMINA BIMETAL PARA MINI- ARCO DE SERRA MANUAL, C/12 X 32 DENTES POR POLEGADA</t>
  </si>
  <si>
    <t>LÂMPADA ELETRÔNICA DE 18 A 20 W -ACIMA DE 4000K - 220V</t>
  </si>
  <si>
    <t>LÂMPADA ELETRÔNICA DE 9 A 11 W - ACIMA DE 4000K - 127V</t>
  </si>
  <si>
    <t>28.423.235/0001-05 - MULTI LITE COMERCIAL ELETRICA LTDA. EPP</t>
  </si>
  <si>
    <t>LÂMPADA FLUORESCENTE TUBULAR LUZ DIA 14W, BULBO T5</t>
  </si>
  <si>
    <t>LÂMPADA FLUORESCENTE, TUBULAR, DE 20W</t>
  </si>
  <si>
    <t>LÂMPADA FLUORESCENTE, TUBULAR, DE 32W</t>
  </si>
  <si>
    <t>LÂMPADA FLUORESCENTE, TUBULAR, DE 40W</t>
  </si>
  <si>
    <t>LÂMPADA PL DE 9W BIPINO</t>
  </si>
  <si>
    <t>LÂMPADA T8 LED TUBULAR COM DRIVER INTEGRADO POTENCIA DE 18 A 20W TEMPERATURA DE COR DE 4.000K VIDA UTIL MINIMA DE 25.000 HORAS BIVOLT BASE G13 COMPRIMENTO DE 1200MM COM CERTIFICAÇÃO DO INMETRO</t>
  </si>
  <si>
    <t>16.370.273/0001-68 - PULSE SISTEMAS ELETRONICOS LTDA</t>
  </si>
  <si>
    <t>LÂMPADA VAPOR METÁLICO 250W, 220V E40</t>
  </si>
  <si>
    <t>LÂMPADA VAPOR METÁLICO 400W, 220V , E40</t>
  </si>
  <si>
    <t>MANGUEIRA CRISTAL DE 5/8" X 2MM</t>
  </si>
  <si>
    <t>21.251.362/0001-25 - RIOMAIS COMERCIO E SERVICOS - EIRELI -  EPP</t>
  </si>
  <si>
    <t>09.117.368/0001-09 - PERUÍBE COMERCIO DE PRODUTOS ELETRO-ELETRÔNICOS LTDA</t>
  </si>
  <si>
    <t>PALLET DE CARGA EM MADEIRA, MEDINDO 1000 X 1200 X 150 MM</t>
  </si>
  <si>
    <t>32.126.212/0001-06 - RONDELL COMÉRCIO E CONSTRUÇÃO LTDA</t>
  </si>
  <si>
    <t>PANO DE CHÃO ALVEJADO</t>
  </si>
  <si>
    <t>09.102.265/0001-75 - AJURDY DISTRIBUIDORA DE PRODUTOS LTDA.</t>
  </si>
  <si>
    <t>PANO DE COPA</t>
  </si>
  <si>
    <t>PANO DE LIMPEZA MULTIUSO</t>
  </si>
  <si>
    <t>10.729.680/0001-32 - DC DISTRIBUIDORA E SERVIÇOS LTDA</t>
  </si>
  <si>
    <t>PAPEL A3 PARA IMPRESSORA</t>
  </si>
  <si>
    <t>04.996.048/0001-52 - NAVIZO MATERIAIS ELETRONICOS E SERVICOS EM EQUIPAMENTOS DE INFORMATICA LTDA</t>
  </si>
  <si>
    <t>PAPEL A4 , 210MM x 297MM, PARA IMPRESSORAS, FOTOCOPIADORAS E FAX PLANO</t>
  </si>
  <si>
    <t>36.214.108/0001-24 - HUMAITA COMERCIO DE PAPEIS E ALIMENTOS EIRELI</t>
  </si>
  <si>
    <t>PARAFUSO CABEÇA FLANGEADA, PONTA BROCA, 4,2X13  (EMBALAGEM COM 100 UNIDADES)</t>
  </si>
  <si>
    <t>PARAFUSO DRYWALL, CABEÇA DE TROMBETA, PONTA AGULHA, 3,5 X 45MM GN 45 (EMBALAGEM COM 100 UNIDADES)</t>
  </si>
  <si>
    <t>PARAFUSO PARA DRYWALL, CABEÇA TROMBETA 3,5X25MM, PONTA AGULHA</t>
  </si>
  <si>
    <t>PARAFUSO PHILIPS CABEÇA CHATA 3,5X35MM PARA BUCHA S6</t>
  </si>
  <si>
    <t>PARAFUSO S10-10MM</t>
  </si>
  <si>
    <t>PARAFUSO SEXTAVADO INOX 1/4X60MM P/BUCHA S10</t>
  </si>
  <si>
    <t>PASTA COM ABA E ELÁSTICO</t>
  </si>
  <si>
    <t>PASTA COM TRILHO</t>
  </si>
  <si>
    <t>PASTA PLÁSTICA LISA EM L, TAMANHO A4</t>
  </si>
  <si>
    <t>PATCH CORD CAT 6, COR VERMELHA, DE 2,5M</t>
  </si>
  <si>
    <t>PERFURADOR MANUAL DE PAPEL</t>
  </si>
  <si>
    <t>PILHA ALCALINA AA 1,5 VOLTS (PEQUENA, BLISTER COM 2 UNIDADES)</t>
  </si>
  <si>
    <t>PILHA ALCALINA AAA 1,5 VOLTS  (PALITO, BLISTER COM 2 UNIDADES)</t>
  </si>
  <si>
    <t>PINCEL (CANETA/MARCADOR) NA COR AZUL PARA QUADRO DE LOUSA/VIDRO</t>
  </si>
  <si>
    <t>PINCEL (CANETA/MARCADOR) NA COR VERMELHA PARA QUADRO DE LOUSA/VIDRO</t>
  </si>
  <si>
    <t>PINCEL ATÔMICO COR AZUL (MARCADOR PERMANENTE)</t>
  </si>
  <si>
    <t>PINCEL ATÔMICO COR VERMELHA (MARCADOR PERMANENTE)</t>
  </si>
  <si>
    <t>PISO VINÍLICO EM PLACA</t>
  </si>
  <si>
    <t>PLÁSTICO BOLHA MEDIDA 1,30 M LARGURA X 100 METROS COMPRIMENTO</t>
  </si>
  <si>
    <t>14.742.940/0001-60 - MRL &amp; VERLY CONSTRUTORA LTDA</t>
  </si>
  <si>
    <t>PRENDEDOR PLÁSTICO PARA ATÉ 500 FOLHAS</t>
  </si>
  <si>
    <t>QUADRO DE CORTIÇA</t>
  </si>
  <si>
    <t>QUADRO ELÉTRICO DE SOBREPOR PARA 12/16 DISJUNTORES + GERAL, PARA DISJUNTORES PADRÃO DIN/NEMA, COMPLETO, COM BARRAMENTO TRIFÁSICO DE 70A E BARRAMENTOS DE NEUTRO E DE TERRA, E CORPO EM MATERIAL TERMOPLÁSTICO AUTO-EXTINGUÍVEL.</t>
  </si>
  <si>
    <t>QUADRO ELÉTRICO DE SOBREPOR PARA 24/36 DISJUNTORES + GERAL, PARA DISJUNTORES PADRÃO DIN/NEMA, COMPLETO, COM BARRAMENTO TRIFÁSICO DE 150A E BARRAMENTOS DE NEUTRO E DE TERRA, E CORPO EM MATERIAL TERMOPLÁSTICO AUTO-EXTINGUÍVEL.</t>
  </si>
  <si>
    <t>REATOR ELETRÔNICO AFP PRS 2X14W BIVOLT</t>
  </si>
  <si>
    <t>REATOR ELETRÔNICO AFP PRS 2X32W BIVOLT. PARTIDA RÁPIDA</t>
  </si>
  <si>
    <t>REATOR ELETRÔNICO AFP PRS 2X40W BIVOLT. PARTIDA RÁPIDA</t>
  </si>
  <si>
    <t>REBITE DE REPUXO 3,2 X 12MM ALUMÍNIO</t>
  </si>
  <si>
    <t>28.673.951/0001-40 - TECKMAX COMERCIO DE MOVEIS LTDA</t>
  </si>
  <si>
    <t>REGISTRADOR LOMBADA LARGA (PASTA GEKA LARGA)</t>
  </si>
  <si>
    <t>32.453.076/0001-69 - JESSIKA MARTINS CAMPOS DE SOUSA 13204210758</t>
  </si>
  <si>
    <t>RELÉ TÉRMICO TRIFÁSICO COMPATÍVEL EM MONTAGEM COM CONTATORA P/ 9A, CORRENTE NOMINAL DE USO 9A, FAIXA DE AJUSTE PARA DISPOSITIVO TÉRMICO DE 7 ATÉ 10A, MODELO SIEMENS 3RU1116 OU SIMILAR</t>
  </si>
  <si>
    <t>42.312.280/0001-13 - MADEIRAS E FERRAGENS LIMITES - EIRELI - EPP</t>
  </si>
  <si>
    <t>REX SUPORTE PARA 01 ISOLADOR</t>
  </si>
  <si>
    <t>RIBBON DE CERA COM RESINA PARA ETIQUETAS AUTO-ADESIVAS EM PAPEL COUCHÉ (COMPATÍVEL COM SEWOOD-LK-B24 E TSC TTP-244CE)</t>
  </si>
  <si>
    <t>RÉGUA ACRÍLICA DE 30CM</t>
  </si>
  <si>
    <t>RÉGUA DE TOMADA DE 19" 1U COM 8 POSIÇÕES 2P+T - C/ DISJUNTOR</t>
  </si>
  <si>
    <t>10.828.286/0001-51 - PHD COMÉRCIO E LICITAÇÕES LTDA</t>
  </si>
  <si>
    <t>SACO PLÁSTICO COM 4 FUROS</t>
  </si>
  <si>
    <t>SUPORTE DE PRESSÃO PARA LÂMPADA FLUORESCENTE (20, 32, 40W)</t>
  </si>
  <si>
    <t>SUPORTE PARA FIXAÇÃO DE AR CONDICIONADO DE JANELA 18.000 A 30.000 BTUS</t>
  </si>
  <si>
    <t>SUPORTE PARA SPLIT DE 18 A 30 K BTU DE AÇO INOX AISI 304 COM REFORÇO (MÃO FRANCESA) DE 500 MM.</t>
  </si>
  <si>
    <t>SUPORTE SUPORTE PARA SPLIT DE 7 A 12 K BTU, DE AÇO INOX AISI 304 DE 400 MM.</t>
  </si>
  <si>
    <t>TESOURA MULTIFUNCIONAL</t>
  </si>
  <si>
    <t>27.022.848/0001-78 - BRAGA COMERCIO DE TINTAS LTDA - ME</t>
  </si>
  <si>
    <t>11.424.500/0001-77 - PRIME COMERCIO DE MATERIAL DE CONSTRUCAO LTDA</t>
  </si>
  <si>
    <t>TINTA PARA CARIMBO NA COR AZUL</t>
  </si>
  <si>
    <t>TOMADA 2P+T  20A X 250 V DE EMBUTIR</t>
  </si>
  <si>
    <t>TOMADA RJ45 CAT 6 FÊMEA 90º</t>
  </si>
  <si>
    <t>TOMADA SISTEMA X 2P + T 10A X 250 V DE SOBREPOR COM CAIXA</t>
  </si>
  <si>
    <t>TOMADA SISTEMA X 2P + T 20A X 250V DE SOBREPOR COM CAIXA SISTEMA X.</t>
  </si>
  <si>
    <t>TRINCHA DE 1"</t>
  </si>
  <si>
    <t>TRINCHA DE 2"</t>
  </si>
  <si>
    <t>TRINCHA DE 3"</t>
  </si>
  <si>
    <t>TUBO DE COBRE PARA EQUIPAMENTO DE REFRIGERAÇÃO TIPO SPLIT DE DIÂMETRO DE 1/2? (PANQUECA DE 15 METROS)</t>
  </si>
  <si>
    <t>TUBO DE COBRE PARA EQUIPAMENTO DE REFRIGERAÇÃO TIPO SPLIT DE DIÂMETRO DE 1/4? (PANQUECA DE 15 METROS)</t>
  </si>
  <si>
    <t>TUBO DE COBRE PARA EQUIPAMENTO DE REFRIGERAÇÃO TIPO SPLIT DE DIÂMETRO DE 3/8? (PANQUECA DE 15 METROS)</t>
  </si>
  <si>
    <t>TUBO ESPONJOSO DE 1/2" COM 2 METROS</t>
  </si>
  <si>
    <t>TUBO ESPONJOSO DE 3/8" COM 2 METROS</t>
  </si>
  <si>
    <t>TUBO ESPONJOSO DE 5/8" COM 2 METROS</t>
  </si>
  <si>
    <t>32.574.372/0001-18 - FGY SOLUTIONS CONSTRUCOES LTDA</t>
  </si>
  <si>
    <t>ÁLCOOL ETÍLICO GEL 70%, ANTISSÉPTICO</t>
  </si>
  <si>
    <t>08.087.373/0001-53 - VGMED COMERCIO DE MATERIAL HOSPITALAR LTDA</t>
  </si>
  <si>
    <t>ÁLCOOL ETÍLICO, HIDRATADO, 70%</t>
  </si>
  <si>
    <t>35.677.754/0001-65 - MULTI SOLUCOES INTEGRADAS LTDA</t>
  </si>
  <si>
    <t>ABRAÇADEIRA EM POLIAMIDA 6.6, MEDINDO 100 X 2,5MM, COR PRETA.</t>
  </si>
  <si>
    <t>13.822.848/0001-48 - THE BEST WAY - SERVICE LTDA</t>
  </si>
  <si>
    <t>ABRAÇADEIRA EM POLIAMIDA 6.6, MEDINDO 202 X 3,7MM, COR PRETA.</t>
  </si>
  <si>
    <t>ABRAÇADEIRA EM POLIAMIDA 6.6, MEDINDO 387 X 7,6MM, COR PRETA.</t>
  </si>
  <si>
    <t>ABRAÇADEIRA T18L</t>
  </si>
  <si>
    <t>04.618.462/0001-28 - INFO OFFICE SHOP LTDA</t>
  </si>
  <si>
    <t>ABRAÇADEIRA T18R</t>
  </si>
  <si>
    <t>ABRAÇADEIRA TIPO COPO DE 1. 1/2''</t>
  </si>
  <si>
    <t>17.451.234/0001-58 - GR COMÉRCIO LTDA</t>
  </si>
  <si>
    <t>20.483.193/0001-96 - BRASIDAS EIRELI</t>
  </si>
  <si>
    <t>ABRAÇADEIRA TIPO COPO, DE 1"</t>
  </si>
  <si>
    <t/>
  </si>
  <si>
    <t>ACOPLADOR SISTEMA X, PARA CANALETA 50 X 20MM - COR BRANCA</t>
  </si>
  <si>
    <t>ADAPTADOR BLUETHOOTH 5.0 NANO USB - UB500</t>
  </si>
  <si>
    <t>04.262.320/0001-70 - DOWNTOWN BARRA INFORMATICA &amp; INTERNET LTDA</t>
  </si>
  <si>
    <t>ADAPTADOR F (FÊMEA) PARA BNC (MACHO)</t>
  </si>
  <si>
    <t>18.535.079/0001-10 - ANDRE GOMES DE CASTRO NETO - EPP</t>
  </si>
  <si>
    <t>ADAPTADOR REVERSO 2P +T COM ATERRAMENTO 10 A, 250 V (ILUMI 1222)</t>
  </si>
  <si>
    <t>07.918.483/0001-57 - PLAMAX EQUIPAMENTOS LTDA</t>
  </si>
  <si>
    <t>ADAPTADOR SOLDÁVEL COM FLANGE EM ANEL DE VEDAÇÃO 32 MM X 1"</t>
  </si>
  <si>
    <t>ADAPTADOR SOLDÁVEL CURTO COM BOLSA ROSCÁVEL P/ REGISTRO DE 60 MM X 2"</t>
  </si>
  <si>
    <t>ADAPTADOR SOLDÁVEL CURTO COM BOLSA ROSCÁVEL P/ REGISTRO DE 75 MM X 2"1/2</t>
  </si>
  <si>
    <t>ADESIVO DE CHÃO EM VINIL FOSCO 4 X 0 CORES</t>
  </si>
  <si>
    <t>42.199.505/0001-77 - PIMORE EDITORA E DISTRIBUIDORA DE PAPEIS LTDA</t>
  </si>
  <si>
    <t>24.870.133/0001-87 - A ILUMINADA COMERCIO E SERVICOS DE MATERIAIS ELETRICOS E ILUMINACAO LTDA</t>
  </si>
  <si>
    <t>ADESIVO DE CONTATO EXTRA COLA - GALÃO DE 3,2 L/2,8KG S/TOLUOL</t>
  </si>
  <si>
    <t>31.868.626/0001-48 - VRM COMERCIO E SERVICOS LTDA</t>
  </si>
  <si>
    <t>ADESIVO DE SINALIZAÇÃO ZEBRADO</t>
  </si>
  <si>
    <t>09.490.366/0001-60 - SINAL LINK ACESSIBILIDADE LTDA</t>
  </si>
  <si>
    <t>ADESIVO INSTANTÂNEO UNIVERSAL - 20G</t>
  </si>
  <si>
    <t>ADESIVO VINIL FORMATO A3, 4X0 CORES - FOSCO OU BRILHO</t>
  </si>
  <si>
    <t>ADESIVO VINIL FORMATO A4, 4 X 0 CORES - FOSCO OU BRILHO</t>
  </si>
  <si>
    <t>ADESIVO VINIL FORMATO A4, 4/0 CORES - FOSCO OU BRILHO</t>
  </si>
  <si>
    <t>ADESIVO VINIL FORMATO A4, 4X0 CORES - FOSCO OU BRILHO</t>
  </si>
  <si>
    <t>ADESIVO VINIL FORMATO A5, 4X0 CORES - FOSCO OU BRILHO</t>
  </si>
  <si>
    <t>ANEL GUIA 50MM C/ ROSCA</t>
  </si>
  <si>
    <t>ANILHA AT2</t>
  </si>
  <si>
    <t>APLICADOR DE FITA ADESIVA PARA EMPACOTAMENTO</t>
  </si>
  <si>
    <t>APOIO PARA COPO EM AÇO INOX</t>
  </si>
  <si>
    <t>30.289.811/0001-15 - CAMINHO NOVO COMERCIO LTDA</t>
  </si>
  <si>
    <t>35.766.894/0001-00 - BQ VONTAE ARQUITETURA E ENGENHARIA EIRELI</t>
  </si>
  <si>
    <t>AREIA LAVADA</t>
  </si>
  <si>
    <t>AREJADOR DE LATÃO CROMADO ROSCA FÊMEA 1/2"</t>
  </si>
  <si>
    <t>AREJADOR DE LATÃO CROMADO ROSCA MACHO 1/2"</t>
  </si>
  <si>
    <t>46.635.705/0001-86 - PAULO VICTOR BRASIL DA SILVA PEREIRA</t>
  </si>
  <si>
    <t>13.177.806/0001-00 - WEBDECOR COMERCIO E SERVICOS LTDA</t>
  </si>
  <si>
    <t>ARRUELA LISA 6MM PARA PARAFUSO DE 6MM, ZINCADA</t>
  </si>
  <si>
    <t>ARRUELA LISA DE AÇO PARA CARRINHO TUBULAR</t>
  </si>
  <si>
    <t>73.213.050/0001-20 - ETC ELETRICIDADE TÉCNICA PARA CONSTRUÇÃO LTDA</t>
  </si>
  <si>
    <t>12.890.886/0001-75 - VIXNU COMERCIO LTDA</t>
  </si>
  <si>
    <t>BANDEIRA OFICIAL DO TIPO 3 (TRÊS) PANOS, USO EXTERNO, 135 X 192 CM, DA REPÚBLICA FEDERATIVA DO BRASIL</t>
  </si>
  <si>
    <t>BANDEIRA OFICIAL DO TIPO 3 (TRÊS) PANOS, USO EXTERNO, 135 X 192 CM, DO ESTADO DO RIO DE JANEIRO</t>
  </si>
  <si>
    <t>BANDEIRA OFICIAL DO TIPO 3 (TRÊS) PANOS, USO EXTERNO, 135 X 192 CM, DO MINISTÉRIO PÚBLICO DO RIO DE JANEIRO</t>
  </si>
  <si>
    <t>BANDEIRA OFICIAL DO TIPO 4 (QUATRO) PANOS, USO EXTERNO, 180 X 256 CM, DA REPÚBLICA FEDERATIVA DO BRASIL</t>
  </si>
  <si>
    <t>BANDEIRA OFICIAL DO TIPO 4 (QUATRO) PANOS, USO EXTERNO, 180 X 256 CM, DO ESTADO DO RIO DE JANEIRO</t>
  </si>
  <si>
    <t>BANDEIRA OFICIAL DO TIPO 4 (QUATRO) PANOS, USO EXTERNO, 180 X 256 CM, DO MINISTÉRIO PÚBLICO DO RIO DE JANEIRO</t>
  </si>
  <si>
    <t>34.035.325/0001-21 - 34.035.325 MARCO ANTONIO SANTOS ESPINGARDA</t>
  </si>
  <si>
    <t>BANDEJA EM AÇO INOX 45CM</t>
  </si>
  <si>
    <t>02.668.032/0001-95 - LAGOS CAPACHOS BAZAR LTDA - ME</t>
  </si>
  <si>
    <t>BANDEJA EM AÇO INOX, 40CM</t>
  </si>
  <si>
    <t>20.425.201/0001-48 - M. B. DE SOUSA COMERCIAL EIRELI - ME</t>
  </si>
  <si>
    <t>BANNER EM LONA - FORMATO 1,60 M X 1,80 M, 440G, ACABAMENTO EM CORTE RETO , 4/0 CORES</t>
  </si>
  <si>
    <t>BANNER EM LONA - FORMATO 2580 MM X 1960 MM, 440G, ACABAMENTO EM CORTE RETO, 4/0 CORES</t>
  </si>
  <si>
    <t>BANNER EM LONA - FORMATO 730 MM X 1115 MM, 440G, ACABAMENTO EM CORTE RETO, 4/0 CORES</t>
  </si>
  <si>
    <t>BARRA ROSQUEADA 1/4</t>
  </si>
  <si>
    <t>BARRAMENTO KIT DE NEUTROS E TERRA PARA 12 DISJUNTORES</t>
  </si>
  <si>
    <t>BARRAMENTO TRIFÁSICO 80 A 12 DISJUNTORES</t>
  </si>
  <si>
    <t>BARREIRA DE PROTEÇÃO SALIVAR PARA MESA EM ACRÍLICO PURO (1,00 MT(L) X 0,55(A) X 3MM(E)), VAR. DE ATÉ 10% PARA MAIS  NA ALTURA</t>
  </si>
  <si>
    <t>33.656.835/0001-53 - INNOVARE INDUSTRIA E COMERCIO DE PEÇAS PLASTICAS EIRELI</t>
  </si>
  <si>
    <t>BARREIRA DE PROTEÇÃO SALIVAR, 89X10X60 CM, COM ESTRUTURA EM ALUMÍNIO PINTADO, CHAPAS DE ACRÍLICO TRANSPARENTE 6MM</t>
  </si>
  <si>
    <t>31.131.998/0001-97 - LUCARELI MOBILI INDUSTRIA DE MOVEIS LTDA - EPP</t>
  </si>
  <si>
    <t>BASE PARA FIXAÇÃO DE SENSOR DE BARREIRA ATIVA</t>
  </si>
  <si>
    <t>35.855.733/0001-92 - TELESEGURANCA SERVICOS E SISTEMAS LTDA</t>
  </si>
  <si>
    <t>BASE PARA VÁLVULA DE DESCARGA 1. 1/4  COD.30696</t>
  </si>
  <si>
    <t>BASTIDOR COM 3 BLOCOS M10, INOX, ENGATE RÁPIDO</t>
  </si>
  <si>
    <t>BASTIDOR COM 5 BLOCOS M10, INOX, ENGATE RÁPIDO</t>
  </si>
  <si>
    <t>32.969.392/0001-98 - LD 209 MAGALHAES DISTRIBUIDORA DE MATERIAL DE CONSTRUCAO LTDA</t>
  </si>
  <si>
    <t>BATERIA 12V / 7 AH</t>
  </si>
  <si>
    <t>44.307.153/0001-51 - RRA COMERCIO ELETRO-FONIA LTDA</t>
  </si>
  <si>
    <t>BATERIA AA RECARREGÁVEIS - PAR</t>
  </si>
  <si>
    <t>11.502.318/0001-97 - CARVALHO MIRANDA EMPREENDIMENTOS LTDA</t>
  </si>
  <si>
    <t>BATERIA AAA RECARREGÁVEIS - PAR</t>
  </si>
  <si>
    <t>BATERIA ALCALINA 9V</t>
  </si>
  <si>
    <t>31.371.075/0001-02 - J M GOL COMERCIO REPRESENTACOES LTDA</t>
  </si>
  <si>
    <t>BLOCO ADESIVO TIPO POST IT, 38X50MM, 4 CORES</t>
  </si>
  <si>
    <t>39.700.820/0001-21 - E.M.B. COMERCIO E DISTRIBUICAO DE MATERIAIS ESCOLARES LTDA</t>
  </si>
  <si>
    <t>BLOCO ADESIVO TIPO POST IT, 38X50MM, AMARELO</t>
  </si>
  <si>
    <t>BLOCO ADESIVO TIPO POST IT, 76X102MM, AMARELO</t>
  </si>
  <si>
    <t>17.526.067/0001-67 - VIPE COMERCIAL LTDA</t>
  </si>
  <si>
    <t>BLOCO CONECTOR FÊMEA RJ45, REF. DX99240.00</t>
  </si>
  <si>
    <t>28.790.739/0001-63 - KRAUSS &amp; GONCALVES ENGENHARIA LTDA ME</t>
  </si>
  <si>
    <t>BLOCO DE DISTRIBUIÇÃO MODULAR COM 2 BARRAMENTOS DE 7 LIGAÇÕES, 125A, COM FIXAÇÃO EM TRILHO DIN.</t>
  </si>
  <si>
    <t>BLOCO M-10</t>
  </si>
  <si>
    <t>BLOCO MEMORANDO, TAM. A5, COM TIMBRE MPRJ EM VERMELHO</t>
  </si>
  <si>
    <t>08.769.656/0001-85 - AM CAMPANATI DE SOUZA EPP</t>
  </si>
  <si>
    <t>BLOCO PAPEL PAUTADO TAMANHO OFÍCIO</t>
  </si>
  <si>
    <t>BOBINA DE PLÁSTICO TRANSPARENTE MEDIDAS 0,08 X 115MM X 45M COMPATÍVEL COM A PLASTIFICADORA MODELO PLASTITEK MINI</t>
  </si>
  <si>
    <t>37.400.655/0001-67 - 37.400.655 MARIELLY SOARES DA SILVA</t>
  </si>
  <si>
    <t>BOBINA TÉRMICA 1 VIA, LISA, COR AMARELA, PAPEL KPH 48GR/M², NAS MEDIDAS 80MM X 40M, COMPATÍVEL COM A IMPRESSORA CIS PR1000</t>
  </si>
  <si>
    <t>17.058.263/0001-54 - AMBIENTAL ASSESSORIA COMERCIO E SERVICOS LTDA</t>
  </si>
  <si>
    <t>BOLSA PLÁSTICA ALÇA CAMISETA MED. 40X50CM.</t>
  </si>
  <si>
    <t>26.889.274/0001-77 - S.M GUIMARAES</t>
  </si>
  <si>
    <t>BOLSA PLÁSTICA ALÇA CAMISETA MED. 60X75CM</t>
  </si>
  <si>
    <t>BOMBA DE DRENO PARA AR CONDICIONADO SPLIT ATÉ 30.000 BTUS</t>
  </si>
  <si>
    <t>BOMBA DE DRENO PARA AR CONDICIONADO SPLIT ATÉ 60.000 BTUS</t>
  </si>
  <si>
    <t>BOMBA SUBMERSÍVEL 2303 SDE 220V 3,0CV T IR3</t>
  </si>
  <si>
    <t>27.470.028/0001-49 - RBG MOTORES LTDA</t>
  </si>
  <si>
    <t>BOMBA SUBMERSÍVEL L PARA ESGOTO 220V / TRIFÁSICA, POTÊNCIA DE 0,5 CV, ELEVAÇÃO DE 1¼? ALTURA MANOMÉTRICA DE 10 MCA E VAZÃO TOTAL DE 9,4 M³/H</t>
  </si>
  <si>
    <t>12.254.067/0001-31 - Z M BOMBAS ELETRO HIDRAULICA LTDA</t>
  </si>
  <si>
    <t>BOMBA SUBMERSÍVEL PARA ESGOTO 220V / TRIFÁSICA, POTÊNCIA DE 2,0 CV, ELEVAÇÃO DE 3?, ALTURA MANOMÉTRICA DE 10,8 MCA E VAZÃO TOTAL DE 70,0 M³/H</t>
  </si>
  <si>
    <t>BOMBA SUBMERSÍVEL PARA LENÇOL FREÁTICO 220V / TRIFÁSICA, POTÊNCIA DE 3,0 CV, ELEVAÇÃO DE 2?, ALTURA MANOMÉTRICA DE 28,0 MCA E VAZÃO TOTAL DE 38,8 M³/H</t>
  </si>
  <si>
    <t>BORRACHA PARA CARIMBOS</t>
  </si>
  <si>
    <t>09.371.678/0001-55 - JAIR CARIMBOS E ARTIGO DE PAPELARIA LTDA</t>
  </si>
  <si>
    <t>21.352.262/0001-95 - STOP LAB DISTRIBUIDORA LTDA</t>
  </si>
  <si>
    <t>BROCA 35MM DORADIÇA C/ RISCADOR INDUSTRIAL</t>
  </si>
  <si>
    <t>BROCA DE AÇO RÁPIDO 1/4? X 100MM.</t>
  </si>
  <si>
    <t>26.669.875/0001-74 - CVAS REFRIGERACAO LTDA</t>
  </si>
  <si>
    <t>BROCA MACHO HSS M3 X 0,5</t>
  </si>
  <si>
    <t>BUCHA COM ARRUELA DE PVC ROSQUEÁVEL, ANTICHAMA, SEÇÃO CIRCULAR, NA COR CINZA OU PRETA PARA ELETRODUTO DE 1.1/2"</t>
  </si>
  <si>
    <t>BUCHA COM ARRUELA DE PVC ROSQUEÁVEL, ANTICHAMA, SEÇÃO CIRCULAR, NA COR CINZA OU PRETA PARA ELETRODUTO DE 3/4"</t>
  </si>
  <si>
    <t>28.818.225/0001-79 - HYDROLUZ COMERCIO EM GERAL EIRELI  EPP</t>
  </si>
  <si>
    <t>BUCHA COM PARAFUSO S-5</t>
  </si>
  <si>
    <t>BUCHA DE METAL ZAMAC DE 12MM</t>
  </si>
  <si>
    <t>33.158.494/0001-96 - FERRAGENS BRASIL LTDA - EPP</t>
  </si>
  <si>
    <t>BUCHA DE METAL ZAMAC DE 14MM E ROSCA DE 1/4</t>
  </si>
  <si>
    <t>BUCHA DE REDUÇÃO ROSCÁVEL 3/4" X 1/2"</t>
  </si>
  <si>
    <t>BUCHA S10-10MM</t>
  </si>
  <si>
    <t>BUCHA S5-5MM</t>
  </si>
  <si>
    <t>BUCHA S6-6MM</t>
  </si>
  <si>
    <t>BUCHA S8-8 MM</t>
  </si>
  <si>
    <t>BUCHA S8-8MM</t>
  </si>
  <si>
    <t>BUCHA SFORBOLT PARA DRYWALL COM PARAFUSO DE 1/4 X 2.1/2" - CAIXA 100 UND</t>
  </si>
  <si>
    <t>40.905.228/0001-45 - F P DOS SANTOS NEGOCIOS EM GERAL</t>
  </si>
  <si>
    <t>CABO ALIMENTADOR PARA CONDICIONADOR DE AR DE JANELA, 220V, 3X2,5MM², PLUG 2P+T, 20A, 1,5M</t>
  </si>
  <si>
    <t>CABO ALIMENTAÇÃO ELÉTRICA, FIO PARALELO 2X1,5MM - 1,5M, PLUG 2P+T 250V/10A</t>
  </si>
  <si>
    <t>05.361.556/0001-27 - VEGA TECNOLOGIA EM SEGURANCA LTDA ME</t>
  </si>
  <si>
    <t>CABO COAXIAL CRISTAL RGC 59, 95%DE MALHA, COM ALIMENTAÇÃO (3VIAS)</t>
  </si>
  <si>
    <t>16.866.828/0001-67 - H L P COMERCIO ELETRO FONIA EIRELI</t>
  </si>
  <si>
    <t>CABO CONECTOR DE 20 VIAS, COM 3 METROS DE COMPRIMENTO, PARA CONEXÃO DO MÓDULO DE EXPANSÃO COM 32 E/S DIGITAIS.</t>
  </si>
  <si>
    <t>20.036.223/0001-16 - SAZE MANUTENCAO E SERVICOS LTDA</t>
  </si>
  <si>
    <t>CABO DE ELETRICIDADE FLEXÍVEL DE 120,0 MM² TÊMPERA MOLE, CLASSE 5 DE ENCORDOAMENTO, ISOLADO EM COMPOSTO TERMOFIXO HEPR (EPR/B)</t>
  </si>
  <si>
    <t>CABO DE ELETRICIDADE FLEXÍVEL DE 25,0 MM² ISOLAMENTO EM PVC 750V NA COR PRETA</t>
  </si>
  <si>
    <t>CABO DE ELETRICIDADE FLEXÍVEL DE 50,0 MM² TÊMPERA MOLE, CLASSE 5 DE ENCORDOAMENTO, ISOLADO EM COMPOSTO TERMOFIXO HEPR(EPR/B), CLASSE TÉRMICA 90º C E COBERTO COM COMPOSTO TERMOPLÁSTICO POLIOLEFÍNICO,</t>
  </si>
  <si>
    <t>CABO DE ELETRICIDADE FLEXÍVEL DE 70,0 MM², 1KV TÊMPERA MOLE, CLASSE 5 DE ENCORDOAMENTO, ISOLADO EM COMPOSTO TERMOFIXO HEPR (EPR/B), COR PRETA</t>
  </si>
  <si>
    <t>CABO DE ELETRICIDADE FLEXÍVEL DE 95,0 MM² TÊMPERA MOLE, CLASSE 5 DE ENCORDOAMENTO, ISOLADO EM COMPOSTO TERMOFIXO HEPR(EPR/B), CLASSE TÉRMICA 90º C E COBERTO COM COMPOSTO TERMOPLÁSTICO POLIOLEFÍNICO, COR VERDE</t>
  </si>
  <si>
    <t>CABO DE ELETRICIDADE FLEXÍVEL DE 95,0 MM², 1KV TÊMPERA MOLE, CLASSE 5 DE ENCORDOAMENTO, ISOLADO EM COMPOSTO TERMOFIXO HEPR(EPR/B), CLASSE TÉRMICA 90º C E COBERTO COM COMPOSTO TERMOPLÁSTICO POLIOLEFÍNICO, COR PRETA</t>
  </si>
  <si>
    <t>CABO ELÉTRICO TIPO PP DE 4X35,0MM², 1KV.</t>
  </si>
  <si>
    <t>CABO ESPECÍFICO PARA CONTROLE DAS CÂMERAS PTZ</t>
  </si>
  <si>
    <t>12.534.397/0001-80 - INFORVIEW BROADCAST LTDA</t>
  </si>
  <si>
    <t>CABO ESPECÍFICO PARA SINAL DE VÍDEO PARA FILMADORAS</t>
  </si>
  <si>
    <t>CABO FLEXÍVEL 4X0,40MM (2 PARES)</t>
  </si>
  <si>
    <t>CABO FLEXÍVEL DE 150,0 MM² 1 KV TÊMPERA MOLE, CLASSE 5 DE ENCORDOAMENTO, ISOLADO EM COMPOSTO TERMOFIXO HEPR (EPR/B), CLASSE TÉRMICA 90°C E COBERTO C/COMPOSTO TERMOPLÁSTICO POLIOLEFÍNICO, NÃO HALOGENADO, C/CARACTERÍSTICAS DE NÃO-PROPAGAÇÃO E AUTO EX, PRETA</t>
  </si>
  <si>
    <t>CABO FLEXÍVEL DE 95,0 MM² 1 KV TÊMPERA MOLE, CLASSE 5 DE ENCORDOAMENTO, ISOLADO EM COMPOSTO TERMOFIXO HEPR (EPR/B), CLASSE TÉRMICA 90°C E COBERTO COM COMPOSTO TERMOPLÁSTICO POLIOLEFÍNICO, NÃO HALOGENADO, CARACTERÍSTICAS DE NÃO-PROPAGAÇÃO/AUTO EXTI, VERDE</t>
  </si>
  <si>
    <t>CABO HDMI DE 10 METROS</t>
  </si>
  <si>
    <t>17.775.469/0001-03 - ALZOTEC INFORMATICA LTDA</t>
  </si>
  <si>
    <t>CABO HDMI DE 20 METROS</t>
  </si>
  <si>
    <t>CABO HDMI DE 30 METROS</t>
  </si>
  <si>
    <t>CABO HDMI DE 5 METROS</t>
  </si>
  <si>
    <t>CABO HDMI DE 50 METROS</t>
  </si>
  <si>
    <t>CABO PP 3X2,5 MM</t>
  </si>
  <si>
    <t>CABO PP 4 X 1,5MM.</t>
  </si>
  <si>
    <t>CABO TELEFÔNICO CI 50X10 - 10 PARES BLINDADOS E ESTANHADO ROLO 200M</t>
  </si>
  <si>
    <t>CABO TELEFÔNICO CI 50X50 ? 50 PARES BLINDADOS E ESTANHADO</t>
  </si>
  <si>
    <t>10.473.681/0001-69 - JIT SERVICOS E COMERCIO DE MATERIAL ELETRICO LTDA-ME</t>
  </si>
  <si>
    <t>CABO TELEFÔNICO CI 50X50 ? 50 PARES BLINDADOS E ESTANHADO.</t>
  </si>
  <si>
    <t>CABO UTP 4 PARES, CAT 5E, COR AZUL</t>
  </si>
  <si>
    <t>CABO UTP 4 PARES, CAT 6, COR VERMELHA</t>
  </si>
  <si>
    <t>06.910.908/0001-19 - JBRILHANTE COMERCIAL LTDA-EPP</t>
  </si>
  <si>
    <t>10.876.608/0001-38 - ELETROBARRA MATERIAL DE CONSTRUCAO EIRELI</t>
  </si>
  <si>
    <t>CAIXA BOX PLÁSTICA DE POLIONDA</t>
  </si>
  <si>
    <t>08.198.623/0002-03 - CASTRO E CASTRO COMERCIO E IMPORTACAO LTDA</t>
  </si>
  <si>
    <t>CAIXA CAIXA PLENUM, COM SAÍDA DE 8 POLEGADAS PARA DIFUSOR DIRECIONAL MODELO DI - 41, COM 4 DIRECIONAMENTOS DE 12 X 12 POLEGADAS COM REGISTRO.</t>
  </si>
  <si>
    <t>36.895.360/0001-46 - VALENCY TRADE SERVICE LTDA</t>
  </si>
  <si>
    <t>CAIXA DE DERIVAÇÃO CANALETA DE PISO REF.: 328 01 - PIAL LEGRAND</t>
  </si>
  <si>
    <t>CAIXA DE PASSAGEM DE SOBREPOR EM PVC 15X15</t>
  </si>
  <si>
    <t>CAIXA DE PASSAGEM DE SOBREPOR EM PVC 20X20</t>
  </si>
  <si>
    <t>CAIXA DE PROTEÇÃO PARA CONECTORES DE CÂMERAS CFTV</t>
  </si>
  <si>
    <t>CAIXA DE PROTEÇÃO PARA MINI CÂMERA</t>
  </si>
  <si>
    <t>07.639.182/0001-94 - MD PACKET DIGITAL INFORMATICA LTDA</t>
  </si>
  <si>
    <t>CAIXA DE SOBREPOR PRODUZIDA EM CHAPA DE AÇO COM PINTURA EPOXY, MEDIDA: 60X60X15CM</t>
  </si>
  <si>
    <t>CAIXA PLÁSTICA FECHADA COM TAMPA</t>
  </si>
  <si>
    <t>CAIXA SIFONADA COM GRELHA E PORTA GRELHA DN 150X150X50 MM</t>
  </si>
  <si>
    <t>CALCULADORA PORTÁTIL</t>
  </si>
  <si>
    <t>CALENDÁRIO COM 15 LÂMINAS, PAPEL COUCHE  19X23 CM</t>
  </si>
  <si>
    <t>43.438.620/0001-10 - OMEGA Z SERVICOS E NEGOCIOS COMERCIAIS LTDA</t>
  </si>
  <si>
    <t>CALHA PARA LÂMPADA FLUORESCENTE, DE 2X20W, CHANFRADA</t>
  </si>
  <si>
    <t>CANALETA CINZA PARA QUADROS DE COMANDO, COM RECORTE ABERTO OU SEMIABERTO, 50X50X2000MM</t>
  </si>
  <si>
    <t>CANALETA DE PISO APARENTE DLP, MARCA PIAL LEGRAND, 92 X 20 X 2000 MM, REF. 328 00.</t>
  </si>
  <si>
    <t>CANALETA PARA SPLIT CB60 (65MM X 55MM X2M)</t>
  </si>
  <si>
    <t>CANALETA PARA SPLIT, CB80 85MMX70MMX2M</t>
  </si>
  <si>
    <t>CANALETA SISTEMA DLP EVOLUTIVA, SEM TAMPA, 150X50X2000MM</t>
  </si>
  <si>
    <t>CANALETA SOBREPOR PARA PISO / PAREDE, REF. DS19040</t>
  </si>
  <si>
    <t>20.789.696/0001-94 - ANALANDIA COMERCIO ATACADISTA DE PRODUTOS EM GERAL LTDA</t>
  </si>
  <si>
    <t>CANTONEIRA PARA GAVETA BICROMATIZADO 18 X 18</t>
  </si>
  <si>
    <t>CANTONEIRA REMOVÍVEL BRANCA ? 3000X22X22MM</t>
  </si>
  <si>
    <t>CAP DE PVC, ROSCÁVEL, DE 2"</t>
  </si>
  <si>
    <t>CAP DE PVC, ROSCÁVEL, DE 3/4"</t>
  </si>
  <si>
    <t>27.204.689/0001-22 - ARIADNER DA SILVA MESSIAS ME</t>
  </si>
  <si>
    <t>28.305.936.0001\40 - MINISTÉRIO PÚBLICO DO ESTADO DO RIO DE JANEIRO</t>
  </si>
  <si>
    <t>18.255.023/0001-02 - MLUZ SERVICOS LTDA</t>
  </si>
  <si>
    <t>CAPA P/ MESA 60 X 50 X 40 CM</t>
  </si>
  <si>
    <t>10.896.147/0001-65 - CUNHA SCHMITT COMERCIO DE MERCADORIAS EM GERAL LTDA</t>
  </si>
  <si>
    <t>CAPA P/ SOFÁ 1 LUGAR 95 X 90 X 86 CM</t>
  </si>
  <si>
    <t>CAPA P/ SOFÁ 160 X 90 X 86 CM</t>
  </si>
  <si>
    <t>CAPACITOR PARA AR COND . SPRINGER SILENTIA 18.000 BTU´S / 220V (35 + 7,5MF/UF)</t>
  </si>
  <si>
    <t>CAPACITOR PARA AR.COND. SPRINGER SILENTIA 12.000 BTU´S / 127 V (35 + 5,0 MF/UF)</t>
  </si>
  <si>
    <t>CAPACITOR PARA AR.COND. SPRINGER SILENTIA 21.000 BTU´S / 220 V (45 + 7,5 MF/UF)</t>
  </si>
  <si>
    <t>CAPACITOR PARA AR.COND. SPRINGER SILENTIA 30.000 BTU´S / 220 V (50 + 7,5 MF/UF)</t>
  </si>
  <si>
    <t>CARIMBO AUTOMÁTICO 25MM</t>
  </si>
  <si>
    <t>CARIMBO AUTOMÁTICO RETANGULAR  MÉDIO DE 10,01 A 32CM²</t>
  </si>
  <si>
    <t>CARIMBO AUTOMÁTICO RETANGULAR GRANDE DE 32 A 60CM²</t>
  </si>
  <si>
    <t>CARIMBO AUTOMÁTICO RETANGULAR PEQ. ATÉ 10CM²</t>
  </si>
  <si>
    <t>CARIMBO DATADOR  60X40MM</t>
  </si>
  <si>
    <t>CARIMBO DE MADEIRA DE 10 A 32 CM</t>
  </si>
  <si>
    <t>CARIMBO MANUAL RETANGULAR MÉDIO DE 10,01 A 32CM²</t>
  </si>
  <si>
    <t>CARREGADOR PARA BATERIA</t>
  </si>
  <si>
    <t>CARRINHO PEQUENO PARA PROCESSO</t>
  </si>
  <si>
    <t>CARTAZ EM PAPEL COUCHE 170G, FORMATO A3, 420X300MM, 4/0 CORES, CORTE RETO.</t>
  </si>
  <si>
    <t>CARTAZ EM PAPEL COUCHE BRILHO 170G, FORMATO A2, 420X600MM, 4/0 CORES, CORTE RETO</t>
  </si>
  <si>
    <t>CARTILHA EM PAPEL COUCHÉ REFLEX, MED. 148X210MM (ATÉ 20 PGS)</t>
  </si>
  <si>
    <t>31.846.841/0001-48 - A S INDUSTRIA GRAFICA LTDA</t>
  </si>
  <si>
    <t>CARTUCHO DE FITA PARA BACKUP LTO 4</t>
  </si>
  <si>
    <t>10.742.589/0001-57 - LUANDA COMÉRCIO DE SUPRIMENTOS PARA INFORMÁTICA LTDA-EPP</t>
  </si>
  <si>
    <t>CARTUCHO DE TINTA PARA IMPRESSORA HP, MOD. 3650, COLORIDO, REF. 22/28/57</t>
  </si>
  <si>
    <t>10.820.186/0001-89 - NBB COMÉRCIO DE EQUIPAMENTOS DE INFORMÁTICA LTDA - ME</t>
  </si>
  <si>
    <t>CARTUCHO DE TINTA PARA IMPRESSORA HP, MOD. 3650, COR PRETA, REF. 21/27/56</t>
  </si>
  <si>
    <t>CARTÃO DE VISITA PERSONALIZADO</t>
  </si>
  <si>
    <t>CARTÃO DE VISITA PERSONALIZADO (LAMINAÇÃO FOSCA E VERNIZ LOCAL)</t>
  </si>
  <si>
    <t>CAVILHA DE FIXAÇÃO RÁPIDA, DE MATERIAL TERMOPLÁSTICO DE ALTA RESISTÊNCIA</t>
  </si>
  <si>
    <t>CESTO DE LIXO ARAMADO</t>
  </si>
  <si>
    <t>38.482.591/0001-53 - SKYLAB COMERCIAL HOSPITALAR LTDA</t>
  </si>
  <si>
    <t>CESTO DE LIXO BASCULANTE EM PLÁSTICO -  60LT</t>
  </si>
  <si>
    <t>CESTO DE LIXO COM PEDAL E TAMPA</t>
  </si>
  <si>
    <t>46.273.984/0001-85 - ELDORADO 2022 COMERCIO E SERVICOS LTDA</t>
  </si>
  <si>
    <t>CHAPA DE COMPENSADO NAVAL 1,60M X 2,20M ESPESSURA DE 15 MM</t>
  </si>
  <si>
    <t>CHAPA DE COMPENSADO NAVAL 1,60M X 2,20M ESPESSURA DE 20 MM</t>
  </si>
  <si>
    <t>CHAPA DE FIBRA DE MADEIRA (CHAPATEX) - 100X120 CM</t>
  </si>
  <si>
    <t>44.740.809/0001-25 - REGINA HELENA DOS SANTOS</t>
  </si>
  <si>
    <t>01.048.146/0001-70 - DEUTEC SERVICOS DE MANUTENCAO LTDA</t>
  </si>
  <si>
    <t>CHUMBADOR 1/4"</t>
  </si>
  <si>
    <t>CHUMBADOR 3/8</t>
  </si>
  <si>
    <t>13.352.707/0001-09 - DBS AIR REFRIGERACAO LTDA - ME</t>
  </si>
  <si>
    <t>COLA BRANCA 1KG</t>
  </si>
  <si>
    <t>COLARINHO SEM REGISTRO, DE 8''</t>
  </si>
  <si>
    <t>COLCHÃO MED. 1,88X0,78X0,18 D-45</t>
  </si>
  <si>
    <t>COLCHÃO MED. 1,88X0,78X0,20MT D-45</t>
  </si>
  <si>
    <t>11.674.091/0001-67 - S M MOVEIS DE ITABORAI LTDA</t>
  </si>
  <si>
    <t>COLETE AMARELO CLARO TAMANHO - G</t>
  </si>
  <si>
    <t>23.003.990/0001-17 - BRAZ MULTIMIDIA LTDA</t>
  </si>
  <si>
    <t>COLETE AMARELO CLARO TAMANHO - M</t>
  </si>
  <si>
    <t>COLETE AMARELO CLARO TAMANHO - P</t>
  </si>
  <si>
    <t>COLETE AMARELO OURO ESCURO TAMANHO - G</t>
  </si>
  <si>
    <t>COLETE AMARELO OURO ESCURO TAMANHO - M</t>
  </si>
  <si>
    <t>COLETE AMARELO OURO ESCURO TAMANHO - P</t>
  </si>
  <si>
    <t>COLETE AZUL CLARO TAMANHO - G</t>
  </si>
  <si>
    <t>COLETE AZUL CLARO TAMANHO - M</t>
  </si>
  <si>
    <t>COLETE AZUL CLARO TAMANHO - P</t>
  </si>
  <si>
    <t>COLETE AZUL ESCURO TAMNHO G</t>
  </si>
  <si>
    <t>COLETE AZUL ESCURO TAMNHO M</t>
  </si>
  <si>
    <t>COLETE AZUL ESCURO TAMNHO P</t>
  </si>
  <si>
    <t>COLETE AZUL ROYAL TAMANHO - G</t>
  </si>
  <si>
    <t>COLETE AZUL ROYAL TAMANHO - M</t>
  </si>
  <si>
    <t>COLETE AZUL ROYAL TAMANHO - P</t>
  </si>
  <si>
    <t>COLETE CINZA TAMANHO - G</t>
  </si>
  <si>
    <t>COLETE CINZA TAMANHO - M</t>
  </si>
  <si>
    <t>COLETE CINZA TAMANHO - P</t>
  </si>
  <si>
    <t>COLETE LARANJA CLARO TAMANHO - G</t>
  </si>
  <si>
    <t>COLETE LARANJA CLARO TAMANHO - M</t>
  </si>
  <si>
    <t>COLETE LARANJA CLARO TAMANHO - P</t>
  </si>
  <si>
    <t>COLETE LILAS TAMANHO - G</t>
  </si>
  <si>
    <t>COLETE LILAS TAMANHO - M</t>
  </si>
  <si>
    <t>COLETE LILAS TAMANHO - P</t>
  </si>
  <si>
    <t>COLETE MARRON TAMANHO - G</t>
  </si>
  <si>
    <t>COLETE MARRON TAMANHO - M</t>
  </si>
  <si>
    <t>COLETE MARRON TAMANHO - P</t>
  </si>
  <si>
    <t>COLETE PRETO TAMANHO - G</t>
  </si>
  <si>
    <t>COLETE PRETO TAMANHO - M</t>
  </si>
  <si>
    <t>COLETE VERDE FOLHA TAMANHO - G</t>
  </si>
  <si>
    <t>COLETE VERDE FOLHA TAMANHO - M</t>
  </si>
  <si>
    <t>COLETE VERDE FOLHA TAMANHO - P</t>
  </si>
  <si>
    <t>COLETE VERDE LIMAO TAMANHO - G</t>
  </si>
  <si>
    <t>COLETE VERDE LIMAO TAMANHO - M</t>
  </si>
  <si>
    <t>COLETE VERDE LIMAO TAMANHO - P</t>
  </si>
  <si>
    <t>COLETE VERMELHO INTENSO TAMANHO - G</t>
  </si>
  <si>
    <t>COLETE VERMELHO INTENSO TAMANHO - M</t>
  </si>
  <si>
    <t>COLETE VERMELHO INTENSO TAMANHO - P</t>
  </si>
  <si>
    <t>COLETE VINHO TAMANHO - G</t>
  </si>
  <si>
    <t>COLETE VINHO TAMANHO - M</t>
  </si>
  <si>
    <t>COLETE VINHO TAMANHO - P</t>
  </si>
  <si>
    <t>COMPRESSOR ROTATIVO PARA CONDICIONADOR DE AR 12.000 BTUS/220V, SPRINGER</t>
  </si>
  <si>
    <t>COMPRESSOR ROTATIVO PARA CONDICIONADOR DE AR 18.000 BTUS/220V, PARA GÁS R410A</t>
  </si>
  <si>
    <t>26.540.429/0001-65 - CLIMA TOP REFRIGERACAO LTDA</t>
  </si>
  <si>
    <t>COMPRESSOR ROTATIVO PARA CONDICIONADOR DE AR 21.000 BTUS/220V, PARA GÁS R410A</t>
  </si>
  <si>
    <t>COMPRESSOR ROTATIVO PARA CONDICIONADOR DE AR 30.000 BTUS/220V, PARA GÁS R410A</t>
  </si>
  <si>
    <t>COMPRESSOR ROTATIVO PARA CONDICIONADOR DE AR 30.000 BTUS/220V, SPRINGER</t>
  </si>
  <si>
    <t>CONDULETE CORRUGADO FLEXÍVEL DE 3/4", ROLO COM 50 METROS</t>
  </si>
  <si>
    <t>CONDULETE PRÁTICO EM PVC 5 SAÍDAS DE 4X2.</t>
  </si>
  <si>
    <t>CONE PARA SINALIZAÇÃO</t>
  </si>
  <si>
    <t>CONECTOR BNC MOLA PARAFUSO</t>
  </si>
  <si>
    <t>CONECTOR F MACHO PARA CABO COAXIAL RGC 59</t>
  </si>
  <si>
    <t>CONECTOR F MACHO PARA CABO COAXIAL RGC 6</t>
  </si>
  <si>
    <t>CONECTOR METALICO DE EMENDAS F (FEMEA X FEMEA)</t>
  </si>
  <si>
    <t>CONECTOR P4 MACHO PARA FONTE DE ALIMENTAÇÃO</t>
  </si>
  <si>
    <t>CONECTOR RJ 11 4X4</t>
  </si>
  <si>
    <t>CONECTOR RJ 11 6X4</t>
  </si>
  <si>
    <t>CONECTOR RJ 45 PLUG, CAT 5E, 8 VIAS, EM CONFORMIDADE COM A NORMA EIA/TIA 568B2-1</t>
  </si>
  <si>
    <t>CONECTOR SPLIT BOLT PARA CONDUTOR DE 120,0 MM²</t>
  </si>
  <si>
    <t>CONECTOR SPLIT BOLT PARA CONDUTOR DE 70,0 MM²</t>
  </si>
  <si>
    <t>CONJUNTO DE 2 CALHAS EM PVC E 3 ELETROCALHAS PERFURADAS</t>
  </si>
  <si>
    <t>CONJUNTO DE 2 CALHAS EM PVC E 3 ELETROCALHAS PERFURADAS.</t>
  </si>
  <si>
    <t>CONTATORA TRIFÁSICA 40AX220V 60HZ, CATEGORIA AC-2/AC-3, CONTATOS PRINCIPAIS 3NA (NORMALMENTE ABERTO), CONTATOS AUXILIARES 1NA (NORMALMENTE ABERTO) + 1NF (NORMALMENTE FECHADO), MODELO SIEMENS 3RT1015 OU SIMILAR</t>
  </si>
  <si>
    <t>CONTATORA TRIFÁSICA 7AX220V 60HZ, CATEGORIA AC-2/AC-3, CONTATOS PRINCIPAIS 3NA (NORMALMENTE ABERTO), CONTATOS AUXILIARES 1NA (NORMALMENTE ABERTO) + 1NF (NORMALMENTE FECHADO), MODELO SIEMENS 3RT1015 OU SIMILAR.</t>
  </si>
  <si>
    <t>CONTROLADOR LÓGICO PROGRAMAVÉL L=126 MM X A= 100 MM X P=90 MM (SCHNEIDER ELECTRICS  REF. TM262L10MESE8T)</t>
  </si>
  <si>
    <t>CONTROLE INTELIGENTE PARA AERONAVES, TIPO DRONE - REF. DJI MAVIC 2 ENTERPRISE DUAL</t>
  </si>
  <si>
    <t>21.923.224/0001-45 - WINPRESS COMERCIO DE SERVICOS DE EQUIPAMENTO DE ESCRITORIO LTDA</t>
  </si>
  <si>
    <t>CONTROLE INTELIGENTE PARA AERONAVES, TIPO DRONE - REF. DJI MAVIC 2 ZOOM</t>
  </si>
  <si>
    <t>CONTROLE REMOTO .</t>
  </si>
  <si>
    <t>31.109.248/0001-19 - TEJO PARTICIPACOES E SOLUCOES EMPRESARIAIS LTDA</t>
  </si>
  <si>
    <t>CONVERSOR DE PROTOCOLO ETHERNET IP/MODBUS TCP, TENSÃO DE ALIMENTAÇÃO 24 VCC.  DIMENSÕES MÁXIMAS DE L=73 MM X A= 106 MM X P= 73 MM, COM FIXAÇÃO EM TRILHO DIN. (REF. EGX150)</t>
  </si>
  <si>
    <t>COPO PARA ÁGUA EM VIDRO, CAP. 300ML</t>
  </si>
  <si>
    <t>33.275.120/0001-50 - SUPER LICITE LICITAÇÕES LTDA</t>
  </si>
  <si>
    <t>CORDÃO LISO (AMERICANO) COR PRETA</t>
  </si>
  <si>
    <t>CORDÃO PARA CRACHÁ</t>
  </si>
  <si>
    <t>CORREDIÇA TELESCÓPICA GAVETA 40 CM, SUPORTA ATÉ 45 KG AÇO ZINCADO</t>
  </si>
  <si>
    <t>46.011.595/0001-81 - COLUNA CENTRAL COMERCIO E SERVICOS LTDA</t>
  </si>
  <si>
    <t>32.114.795/0001-55 - RODEC AMADO - SOLDAS ABRASIVOS E SEGURANÇA LTDA</t>
  </si>
  <si>
    <t>COTOVELO EXTERNO VARIÁVEL, SISTEMA DLP EVOLUTIVA, PARA CANALETA DE 150X50MM</t>
  </si>
  <si>
    <t>14.059.194/0001-05 - LZ COMERCIO EIRELI</t>
  </si>
  <si>
    <t>COTOVELO INTERNO VARIÁVEL, SISTEMA DLP EVOLUTIVA, PARA CANALETA DE 150X50MM</t>
  </si>
  <si>
    <t>COTOVELO SISTEMA X EXTERNO, COR BRANCA, PARA CANALETA 110X20MM</t>
  </si>
  <si>
    <t>COTOVELO SISTEMA X EXTERNO, COR BRANCA, PARA CANALETA 50X20MM</t>
  </si>
  <si>
    <t>COTOVELO SISTEMA X INTERNO, COR BRANCA, PARA CANALETA 50X20MM</t>
  </si>
  <si>
    <t>COTOVELO SISTEMA X, 90 GRAUS, PARA CANALETA MED. 50X20MM COR BRANCA ( PIAL ELEGRAND OU SIMILAR )</t>
  </si>
  <si>
    <t>CURVA DE PVC DE 90, ROSCÁVEL, ANTICHAMA, SEÇÃO CIRCULAR, PARA ELETRODUTO 1''</t>
  </si>
  <si>
    <t>CURVA DE PVC DE 90, ROSCÁVEL, ANTICHAMA, SEÇÃO CIRCULAR, PARA ELETRODUTO 1.1/2''</t>
  </si>
  <si>
    <t>CURVA DE PVC DE 90, ROSCÁVEL, ANTICHAMA, SEÇÃO CIRCULAR, PARA ELETRODUTO 2''</t>
  </si>
  <si>
    <t>CURVA DE PVC DE 90º, ROSCÁVEL, ANTICHAMA, SEÇÃO CIRCULAR, PARA ELETRODUTO 3/4''</t>
  </si>
  <si>
    <t>CURVA PLANA CB60C</t>
  </si>
  <si>
    <t>CURVA PLANA CB80C</t>
  </si>
  <si>
    <t>CÉLULA FOTOELÉTRICA COMPLETA, COM BASE, BIVOLT / 1000W</t>
  </si>
  <si>
    <t>DERIVAÇÃO T PARA CANALETA SISTEMA X, MED. 110 X 20MM COR BRANCA ( PIAL LEGRAND OU SIMILAR )</t>
  </si>
  <si>
    <t>DERIVAÇÃO T PARA CANALETA SISTEMA X, MED. 50X20MM COR BRANCA ( PIAL LEGRAND OU SIMILAR )</t>
  </si>
  <si>
    <t>DESCANSO ERGONÔMICO PARA OS PÉS</t>
  </si>
  <si>
    <t>73.560.336/0001-82 - SEBASTIAN HARTE</t>
  </si>
  <si>
    <t>36.716.346/0001-38 - GB COMPANY INDUSTRIA E COMERCIO LTDA</t>
  </si>
  <si>
    <t>DIFUSOR PARA INSUFLAMENTO DE AR DE 12'' X 12'', COM 4 DIRECIONAMENTOS, COM REGISTRO E CAIXA PLENUM, COM SAÍDA DE 8''</t>
  </si>
  <si>
    <t>DIFUSOR PARA INSUFLAMENTO DE AR DE 12'' X 12'', COM REGISTRO E CAIXA PLENUM, COM SAÍDA DE 8''</t>
  </si>
  <si>
    <t>DISCO DE ARMAZENAMENTO SSD EXTERNO PORTÁTIL 1TB</t>
  </si>
  <si>
    <t>DISCO DE CORTE 4½? EXTRAFINO 115X1,0X22,23MM.</t>
  </si>
  <si>
    <t>DISJUNTOR AGW800NDX630-3</t>
  </si>
  <si>
    <t>23.341.843/0001-57 - PSD SOLUTIONS ENGENHARIA, SERVICOS E CONSULTORIA LTDA</t>
  </si>
  <si>
    <t>DISJUNTOR DE 40A</t>
  </si>
  <si>
    <t>DISJUNTOR DWA1600SE1600-3</t>
  </si>
  <si>
    <t>DISJUNTOR MOTOR TERMOMAGNÉTICO TRIFÁSICO DE 150A, ICU 36 KA, FAIXA DE AJUSTE DE PROTEÇÃO TÉRMICA DE 70?150 A. DIMENSÕES MÁXIMAS DE L=106 MM X A= 162 MM X P=156 MM.(REF. GV5P150F)</t>
  </si>
  <si>
    <t>DISJUNTOR MOTOR TERMOMAGNÉTICO TRIFÁSICO DE 50A, ICU 25 KA, FAIXA DE AJUSTE DE PROTEÇÃO TÉRMICA DE 20?50 A. DIMENSÕES MÁXIMAS DE L=82 MM X A= 156 MM X P=166 MM. (REF. GV4P50B)</t>
  </si>
  <si>
    <t>DISJUNTOR TERMOMAGNÉTICO BIFÁSICO 20A X 250V PADRÃO NEMA</t>
  </si>
  <si>
    <t>DISJUNTOR TERMOMAGNÉTICO BIFÁSICO 25A X 250V PADRÃO NEMA</t>
  </si>
  <si>
    <t>DISJUNTOR TERMOMAGNÉTICO MONOFÁSICO 15A X 250V PADRÃO NEMA</t>
  </si>
  <si>
    <t>DISJUNTOR TERMOMAGNÉTICO MONOFÁSICO 25A X 250V PADRÃO NEMA</t>
  </si>
  <si>
    <t>DISJUNTOR TERMOMAGNÉTICO MONOFÁSICO 25AX250V PADRÃO DIN</t>
  </si>
  <si>
    <t>DISJUNTOR TERMOMAGNÉTICO MONOFÁSICO 30A X 250 V, PADRÃO NEMA</t>
  </si>
  <si>
    <t>DISJUNTOR TERMOMAGNÉTICO MONOFÁSICO 32AX250V PADRÃO DIN</t>
  </si>
  <si>
    <t>DISJUNTOR TERMOMAGNÉTICO TRIFÁSICO 100A X 250V PADRÃO NEMA</t>
  </si>
  <si>
    <t>13.758.327/0001-79 - SIMPLES COMERCIO E SERVICO LTDA - ME</t>
  </si>
  <si>
    <t>DISJUNTOR TERMOMAGNÉTICO TRIFÁSICO 125AX250V PADRÃO DIN</t>
  </si>
  <si>
    <t>DISJUNTOR TERMOMAGNÉTICO TRIFÁSICO 150AX250V 22 KA, PADRÃO DIN</t>
  </si>
  <si>
    <t>DISJUNTOR TERMOMAGNÉTICO TRIFÁSICO 150AX250V PADRÃO NEMA</t>
  </si>
  <si>
    <t>DISJUNTOR TERMOMAGNÉTICO TRIFÁSICO 16AX250V PADRÃO DIN</t>
  </si>
  <si>
    <t>DISJUNTOR TERMOMAGNÉTICO TRIFÁSICO 20AX250V PADRÃO DIN</t>
  </si>
  <si>
    <t>DISJUNTOR TERMOMAGNÉTICO TRIFÁSICO 250AX250V 22 KA, PADRÃO DIN</t>
  </si>
  <si>
    <t>DISJUNTOR TERMOMAGNÉTICO TRIFÁSICO 25AX250V PADRÃO DIN</t>
  </si>
  <si>
    <t>DISJUNTOR TERMOMAGNÉTICO TRIFÁSICO 300AX250V 22 KA, PADRÃO NEMA</t>
  </si>
  <si>
    <t>08.725.008/0001-27 - AGROSHOW AGROPECUARIA EIRELI - ME</t>
  </si>
  <si>
    <t>DISJUNTOR TERMOMAGNÉTICO TRIFÁSICO 32AX250V PADRÃO DIN</t>
  </si>
  <si>
    <t>DISJUNTOR TERMOMAGNÉTICO TRIFÁSICO 50A X 250V PADRÃO NEMA</t>
  </si>
  <si>
    <t>DISJUNTOR TERMOMAGNÉTICO TRIFÁSICO 63AX250V PADRÃO DIN</t>
  </si>
  <si>
    <t>DISJUNTOR TRIFÁSICO DE CAIXA MOLDADA DE 80A</t>
  </si>
  <si>
    <t>DIVISOR BLINDADO, 1GHZ, COM 3 SAÍDAS COMPATÍVEL COM CONECTORES "F" RG59 E RG6</t>
  </si>
  <si>
    <t>DIVISOR BLINDADO, 1GHZ, COM 8 SAÍDAS COMPATÍVEL COM CONECTORES "F" RG59 E RG6</t>
  </si>
  <si>
    <t>03.056.608/0001-26 - J&amp;M COMÉRCIO E SERVIÇOS DE TELECOMUNICAÇÕES E INFORMÁTICA LTDA</t>
  </si>
  <si>
    <t>11.446.493/0001-04 - SOLUCOES EM REVESTIMENTOS LTDA</t>
  </si>
  <si>
    <t>DOBRADIÇA DE 2"X 1 1/2"</t>
  </si>
  <si>
    <t>DOBRADIÇA DE ARMÁRIO, 26MM</t>
  </si>
  <si>
    <t>DOBRADIÇA FECHAMATIC, DE 3 1/2 X 3", PRETA</t>
  </si>
  <si>
    <t>DOBRADIÇA FECHAMATIC, DE 3 1/2" X 3 EM FERRO, PRETA</t>
  </si>
  <si>
    <t>DOBRADIÇA VAI-VEM, DE 4", CORPO EM LATÃO POLIDO</t>
  </si>
  <si>
    <t>DUTO FLEXÍVEL DE 5 POLEGADAS, SEM ISOLAMENTO, MED. 6 MT</t>
  </si>
  <si>
    <t>DUTO FLEXÍVEL DE 6 POLEGADAS ISOLADO, MED. 6 MT</t>
  </si>
  <si>
    <t>DUTO FLEXÍVEL DE 8'', ISOLADO ( PACOTE )</t>
  </si>
  <si>
    <t>DVD-R 4,7GB</t>
  </si>
  <si>
    <t>09.035.549/0001-96 - MARCOS E BERTA LTDA</t>
  </si>
  <si>
    <t>ELETRODUTO DE PVC RÍGIDO, ANTICHAMA, SEÇÃO CIRCULAR 1''</t>
  </si>
  <si>
    <t>ELETRODUTO DE PVC RÍGIDO, ANTICHAMA, SEÇÃO CIRCULAR 1.1/2''</t>
  </si>
  <si>
    <t>ELETRODUTO DE PVC RÍGIDO, ANTICHAMA, SEÇÃO CIRCULAR 3/4''</t>
  </si>
  <si>
    <t>ELÁSTICO COM GANCHO DE FERRO, PARA CARRINHO DE PROCESSO</t>
  </si>
  <si>
    <t>40.332.173/0001-21 - M.F.G. DE MELO</t>
  </si>
  <si>
    <t>EMBALAGEM INDIVIDUAL PARA CD'S/DVD'S</t>
  </si>
  <si>
    <t>EMENDA JACK JACK RJ 11 6X4</t>
  </si>
  <si>
    <t>ENVELOPE KRAFT NATURAL 110G, 29X19,5 CM SANFONADO COM FITA AUTO COLANTE</t>
  </si>
  <si>
    <t>ENVELOPE PLÁSTICO AWB, MEDINDO 23X18CM</t>
  </si>
  <si>
    <t>46.660.628/0001-14 - SABRINA MARA VICENTE DINIZ 22696638888</t>
  </si>
  <si>
    <t>ENVELOPE SANFONADO TIPO SACO PARA MALOTE, "VAI-E-VEM", MED. 290X390MM</t>
  </si>
  <si>
    <t>04.205.619/0001-93 - JRB SERVICOS GRAFICOS LTDA - ME</t>
  </si>
  <si>
    <t>ENVELOPE TIPO CARTA COR BRANCA, MED. 114X228MM</t>
  </si>
  <si>
    <t>19.296.321/0001-03 - EVERPRINT INDÚSTRIA GRÁFICA EIRELI ME</t>
  </si>
  <si>
    <t>ENVELOPE TIPO SACO EM PAPEL OFFSET, COR BRANCA, MED. 229X324MM</t>
  </si>
  <si>
    <t>ENVELOPE TIPO SACO TAM. OFÍCIO, EM PAPEL OFFSET, COR BRANCA, MED. 260X360MM</t>
  </si>
  <si>
    <t>ENVELOPE TIPO SACO, 185X248MM, COM LOGOTIPO MONOCROMÁTICO 1/1 (PRETO E CINZA / 50% DE PRETO), IMPRESSO EM OFFSET, ACABAMENTO EM CORTE ESPECIAL, 150 G/M²</t>
  </si>
  <si>
    <t>09.241.763/0001-07 - COLOR PAINT GRAFICA E EDITORA LTDA ME</t>
  </si>
  <si>
    <t>ENVELOPE TIPO SACO, 310X410MM, COM LOGOTIPO MONOCROMÁTICO 1/1 (PRETO E CINZA / 50% DE PRETO), IMPRESSO EM OFFSET, ACABAMENTO EM CORTE ESPECIAL, 150 G/M²</t>
  </si>
  <si>
    <t>50.148.734/0001-90 - FAH ENGENHARIA LTDA</t>
  </si>
  <si>
    <t>41.041.493/0001-95 - JL &amp; A COMERCIAL LTDA</t>
  </si>
  <si>
    <t>ESCORREDOR DE PRATO COM PORTA TALHER</t>
  </si>
  <si>
    <t>ESMALTE SINTÉTICO NA COR AREIA</t>
  </si>
  <si>
    <t>ESPELHO COM MOLDURA EM ALUMÍNIO - ALTURA: 80CM - LARGURA: 60CM - ESPESSURA: 4MM</t>
  </si>
  <si>
    <t>ESPELHO PARA CAIXA DE SUPERFÍCIE 3X3", COM 1 SAÍDA RJ45 BRANCO</t>
  </si>
  <si>
    <t>ESPUMA DE VEDAÇÃO PARA APARELHO DE AR CONDICIONADO</t>
  </si>
  <si>
    <t>ESTILETE .</t>
  </si>
  <si>
    <t>ESTOPA BRANCA, SACO COM 400 GR</t>
  </si>
  <si>
    <t>05.194.417/0001-56 - BRAGGIO ETIQUETAS ADESIVAS E ROTULOS LTDA</t>
  </si>
  <si>
    <t>20.169.473/0001-24 - GT DO BRASIL INDUSTRIA E COMERCIO DE ETIQUETAS E ROTULOS LTDA</t>
  </si>
  <si>
    <t>ETIQUETA PARA CD/DVD, CX COM 10 FOLHAS</t>
  </si>
  <si>
    <t>ETIQUETA PARA FITAS DE BACKUP LTO 4</t>
  </si>
  <si>
    <t>FECHADURA EXTERNA COM MAÇANETA DE ALAVANCA 26 MM</t>
  </si>
  <si>
    <t>FECHADURA PARA GAVETEIRO, COM ABA, ACABAMENTO CROMADO</t>
  </si>
  <si>
    <t>FECHO PARA PORTAS E JANELAS COM FIO REDONDO MED. 5"</t>
  </si>
  <si>
    <t>FILIPETA PAPEL COUCHE 115G FORMATO 21X14,5 CM 4/4  CORES CORTE RETO</t>
  </si>
  <si>
    <t>FILTRO DE PAPEL NÚMERO 102</t>
  </si>
  <si>
    <t>FILTRO PARA AR CONDICIONADO DE JANELA COM 3 SAÍDAS</t>
  </si>
  <si>
    <t>FILTRO PARA AR CONDICIONADO SPRINGER SILENTIA DE 12.000 BTUS</t>
  </si>
  <si>
    <t>11.129.548/0001-52 - KM DE BENFICA REFRIGERAÇÃO LTDA</t>
  </si>
  <si>
    <t>FIO DE SOLDA ESTANHO-CHUMBO 60X40 1,0MM, ROLO DE 500G.</t>
  </si>
  <si>
    <t>FIO TELEFÔNICO FDG JUMPER PRETO/LARANJA - 22AWG OU 24 AWG BOBINA COM 500M</t>
  </si>
  <si>
    <t>FITA ADESIVA DUPLA FACE 19 MM X 20 M COM ALTO PODER DE FIXAÇÃO</t>
  </si>
  <si>
    <t>FITA ADESIVA DUPLA FACE 19 MM X 3M</t>
  </si>
  <si>
    <t>FITA ISOLANTE AUTO-FUSÃO 19MM X 10M X 0,76MM, ANTI-CHAMA, CLASSE A (TEMPERATURA DE 90°C) EM PVC</t>
  </si>
  <si>
    <t>FITA M-231 PARA ROTULADORA BROTHER PT-70, COM 12MMX8M PRETO/BRANCO</t>
  </si>
  <si>
    <t>47.699.350/0001-51 - MENNO INFORMATICA E GRAFICA LTDA</t>
  </si>
  <si>
    <t>FITA MATRICIAL EPSON ERC-39 PARA IMPRESSORA CIS PR1000</t>
  </si>
  <si>
    <t>FITA MÁGICA MEDINDO 19 MM X 33 M</t>
  </si>
  <si>
    <t>33.514.001/0001-03 - ABBRA OFFICE MIX DISTRIBUIDORA, COMERCIO E SERVICOS EIRELI ME</t>
  </si>
  <si>
    <t>FITA ROTULADORA TZC FX241 18 MM</t>
  </si>
  <si>
    <t>48.760.218/0001-70 - 48.760.218 DYESON FERNANDO HERMANN</t>
  </si>
  <si>
    <t>FOLDER EM PAPEL COUCHE BRILHO/MATTE, 150G, MED. 210MMX300MM, 4/4 CORES</t>
  </si>
  <si>
    <t>FOLDER EM PAPEL COUCHE MATTE, MED. 210X300MM</t>
  </si>
  <si>
    <t>FOLDER EM PAPEL COUCHE, 150G, FORMATO A3,  MED. 300X420MM, 4/4 CORES</t>
  </si>
  <si>
    <t>FONE DE OUVIDO</t>
  </si>
  <si>
    <t>FONTE DE ALIMENTAÇÃO CHAVEADA UNIVERSAL, POTÊNCIA DE 240W, TENSÃO NOMINAL DE 24 VCC,CORRENTE NOMINAL DE 10 A E TENSÃO DE ALIMENTAÇÃO DE 100...500 VAC MONO/BIFÁSICA. L=87 MM X A= 126 MM X P= 146 MM (REF. ABL8RPS24100)</t>
  </si>
  <si>
    <t>FORRO MODULAR DE FIBRA MINERAL 15 X 625 X 1250MM BRANCO, CX COM 12 UNIDADES</t>
  </si>
  <si>
    <t>GARRAFA TÉRMICA COM CAPACIDADE 1,8 A 2,0 LITROS, CORPO EM AÇO INOX, AMPOLA DE VIDRO, AUTOMÁTICA, COM ALÇA, SISTEMA DE PRESSÃO</t>
  </si>
  <si>
    <t>22.517.034/0001-90 - RENOFORCE AGENCIA DE NEGOCIOS- EIRELI - ME</t>
  </si>
  <si>
    <t>GONZO 3/4"</t>
  </si>
  <si>
    <t>GONZO 5/8"</t>
  </si>
  <si>
    <t>GRADIL METÁLICO GALVANIZADO, COM DIMENSÃO MINIMA DE 2,00 M X 1,20 M.</t>
  </si>
  <si>
    <t>10.862.668/0001-00 - AIALA EVENTOS LTDA</t>
  </si>
  <si>
    <t>GRAMPEADOR MANUAL PARA ESTOFADO 106/6</t>
  </si>
  <si>
    <t>GRAMPO 106/6 - CX. COM 3.500 UNIDADES</t>
  </si>
  <si>
    <t>GRAVADOR EXTERNO DE BLU-RAY</t>
  </si>
  <si>
    <t>14.661.578/0001-01 - J.G.L ASSESSORIA EMPRESARIAL LTDA</t>
  </si>
  <si>
    <t>GRELHA DE RETORNO DE 12'' X 12''</t>
  </si>
  <si>
    <t>GÁS ACETILENO, CILINDRO DE 1KG</t>
  </si>
  <si>
    <t>GÁS OXIGÊNIO, CILINDRO DE 1M3</t>
  </si>
  <si>
    <t>HASTE DE COBRE PARA ATERRAMENTO 5/8", COM 2,4 METROS DE COMPRIMENTO</t>
  </si>
  <si>
    <t>HD EXTERNO 10 TB</t>
  </si>
  <si>
    <t>78.556.156/0001-40 - J L PEREIRA ARCHILLA</t>
  </si>
  <si>
    <t>HD EXTERNO 1TB</t>
  </si>
  <si>
    <t>02.373.375/0001-22 - INFO ERA PROJETOS DE INFORMATICA LTDA</t>
  </si>
  <si>
    <t>HD EXTERNO 2TB</t>
  </si>
  <si>
    <t>HD EXTERNO 500GB</t>
  </si>
  <si>
    <t>HD EXTERNO SEAGATE</t>
  </si>
  <si>
    <t>11.936.249/0001-20 - JOAO PAULO OLIVEIRA DIAS DA SILVA</t>
  </si>
  <si>
    <t>HD EXTERNO TOSHIBA</t>
  </si>
  <si>
    <t>INTERFACE HOMEM-MÁQUINA (IHM) COM TELA TÁTIL COLORIDA DE 7? WVGA, TENSÃO DE ALIMENTAÇÃO DE 24 VCC, COM SOFTWARE INTEGRADO. (REF. HMGT03510)</t>
  </si>
  <si>
    <t>INTERRUPTOR BIPOLAR DE EMBUTIR COM ESPELHO, BRANCO</t>
  </si>
  <si>
    <t>INTERRUPTOR BIPOLAR DE SOBREPOR COM CAIXA</t>
  </si>
  <si>
    <t>INTERRUPTOR DE DUAS SEÇÕES DE EMBUTIR COM ESPELHO, BRANCO</t>
  </si>
  <si>
    <t>INTERRUPTOR DE DUAS SEÇÕES DE SOBREPOR COM CAIXA</t>
  </si>
  <si>
    <t>INTERRUPTOR DE TRÊS SEÇÕES DE EMBUTIR COM ESPELHO</t>
  </si>
  <si>
    <t>INTERRUPTOR DE TRÊS SEÇÕES DE SOBREPOR COM CAIXA</t>
  </si>
  <si>
    <t>INTERRUPTOR DE UMA SEÇÃO DE EMBUTIR COM ESPELHO</t>
  </si>
  <si>
    <t>INTERRUPTOR DE UMA SEÇÃO DE SOBREPOR COM CAIXA</t>
  </si>
  <si>
    <t>INVERSOR DE FREQUÊNCIA TRIFÁSICO DE 15/11 KW ND/HD, TENSÃO DE TRABALHO 200 A 240 VCA, GRAU DE PROTEÇÃO IP21, COM MÓDULO DE COMUNICAÇÃO MODBUS TCP/ETHERNET/IP. L=227 MM X A= 674 MM X P=272 MM (REF. ATV630D15M3)</t>
  </si>
  <si>
    <t>INVERSOR DE FREQUÊNCIA TRIFÁSICO DE 15/11 KW ND/HD,TENSÃO DE TRABALHO 380 A 480 VCA, GRAU DE PROTEÇÃO IP21, COM MÓDULO DE COMUNICAÇÃO MODBUS TCP/ETHERNET/IP.  L=212 MM X A= 547 MM X P=233 MM. (REF. ATV630D15N4)</t>
  </si>
  <si>
    <t>INVERSOR DE FREQUÊNCIA TRIFÁSICO DE 30/22 KW ND/HD, TENSÃO DE TRABALHO 380 A 480 VCA, GRAU DE PROTEÇÃO IP21, COM MÓDULO DE COMUNICAÇÃO MODBUS TCP/ETHERNET/IP. L=227 MM X A= 674 MM X P=272 MM. (REF. ATV630D30N4)</t>
  </si>
  <si>
    <t>INVERSOR DE FREQUÊNCIA TRIFÁSICO DE 37/30 KW ND/HD, TENSÃO DE TRABALHO 200 A 240 VCA, GRAU DE PROTEÇÃO IP21,COM MÓDULO DE COMUNICAÇÃO MODBUS TCP/ETHERNET/IP. L=291 MM X A= 923 MM X P=324 MM (REF. ATV630D37M3)</t>
  </si>
  <si>
    <t>INVERSOR DE FREQUÊNCIA TRIFÁSICO DE 45/37 KW ND/HD, TENSÃO DE TRABALHO 200 A 240 VCA, GRAU DE PROTEÇÃO IP21, COM MÓDULO DE COMUNICAÇÃO MODBUS TCP/ETHERNET/IP. DIMENSÕES MÁXIMAS DE L=291 MM X A= 923 MM X P=324 MM (REF. ATV630D45M3)</t>
  </si>
  <si>
    <t>31.363.807/0001-12 - EVAN MATERIAIS DE CONSTRUCAO LTDA  ME</t>
  </si>
  <si>
    <t>JOELHO DE PVC DE 90 SOLDÁVEL, COM ROSCA, DE 20 X 1/2"</t>
  </si>
  <si>
    <t>JOELHO DE PVC DE 90 SOLDÁVEL, COM ROSCA, DE 25 X 3/4"</t>
  </si>
  <si>
    <t>JOELHO DE PVC SOLDÁVEL COM BUCHA DE LATÃO 25 MM X 1/2</t>
  </si>
  <si>
    <t>KIT DE ACIONAMENTO COMPLETO, PARA VEDAÇÃO DE VÁLVULA, DE 1 1/2"</t>
  </si>
  <si>
    <t>KIT DE ACIONAMENTO COMPLETO, PARA VEDAÇÃO DE VÁLVULA, DE 1 1/4"</t>
  </si>
  <si>
    <t>30.870.355/0001-00 - M2Z SOLUCOES INTEGRADAS LTDA</t>
  </si>
  <si>
    <t>KIT REPARO PARA VÁLVULA HYDRA MAX 1.1/4 1.1/2" OU SIMILAR</t>
  </si>
  <si>
    <t>KIT VEDANTE PARA VÁLVULA DE 1 1/2" - DOCOL</t>
  </si>
  <si>
    <t>KIT VEDANTE PARA VÁLVULA DE 1 1/4" - DOCOL</t>
  </si>
  <si>
    <t>LAMINADO DE FÓRMICA 1,25M X 3,08M X 0,8MM, COR ARGÍLA OU MARFIM</t>
  </si>
  <si>
    <t>LEITEIRA ANTIADERENTE, CAP. 1500ML</t>
  </si>
  <si>
    <t>LETREIRO EXTERNO</t>
  </si>
  <si>
    <t>09.452.513/0001-08 - CONCEITO SINALIZACAO E PAPELARIA LTDA</t>
  </si>
  <si>
    <t>LIVRO - PAPEL CAPA  COUCHE 230G, MIOLO EM PAPEL OFFSET 90G, CORES CAPA 4/4 E MIOLO 4/4 FORMATO A4 (210MMX300MM), 100 PÁGINAS</t>
  </si>
  <si>
    <t>LIVRO DE PROTOCOLO 1/4</t>
  </si>
  <si>
    <t>LIXA D'ÁGUA, Nº 220</t>
  </si>
  <si>
    <t>LIXA D'ÁGUA, Nº 400</t>
  </si>
  <si>
    <t>LIXA PARA FERRO N°36</t>
  </si>
  <si>
    <t>LIXA PARA FERRO Nº 120</t>
  </si>
  <si>
    <t>LIXA PARA FERRO Nº 220</t>
  </si>
  <si>
    <t>LIXA PARA FERRO Nº 60</t>
  </si>
  <si>
    <t>LIXA PARA MADEIRA Nº150</t>
  </si>
  <si>
    <t>LUMINÁRIA DE EMBUTIR REDONDA, CHAPA DE ALUMÍNIO BRANCA, PARA 2 LÂMPADAS DE 20W (COMPLETA COM RECEPTÁCULO E-27)</t>
  </si>
  <si>
    <t>LUMINÁRIA DE EMERGÊNCIA 30 LEDS BIVOLT</t>
  </si>
  <si>
    <t>LUMINÁRIA DE SOBREPOR COM CORPO EM CHAPA EM AÇO GALVANIZADO COM ACABAMENTO EM PINTURA ELETROSTÁTICA NA COR BRANCA, REFLETOR EM ALUMÍNIO ANODIZADO E ALETAS ANTI OFUSCAMENTO EM AÇO COM PINTURA BRANCA FOSCA, PARA DUAS LÂMPADAS TUBULARES DE 1200MM</t>
  </si>
  <si>
    <t>37.242.045/0001-82 - LUIS CV FRANCA DISTRIBUIDORA DE MATERIAL ELETRICO</t>
  </si>
  <si>
    <t>LUVA DE PVC ROSCÁVEL, ANTICHAMA, CIRCULAR, P/ ELETRODUTO DE 1"</t>
  </si>
  <si>
    <t>LUVA DE PVC ROSCÁVEL, ANTICHAMA, CIRCULAR, P/ ELETRODUTO DE 1.1/2''</t>
  </si>
  <si>
    <t>LUVA DE PVC ROSCÁVEL, ANTICHAMA, CIRCULAR, P/ ELETRODUTO DE 3/4"</t>
  </si>
  <si>
    <t>LUVA DE TAMPA DE 65MM, SISTEMA DLP EVOLUTIVA, PARA LUVA DE CANALETA DE 150X50MM</t>
  </si>
  <si>
    <t>LUVA PARA CANALETA SISTEMA X, 110 X 20MM, COR BRANCA (PIAL LEGRAND OU SIMILAR )</t>
  </si>
  <si>
    <t>LUVA PARA CANALETA SISTEMA X, MED. 50X20MM, COR BRANCA ( PIAL ELEGRAND OU SIMILAR )</t>
  </si>
  <si>
    <t>LUVA ROSCÁVEL DE 2"</t>
  </si>
  <si>
    <t>LUVA SOLDÁVEL, COM BUCHA DE LATÃO, DE 20 X 1/2"</t>
  </si>
  <si>
    <t>LUVA SOLDÁVEL, COM BUCHA DE LATÃO, DE 25 X 3/4"</t>
  </si>
  <si>
    <t>LUVA SOLDÁVEL, COM ROSCA, DE 20 X 1/2"</t>
  </si>
  <si>
    <t>LUVA SOLDÁVEL, COM ROSCA, DE 25 X 3/4"</t>
  </si>
  <si>
    <t>LÂMINA DE SERRA</t>
  </si>
  <si>
    <t>09.011.200/0001-14 - SOUZA E BORGES MATERIAIS ELETRICOS E HIDRAULICOS LTDA</t>
  </si>
  <si>
    <t>LÂMINA DE SERRA TICO-TICO BU 224</t>
  </si>
  <si>
    <t>LÂMINA DE SERRA TICO-TICO BU 310</t>
  </si>
  <si>
    <t>LÂMINA PARA ESTILETE 6" (BLISTER COM 10 LÂMINAS)</t>
  </si>
  <si>
    <t>LÂMPADA FLUORESCENTE TUBULAR LUZ DIA 28W, BULBO T5</t>
  </si>
  <si>
    <t>LÂMPADA HALÓGENA PAR 38 W X 127 V E-27</t>
  </si>
  <si>
    <t>LÂMPADA INCANDESCENTE, DE 100W/220V</t>
  </si>
  <si>
    <t>LÂMPADA LED BULBO 4,5W/5W 450LM</t>
  </si>
  <si>
    <t>LÂMPADA LED BULBO DE 4,5 A 6W / 6.000 A 6.500K, BASE E27</t>
  </si>
  <si>
    <t>LÂMPADA LED BULBO DE 8 A 10W / 6.000 A 6.500K, BASE E27</t>
  </si>
  <si>
    <t>LÂMPADA LED BULBO POTENCIA DE 30W FLUXO LUMINOSO MINIMO DE 2.700LM TEMPERATURA DE COR ENTRE 6.000 E 6.500K VIDA UTIL MINIMA DE 15.000 HORAS BASE E27 COM CERTIFICADO DO INMETRO</t>
  </si>
  <si>
    <t>LÂMPADA LED TUBULAR 18/20W, T8, (SELO PROCEL)</t>
  </si>
  <si>
    <t>LÂMPADA PL DE 26W BIPINO</t>
  </si>
  <si>
    <t>LÂMPADA T5 LED TUBULAR COM DRIVER INTEGRADO POTENCIA DE 18 A 20W TEMPERATURA DE COR DE 6.500K VIDA UTIL MINIMA DE 25.000 HORAS BIVOLT BASE G5 COMPRIMENTO DE 1150MM COM CERTIFICAÇÃO DO INMETRO</t>
  </si>
  <si>
    <t>48.624.075/0001-70 - JG PARTICIPACAO EM COMERCIO E SERVICOS LTDA</t>
  </si>
  <si>
    <t>LÂMPADA T8 LED TUBULAR COM DRIVER INTEGRADO POTENCIA DE 18 A 20W TEMPERATURA DE COR DE 6.500K VIDA UTIL MINIMA DE 25.000 HORAS BIVOLT BASE G13 COMPRIMENTO DE 1200MM COM CERTIFICADO DO INMETRO</t>
  </si>
  <si>
    <t>LÂMPADA T8 LED TUBULAR COM DRIVER INTEGRADO POTENCIA DE 8 A 10W TEMPERATURA DE COR DE 4.000K VIDA UTIL MINIMA DE 25.000 HORAS BIVOLT BASE G13 COMPRIMENTO DE 600MM COM CERTIFICAÇÃO DO INMETRO</t>
  </si>
  <si>
    <t>LÂMPADA VAPOR METÁLICO 150W, 220V BILATERAL</t>
  </si>
  <si>
    <t>LÃ DE VIDRO (1,2 X 12,5 X 0,05M) ROLO COM 15M²</t>
  </si>
  <si>
    <t>33.171.503/0001-89 - ENGLOBAK COMERCIO E SERVICO LTDA</t>
  </si>
  <si>
    <t>MANGUEIRA CRISTAL PARA DRENO, DE 1/2"</t>
  </si>
  <si>
    <t>MANGUEIRA PLÁSTICA PARA BOMBA DRENO DE 1/4 X 1,5MM</t>
  </si>
  <si>
    <t>MICROFONE DE LAPELA</t>
  </si>
  <si>
    <t>29.249.747/0001-60 - MARIA JULIA CAMARGO GUIRALDELLI ME</t>
  </si>
  <si>
    <t>MOLA HIDRAULICA PISO PARA PORTA COM ESPELHO INOX EIXO T</t>
  </si>
  <si>
    <t>32.742.966/0001-90 - FE DISTRIBUIDORA LTDA</t>
  </si>
  <si>
    <t>MOTOR VENTILADOR PARA CONDICIONADOR DE AR 18000 BTUS, SPRINGER SILENTIA</t>
  </si>
  <si>
    <t>16.509.472/0001-04 - GRUPO ARTE DO FRIO REFRIGERACAO EIRELI</t>
  </si>
  <si>
    <t>MOTOR VENTILADOR PARA CONDICIONADOR DE AR 19000 BTUS, SPRINGER SILENTIA</t>
  </si>
  <si>
    <t>MOUSE PAD PERSONALIZADO</t>
  </si>
  <si>
    <t>21.559.378/0001-08 - FLEX NEGOCIOS E SERVICOS LTDA</t>
  </si>
  <si>
    <t>MÁSCARA COMPLETA PARA AR. COND. SPRINGER SILENTIA 12.000 BTUS</t>
  </si>
  <si>
    <t>MÁSCARA FACIAL, DESCARTÁVEL (CX C/50 UNIDADES)</t>
  </si>
  <si>
    <t>09.528.371/0001-15 - CIMINA COMERCIO E SERVICOS LTDA  ME</t>
  </si>
  <si>
    <t>MÓDULO COMUNICAÇÃO ETHERNET/IP 4 CONECTORES RJ45 PARA CLP  L=60 MM X A= 100MM X P=89 MM ( REF. TMSES4)</t>
  </si>
  <si>
    <t>MÓDULO DE E/S REMOTA, PARA ENTRADAS E SAÍDAS DISTRIBUÍDAS, GRAU DE PROTEÇÃO IP20, COMPATÍVEL COM AS CLPS, L=27 MM X A= 97 MM X P= 71 MM (REF. TM3BCEIP)</t>
  </si>
  <si>
    <t>MÓDULO DE ENTRADAS DIGITAIS, COM 16 ENTRADAS DO TIPO SINK/SOURCE, TENSÃO DE ALIMENTAÇÃO DE 24 VCC. DIMENSÕES MÁXIMAS DE L=28 MM X A= 90 MM X P= 85 MM (REF. TM3DI16)</t>
  </si>
  <si>
    <t>MÓDULO DE EXPANSÃO PARA CLP COM 16 SAÍDAS DIGITAIS DO TIPO SOURCE, TENSÃO DE ALIMENTAÇÃO DE 24 VCC., DIMENSÕES MÁXIMAS DE L=28 MM X A= 90 MM X P= 86 MM (REF. TM3DQ16T)</t>
  </si>
  <si>
    <t>MÓDULO DE EXPANSÃO PARA CLP COM 32 ENTRADAS DIGITAIS DO TIPO  SINK/SOURCE, L=34 MM X A= 90 MM X P=82 MM,(REF. TM3DI32K)</t>
  </si>
  <si>
    <t>MÓDULO DE EXPANSÃO PARA CLP COM 32 SAÍDAS DIGITAIS DO TIPO SOURCE, L=34 MM X A= 90 MM X P= 82 MM (REF. TM3DQ32TK)</t>
  </si>
  <si>
    <t>MÓDULO DE EXPANSÃO PARA CLP COM 4 ENTRADAS E 2 SAÍDAS ANALÓGICAS DE 12 BITS, L=24 MM X A= 90 MM X P= 70 MM, (REF. TM3AM6)</t>
  </si>
  <si>
    <t>MÓDULO DE EXPANSÃO PARA CLP COM 4 SAÍDAS ANALÓGICAS DE 12 BITS, L=25 MM X A= 90 MM X P=70 MM (REF. TM3AQ4)</t>
  </si>
  <si>
    <t>MÓDULO DE EXPANSÃO PARA CLP COM 8 ENTRADAS ANALÓGICAS DE 12 BITS, L=25 MM X A= 90 MM X P=70 MM,( REF. TM3AI8)</t>
  </si>
  <si>
    <t>NIPEL DE PVC ROSCÁVEL DE 2"</t>
  </si>
  <si>
    <t>NIPEL DE PVC ROSCÁVEL DE 3/4"</t>
  </si>
  <si>
    <t>28.368.751/0001-84 - JOVEL MATERIAIS DE CONSTRUCAO LTDA</t>
  </si>
  <si>
    <t>OCTOBOX 120 CM</t>
  </si>
  <si>
    <t>13.728.507/0001-08 - SILVIO APARECIDO DE MEDEIROS ELETRONICOS  EPP</t>
  </si>
  <si>
    <t>ORGANIZADOR DE CABO HORIZONTAL FECHADO (GUIA DE CABO) 1U - 19" COM 50MM DE PROFUNDIDADE</t>
  </si>
  <si>
    <t>PAINEL REBATEDOR E DIFUSOR</t>
  </si>
  <si>
    <t>21.051.277/0001-13 - RT EDITORA E DISTRIBUIDORA DE PAPEIS E SERVICOS EIRELI  EPP</t>
  </si>
  <si>
    <t>PALLET DE CARGA EM PLÁSTICO, MEDINDO 1000 X 1200 X 150 MM</t>
  </si>
  <si>
    <t>19.462.710/0001-61 - THRUONE LTDA</t>
  </si>
  <si>
    <t>35.772.303/0001-07 - HPS CLEAN MATERIAIS E SERVICOS LTDA</t>
  </si>
  <si>
    <t>45.822.500/0001-47 - ZOOM COMERCIAL SUDESTE LTDA</t>
  </si>
  <si>
    <t>PAPEL FOTOGRÁFICO PARA IMPRESSORA PLOTTER , GLOSSY BRILHANTE, 914MM X 30M, 230G</t>
  </si>
  <si>
    <t>29.596.590/0001-49 - REPROMAT COMÉRCIO DE MATERIAL DE REPRODUÇÃO LTDA.</t>
  </si>
  <si>
    <t>PAPEL KRAFT PARA EMBRULHO</t>
  </si>
  <si>
    <t>PAPEL PARA IMPRESSORA PLOTTER</t>
  </si>
  <si>
    <t>PAR DE BALLON TRANSMISSOR + RECEPTOR - CASADOR DE IMPEDÂNCIA 75</t>
  </si>
  <si>
    <t>PARAFUSO AUTO-ATARRAXANTE CABEÇA DE PANELA, PHILIPS, PARA BUCHA S5</t>
  </si>
  <si>
    <t>PARAFUSO AUTO-ATARRAXANTE CABEÇA DE PANELA, PHILIPS, PARA BUCHA S6</t>
  </si>
  <si>
    <t>PARAFUSO CABEÇA SEXTAVADA 3/16X2" (50MM)</t>
  </si>
  <si>
    <t>PARAFUSO COM BUCHA PARA GESSO 4 X 50MM</t>
  </si>
  <si>
    <t>PARAFUSO P/ DRYWALL, GN 25, CABEÇA TROMBETA 3,5X25MM, PONTA AGULHA</t>
  </si>
  <si>
    <t>PARAFUSO PARA AGLOMERADO E MDF, 5X30MM</t>
  </si>
  <si>
    <t>PARAFUSO PHILIPS 3,5X25MM</t>
  </si>
  <si>
    <t>PARAFUSO PHILIPS 3,5X30MM</t>
  </si>
  <si>
    <t>PARAFUSO PHILIPS 3,5X45MM</t>
  </si>
  <si>
    <t>PARAFUSO PHILIPS 4,0X12MM</t>
  </si>
  <si>
    <t>PARAFUSO PHILIPS 4,5X16MM</t>
  </si>
  <si>
    <t>PARAFUSO PHILIPS 4,5X20MM</t>
  </si>
  <si>
    <t>PARAFUSO PHILIPS 4,5X40MM</t>
  </si>
  <si>
    <t>PARAFUSO PHILIPS 4,5X45MM</t>
  </si>
  <si>
    <t>PARAFUSO PHILIPS 4,5X50MM</t>
  </si>
  <si>
    <t>PARAFUSO PHILIPS 4.5 X 60MM</t>
  </si>
  <si>
    <t>PARAFUSO PHILIPS AUTOBROCANTE CABEÇA FLANGEADA 3,8X13MM</t>
  </si>
  <si>
    <t>PARAFUSO PHILIPS AUTOBROCANTE CABEÇA FLANGEADA 4,2X19MM</t>
  </si>
  <si>
    <t>PARAFUSO PHILIPS CABEÇA DE PANELA 4,5X20MM</t>
  </si>
  <si>
    <t>PARAFUSO PHILIPS CABEÇA FLANGEADA 3,5X25MM</t>
  </si>
  <si>
    <t>PARAFUSO PHILIPS, 4,5X35MM</t>
  </si>
  <si>
    <t>PARAFUSO PHILLIPS CABEÇA CHATA FINA DE NIQUEL M6 X 10</t>
  </si>
  <si>
    <t>PARAFUSO S8-8 MM</t>
  </si>
  <si>
    <t>PARAFUSO SEXTAVADO S10</t>
  </si>
  <si>
    <t>22.352.565/0001-70 - C M DOS S CAMELLO COMERCIO EQUIPAMENTOS ELETRONICOS - ME</t>
  </si>
  <si>
    <t>PARAFUSO SEXTAVADO S8</t>
  </si>
  <si>
    <t>PASSA FIO DE PLÁSTICO, DE 20M</t>
  </si>
  <si>
    <t>PASSA FIO DE PLÁSTICO, DE 20M, COM ALMA DE AÇO</t>
  </si>
  <si>
    <t>PASSA FIO DE PLÁSTICO, DE 30M</t>
  </si>
  <si>
    <t>PASSA FIO PARA MESA, 60MM</t>
  </si>
  <si>
    <t>PASTA SUSPENSA</t>
  </si>
  <si>
    <t>PASTA SUSPENSA PENDULAR COM LOMBADA P/ARQUIVO DESLIZANTE</t>
  </si>
  <si>
    <t>03.961.892/0001-85 - FEMAG INDUSTRIA E COMERCIO DE PASTAS PARA ARQUIVAMENTO LTDA</t>
  </si>
  <si>
    <t>PATCH CORD CAT 5E, COR AZUL, 24 AWG DE 1,5M - 568C</t>
  </si>
  <si>
    <t>PATCH CORD CAT 5E, COR AZUL, 24 AWG DE 2,5M - 568C</t>
  </si>
  <si>
    <t>PATCH CORD CAT 5E, COR AZUL, DE 1,5M</t>
  </si>
  <si>
    <t>PATCH CORD CAT 5E, COR AZUL, DE 2,5M</t>
  </si>
  <si>
    <t>PATCH CORD CAT 6, COR AMARELA, DE 2,5M</t>
  </si>
  <si>
    <t>PATCH CORD CAT 6, COR AZUL, DE 1,5M</t>
  </si>
  <si>
    <t>PATCH CORD CAT 6, COR AZUL, DE 2,5M</t>
  </si>
  <si>
    <t>PATCH CORD CAT 6, COR CINZA, DE 1,5M</t>
  </si>
  <si>
    <t>PATCH CORD CAT 6, COR VERMELHA, DE 1,5M</t>
  </si>
  <si>
    <t>PEDESTAL DE FITA RETRATIL</t>
  </si>
  <si>
    <t>10.322.423/0001-81 - PUBLIC SYSTEM INDUSTRIA E COMERCIO DE ORIENTADORES DE PUBLICO LTDA EPP</t>
  </si>
  <si>
    <t>PEDESTAL DE MESA COM REGULAGEM DE ALTURA, COM CACHIMBO</t>
  </si>
  <si>
    <t>46.109.873/0001-38 - JL EQUIPAMENTOS ELETRONICOS LTDA</t>
  </si>
  <si>
    <t>PEDESTAL FLEXÍVEL PARA MICROFONE DE MESA</t>
  </si>
  <si>
    <t>PEDESTAL GIRAFA TELESCÓPICO PARA MICROFONE, COM CACHIMBO</t>
  </si>
  <si>
    <t>PEN DRIVE .</t>
  </si>
  <si>
    <t>47.583.439/0001-58 - M2DELL INFORMATICA LTDA</t>
  </si>
  <si>
    <t>PEN DRIVE 128GB</t>
  </si>
  <si>
    <t>46.006.799/0001-24 - ALTITUDO COMERCIO DE PRODUTOS LTDA</t>
  </si>
  <si>
    <t>PEN DRIVE 256GB</t>
  </si>
  <si>
    <t>11.364.683/0001-82 - LOJA GAMER EXPORTACAO E IMPORTACAO</t>
  </si>
  <si>
    <t>PEN DRIVE 32GB</t>
  </si>
  <si>
    <t>PEN DRIVE 64GB</t>
  </si>
  <si>
    <t>PERCEVEJO .</t>
  </si>
  <si>
    <t>PERFIL CLICADO PRINCIPAL T24 ? 3125 X 24 X 32MM</t>
  </si>
  <si>
    <t>PERFIL DE AÇO TIPO BATENTE DE PORTA NA COR PRETA.</t>
  </si>
  <si>
    <t>PILHA ALCALINA A23 12V</t>
  </si>
  <si>
    <t>PINCEL TRINCHA, CERDAS DE 3/4"</t>
  </si>
  <si>
    <t>22.214.570/0001-17 - IPE, PISOS REVESTIMENTOS &amp; DECORACOES LTDA EPP</t>
  </si>
  <si>
    <t>PLACA ACESSO RESTRITO</t>
  </si>
  <si>
    <t>PLACA CEGA PARA CAIXA DE PASSAGEM, MED. 4X2, DE EMBUTIR</t>
  </si>
  <si>
    <t>PLACA CEGA PARA CAIXA DE PASSAGEM, MED. 4X4, DE EMBUTIR</t>
  </si>
  <si>
    <t>PLACA CEGA REDONDA 3 X 3 DE EMBUTIR</t>
  </si>
  <si>
    <t>PLACA COPA</t>
  </si>
  <si>
    <t>PLACA COPA/REFEITÓRIO</t>
  </si>
  <si>
    <t>PLACA DE COMUNICAÇÃO VISUAL EM ACRÍLICO BRANCO 4MM, BASE MDF 121X20X1 CM, REVESTIDA COM LAMINADO</t>
  </si>
  <si>
    <t>PLACA DE COMUNICAÇÃO VISUAL EM ACRÍLICO DE CORES VARIADAS 4MM, SOBRE BASE CIRCULAR MOVEL 35CM, REVESTIDA EM LAMINADO</t>
  </si>
  <si>
    <t>PLACA DE COMUNICAÇÃO VISUAL EM ACRÍLICO, BASE MDF 45X60X1 CM, REVESTIDA COM LAMINADO</t>
  </si>
  <si>
    <t>PLACA DIRECIONAL DOS PAVIMENTOS</t>
  </si>
  <si>
    <t>PLACA ELETRÔNICA PARA CONDICIONADOR DE AR 12000 BTUS SPRINGER SILENTIA</t>
  </si>
  <si>
    <t>PLACA ELETRÔNICA PARA CONDICIONADOR DE AR 30000 BTUS SPRINGER SILENTIA</t>
  </si>
  <si>
    <t>PLACA ELETRÔNICA PARA CONDICIONADOR DE AR DE 12.000 BTU'S / 220V</t>
  </si>
  <si>
    <t>PLACA ESCADAS</t>
  </si>
  <si>
    <t>PLACA EXTERNA ADVERTÊNCIA LIMITE DE ALTURA</t>
  </si>
  <si>
    <t>PLACA EXTERNA ADVERTÊNCIA VELOCIDADE</t>
  </si>
  <si>
    <t>PLACA IDENTIFICAÇÃO DE SALAS</t>
  </si>
  <si>
    <t>PLACA IDENTIFICAÇÃO DE SALAS - ALONGADA</t>
  </si>
  <si>
    <t>PLACA INFORMATIVA DE ELEVADOR 1</t>
  </si>
  <si>
    <t>PLACA INFORMATIVA DE ELEVADOR 2</t>
  </si>
  <si>
    <t>PLACA INFORMATIVA DE INCÊNDIO</t>
  </si>
  <si>
    <t>PLACA INFORMATIVA GERAL DE PAVIMENTOS</t>
  </si>
  <si>
    <t>PLACA PAINEL DE AVISOS E INFORMATIVOS</t>
  </si>
  <si>
    <t>PLACA PROIBIDO FUMAR</t>
  </si>
  <si>
    <t>PLACA SALA DE REUNIÃO</t>
  </si>
  <si>
    <t>PLACA SALÃO MULTIUSO</t>
  </si>
  <si>
    <t>PLACA SANITÁRIO</t>
  </si>
  <si>
    <t>PLACA SANITÁRIO ACESSÍVEL</t>
  </si>
  <si>
    <t>PLACA TIPO A - CAIXA DE 120X120MM</t>
  </si>
  <si>
    <t>29.419.258/0001-09 - DALFIORE COMERCIO E INDUSTRIA LTDA</t>
  </si>
  <si>
    <t>PLACA TIPO C - CAIXA DE 220X220MM</t>
  </si>
  <si>
    <t>PLACA VESTIÁRIO FEMININO</t>
  </si>
  <si>
    <t>PLACA VESTIÁRIO MASCULINO</t>
  </si>
  <si>
    <t>PLACA ÁGUA DE REUSO</t>
  </si>
  <si>
    <t>11.807.975/0001-42 - SIDNEY DE SOUSA CARVALHO ME</t>
  </si>
  <si>
    <t>PLUGUE FÊMEA 2P+T</t>
  </si>
  <si>
    <t>PLUGUE MACHO 2P+T</t>
  </si>
  <si>
    <t>PONTEIRA EXTERNA PARA ACABAMENTO 1/2" NA COR PRETA</t>
  </si>
  <si>
    <t>PONTEIRA EXTERNA, 1", PVC</t>
  </si>
  <si>
    <t>PONTEIRA EXTERNA, 3/4, REDONDA</t>
  </si>
  <si>
    <t>PONTEIRA INTERNA PARA ACABAMENTO 1/2" REDONDA NA COR PRETA</t>
  </si>
  <si>
    <t>PONTEIRA INTERNA PARA ACABAMENTO 16/30" OVAL NA COR PRETA</t>
  </si>
  <si>
    <t>PONTEIRA INTERNA, 3/4, QUADRADA</t>
  </si>
  <si>
    <t>PONTEIRA INTERNA, 3/4, REDONDA</t>
  </si>
  <si>
    <t>PORCA SEXTAVADA DE 1/4?</t>
  </si>
  <si>
    <t>PORTA DE ENROLAR MANUAL EM LÂMINAS EM AÇO FERRO</t>
  </si>
  <si>
    <t>28.244.608/0001-80 - DSM SERVICOS E COMERCIO LTDA</t>
  </si>
  <si>
    <t>PORTA PAPEL TOALHA (DISPENSER)</t>
  </si>
  <si>
    <t>POTE EM VIDRO</t>
  </si>
  <si>
    <t>PRANCHETA DE ALUMÍNIO E PRENDEDOR EM AÇO INOX</t>
  </si>
  <si>
    <t>PREGO MED. 12 X 12 COM CABEÇA</t>
  </si>
  <si>
    <t>PREGO MED. 16 X 24 COM CABEÇA</t>
  </si>
  <si>
    <t>PÚLPITO EM ACRÍLICO PORTÁTIL</t>
  </si>
  <si>
    <t>13.759.849/0001-95 - INDUSTRIA FENIX CORTE A LASER LTDA</t>
  </si>
  <si>
    <t>QUADRO 103CM X 69,7CM, PARA FOTOGRAFIA IMPRESSA NAS DIMENSÕES 100CM X 66,7CM</t>
  </si>
  <si>
    <t>33.633.305/0001-90 - SUNSHINE ARTES LTDA</t>
  </si>
  <si>
    <t>QUADRO 58CM X 58CM PARA FOTOGRAFIA IMPRESSA NAS DIMENSÕES 45CM X 45CM</t>
  </si>
  <si>
    <t>QUADRO 69,7CM X 69,7CM PARA FOTOGRAFIA IMPRESSA NAS DIMENSÕES 66,7CM X 66,7CM</t>
  </si>
  <si>
    <t>REATOR ELETROMAGNÉTICO AFP PRS 250W X 220 V, MULTIVAPOR METÁLICO, PARTIDA RÁPIDA</t>
  </si>
  <si>
    <t>REATOR ELETROMAGNÉTICO AFP PRS 400W X 220 V, MULTIVAPOR METÁLICO, PARTIDA RÁPIDA</t>
  </si>
  <si>
    <t>REATOR ELETRÔNICO AFP PRS 1X26W BIVOLT. PL, QUATRO PINOS RÁPIDA</t>
  </si>
  <si>
    <t>22.471.158/0001-82 - GIBERTONI COMERCIAL EIRELI  EPP</t>
  </si>
  <si>
    <t>REATOR ELETRÔNICO AFP PRS 2X28W BIVOLT</t>
  </si>
  <si>
    <t>RECEPTOR RF DE 4 CANAIS</t>
  </si>
  <si>
    <t>RECEPTÁCULO DE LOUÇA BASE E-27</t>
  </si>
  <si>
    <t>REFIL DE TINTA PARA CARIMBO</t>
  </si>
  <si>
    <t>REFIL PARA MAÇARICO DO TIPO TURBO TORCH, DE 400G.</t>
  </si>
  <si>
    <t>27.388.518/0001-09 - DS CONDE COMERCIO DE PECAS DE REFRIGERACAO E ELETRICA ME</t>
  </si>
  <si>
    <t>REFLETOR EM ALUMÍNIO ANODIZADO COM DIFUSOR EM VIDRO TEMPERADO PARA LÂMPADA MISTA 250 W E40</t>
  </si>
  <si>
    <t>REFLETOR LED 200W 16.000LM</t>
  </si>
  <si>
    <t>REFLETOR LED 50W BIVOLT TEMPERATURA DE COR DE 5.000K OU SUPERIOR FLUXO LUMINOSO DE 3.750LM INDICE DE PROTEÇÃO IP65 VIDA UTIL MINIMA DE 15.000 HORAS</t>
  </si>
  <si>
    <t>REGISTRO BRUTO, GALVANIZADO, DE 1/2"</t>
  </si>
  <si>
    <t>REGISTRO BRUTO, GALVANIZADO, DE 3/4"</t>
  </si>
  <si>
    <t>REGISTRO DE PRESSÃO COM ACABAMENTO DE 3/4"</t>
  </si>
  <si>
    <t>RELÉ DE INTERFACE PARA CLP, CORRENTE NOMINAL DE 6 A, TENSÃO DE ALIMENTAÇÃO DE 24 VCC/VCA, CONTATO 1 NAF. L=79 MM X A= 7,3 MM X P= 100 MM (REF. RSL1PVBU)</t>
  </si>
  <si>
    <t>RELÉ T92S, 8 BORNES, PARA SPRINGER SILENTIA 30.000BTUS</t>
  </si>
  <si>
    <t>RELÉ TÉRMICO TRIFÁSICO COMPATÍVEL EM MONTAGEM C/CONTADORA P/40A,CORRENTE NOMINAL DE USO 40A, FAIXA DE AJUSTE PARA DISPOSITIVO TÉRMICO DE 37 ATÉ 47A</t>
  </si>
  <si>
    <t>RELÉ TÉRMICO TRIFÁSICO COMPATÍVEL EM MONTAGEM COM CONTATORA P/ 12A, CORRENTE NOMINAL DE USO 12A, FAIXA DE AJUSTE PARA DISPOSITIVO TÉRMICO DE 9 ATÉ 12,5A, MODELO SIEMENS 3RU1116 OU SIMILAR</t>
  </si>
  <si>
    <t>RELÉ TÉRMICO TRIFÁSICO COMPATÍVEL EM MONTAGEM COM CONTATORA P/ 40A, CORRENTE NOMINAL DE USO 40A, FAIXA DE AJUSTE PARA DISPOSITIVO TÉRMICO DE 28 ATÉ 40A, MODELO SIEMENS 3RU1136 OU SIMILAR</t>
  </si>
  <si>
    <t>REMOVEDOR REDUCOLA DILUENTE - LT 900ML</t>
  </si>
  <si>
    <t>REPARO PRIMOR 1 1/4" COM REGULADOR EXTERNO ALTA E BAIXA PRESSÃO</t>
  </si>
  <si>
    <t>REVISTA DO MINISTÉRIO PÚBLICO</t>
  </si>
  <si>
    <t>10.651.441/0001-07 - GRAFICA CS LTDA</t>
  </si>
  <si>
    <t>RODA COM BANDA DE BORRACHA MACIÇA, 9", EIXO 5/8'</t>
  </si>
  <si>
    <t>RODA COM BANDA DE BORRACHA MACIÇA, 9", EIXO 7/8''</t>
  </si>
  <si>
    <t>RODÍZIO GIRATÓRIO COM CHAPA EM METAL  3CM X 3CM</t>
  </si>
  <si>
    <t>RODÍZIO GIRATÓRIO COM CHAPA EM METAL  3CM X 4,5CM, CAP. 25KG</t>
  </si>
  <si>
    <t>RODÍZIO PARA CADEIRA DE ESCRITÓRIO, DUPLO GIRO  EM PU 50MM COM PINO 11MM</t>
  </si>
  <si>
    <t>ROLAMENTO AGULHA OU ROLETE 1"</t>
  </si>
  <si>
    <t>ROLAMENTO AGULHA OU ROLETE 3/4"</t>
  </si>
  <si>
    <t>ROLAMENTO AGULHA OU ROLETE 5/8"</t>
  </si>
  <si>
    <t>ROLAMENTO AGULHA OU ROLETE 7/8"</t>
  </si>
  <si>
    <t>49.010.527/0001-96 - 49.010.527 LORRUANA FRANCA SANTOS</t>
  </si>
  <si>
    <t>ROLO DE FILME PVC PARA PALLET</t>
  </si>
  <si>
    <t>SABONETEIRA COM RESERVATÓRIO (DISPENSER)</t>
  </si>
  <si>
    <t>36.310.930/0001-99 - Y S DIAS COMERCIO DE PAPELARIA</t>
  </si>
  <si>
    <t>SACO PLÁSTICO PP - TRANSPARENTE 20X30CM</t>
  </si>
  <si>
    <t>SAPATA REGULÁVEL, 1/4, COM BUCHA</t>
  </si>
  <si>
    <t>SAPATA REGULÁVEL, 5/16, COM BUCHA</t>
  </si>
  <si>
    <t>SENSOR DE BARREIRA ATIVA, DUPLO FEIXE</t>
  </si>
  <si>
    <t>SENSOR DE PRESENÇA 127V / 1000 W</t>
  </si>
  <si>
    <t>SENSOR DE TEMPERATURA</t>
  </si>
  <si>
    <t>SEPARADOR , DE 2000MM, SISTEMA DLP EVOLUTIVA, PARA CANALETA DE 150X50MM</t>
  </si>
  <si>
    <t>SEPARADOR , SISTEMA DLP EVOLUTIVA, PARA COTOVELO EXTERNO DE CANALETA DE 150X50MM</t>
  </si>
  <si>
    <t>SEPARADOR , SISTEMA DLP EVOLUTIVA, PARA COTOVELO INTERNO DE CANALETA DE 150X50MM</t>
  </si>
  <si>
    <t>SEPARADOR , SISTEMA DLP EVOLUTIVA, PARA DERIVAÇÃO PLANA DE CANALETA DE 150X50MM</t>
  </si>
  <si>
    <t>SIFÃO PARA MICTÓRIO, CROMADO DE 1.1/2"</t>
  </si>
  <si>
    <t>SINALIZADOR DE GARAGEM SONORO</t>
  </si>
  <si>
    <t>03.024.275/0001-53 - GG COMÉRCIO DE BORRACHA E EQUIPAMENTOS DE SEG. LTDA</t>
  </si>
  <si>
    <t>SINALIZADOR DE STROBO/GIROFLEX</t>
  </si>
  <si>
    <t>48.749.319/0001-40 - DANIELLE DE FATIMA DA SILVA GONZAGA 12034101740</t>
  </si>
  <si>
    <t>SIRENE ELETRÔNICA 120 DB</t>
  </si>
  <si>
    <t>04.487.977/0001-36 - GASAN DISTRIBUIDORA LTDA-ME</t>
  </si>
  <si>
    <t>SOLDA FOSCOPER ( 1 KG )</t>
  </si>
  <si>
    <t>SOLVENTE AGUARRÁS 900ML</t>
  </si>
  <si>
    <t>SOLVENTE PARA LIMPEZA E REMOÇÃO DE RESÍDUOS DE SOLDA, ÓLEO E GRAXA EM SISTEMAS DE REFRIGERAÇÃO(BOTIJA 10,5KG)</t>
  </si>
  <si>
    <t>02.279.892/0001-37 - DAICON COMERCIO DE REVESTIMENTOS E SERVIÇOS LTDA.</t>
  </si>
  <si>
    <t>SOQUETE PARA LÂMPADA FLUORESCENTE</t>
  </si>
  <si>
    <t>SOQUETE ROTATIVO DE ENGATE RÁPIDO PARA LÂMPADA FLUORESCENTE 14, 28, 54W, BASE G5, CAPACIDADE DE CORRENTE DE 2A, TRATAMENTO ANTI-UV E TEMPERATURA DE TRABALHO DE 90ºC</t>
  </si>
  <si>
    <t>SPUD PARA TUBO DE 1.1/2" E 40MM  BS-5</t>
  </si>
  <si>
    <t>SUPORTE 2 POSTOS PARA COLUNETE DLP REF: 306 37 - PIAL LEGRAND</t>
  </si>
  <si>
    <t>SUPORTE PARA FIXAÇÃO DE AR CONDICIONADO DE JANELA 18.000 A 36.000 BTUS</t>
  </si>
  <si>
    <t>33.618.396/0001-94 - FABRICIO RACHADEL COSTA ME</t>
  </si>
  <si>
    <t>SUPORTE PARA FIXAÇÃO DE AR CONDICIONADO DE JANELA ATÉ 30.000 BTUS</t>
  </si>
  <si>
    <t>SUPORTE PARA SPLIT DE 36 A 60 K BTU DE AÇO INOX AISI 304 COM REFORÇO (MÃO FRANCESA) DE 600 MM.</t>
  </si>
  <si>
    <t>TAMPA CEGA PARA CONDULETE EM PVC DE 4X2</t>
  </si>
  <si>
    <t>TAMPA DE EXTREMIDADE  PARA CANALETA SISTEMA X, MED. 110 X 20MM, COR BRANCA (PIAL ELEGRAND OU SIMILAR )</t>
  </si>
  <si>
    <t>TAMPA DE EXTREMIDADE  PARA CANALETA SISTEMA X, MED. 50X20MM, COR BRANCA ( PIAL ELEGRAND  OU SIMILAR )</t>
  </si>
  <si>
    <t>TAMPA FLEXÍVEL DE 2000X65MM, SISTEMA DLP EVOLUTIVA, COR BANCA, PARA CANALETA DE 150X50MM</t>
  </si>
  <si>
    <t>TARUGO DE POLIETILENO COR CINZA.</t>
  </si>
  <si>
    <t>TARUGO DE POLIETILENO COR PRETA.</t>
  </si>
  <si>
    <t>TECLADO NUMÉRICO COMPATÍVEL C/ CENTRAL DE ALARME</t>
  </si>
  <si>
    <t>TERMINAL PARA ACABAMENTO CB60T</t>
  </si>
  <si>
    <t>TERMINAL PARA ACABAMENTO CB80T</t>
  </si>
  <si>
    <t>TERMINAL PARA COMPRESSÃO DE COBRE, 1 FURO E 1 COMPRESSÃO FABRICADO EM COBRE E ESTANHADO, COM VIGIA DE BARRIL PARA CABO FLEXÍVEL 120MM²</t>
  </si>
  <si>
    <t>04.418.934/0001-07 - CENTER SPONCHIADO LTDA - EPP</t>
  </si>
  <si>
    <t>TERMINAL PARA COMPRESSÃO DE COBRE, 1 FURO E 1 COMPRESSÃO FABRICADO EM COBRE E ESTANHADO, COM VIGIA DE BARRIL PARA CABO FLEXÍVEL 50MM²</t>
  </si>
  <si>
    <t>TERMINAL PARA COMPRESSÃO DE COBRE, 1 FURO E 1 COMPRESSÃO FABRICADO EM COBRE E ESTANHADO, COM VIGIA DE BARRIL PARA CABO FLEXÍVEL 70MM²</t>
  </si>
  <si>
    <t>TERMINAL PARA COMPRESSÃO DE COBRE, 1 FURO E 1 COMPRESSÃO FABRICADO EM COBRE E ESTANHADO, COM VIGIA DE BARRIL PARA CABO FLEXÍVEL 95MM²</t>
  </si>
  <si>
    <t>TERMINAL PARA CONEXÃO MECÂNICA  AJUSTÁVEL EM METAL LATONADO, PARA CONEXÃO DE CABOS DE 35-50MM²</t>
  </si>
  <si>
    <t>TERMINAL PARA CONEXÃO MECÂNICA  AJUSTÁVEL EM METAL LATONADO, PARA CONEXÃO DE CABOS DE 50-70MM²</t>
  </si>
  <si>
    <t>TERMOSTATO PARA CONDICIONADOR DE AR 18.000 BTUS, 220V</t>
  </si>
  <si>
    <t>07.333.521/0001-00 - ESTRELA DE BENFICA REFRIGERACAO LTDA</t>
  </si>
  <si>
    <t>TINTA ACRÍLICA METALATEX FOSCO PERFEITO VERMELHO RÚSTICO 18 LTS</t>
  </si>
  <si>
    <t>30.574.811/0001-67 - AMARILLO COMERCIAL LTDA</t>
  </si>
  <si>
    <t>44.044.562/0001-02 - LUCKSERVICE COMERCIO E SERVICOS LTDA</t>
  </si>
  <si>
    <t>39.768.697/0001-80 - MULTI REFORMAS, CONSTRUCOES, COMERCIO E SERVICOS LTDA</t>
  </si>
  <si>
    <t>TINTA PARA CARIMBO NA COR VERMELHA</t>
  </si>
  <si>
    <t>TINTA SPRAY AZUL COLONIAL</t>
  </si>
  <si>
    <t>TINTA SPRAY BRANCO GELO</t>
  </si>
  <si>
    <t>TINTA SPRAY BRANCO REFRIGERADOR</t>
  </si>
  <si>
    <t>TINTA SPRAY CINZA PLACA</t>
  </si>
  <si>
    <t>TINTA SPRAY GRAFITE</t>
  </si>
  <si>
    <t>TINTA SPRAY PRETO BRILHANTE</t>
  </si>
  <si>
    <t>TINTA SPRAY VERDE</t>
  </si>
  <si>
    <t>TOCHA DE LUZ DIRETA/FLASH</t>
  </si>
  <si>
    <t>TOMADA 2P+T 10A X 250V DE EMBUTIR COM ESPELHO</t>
  </si>
  <si>
    <t>TOMADA 2P+T MODULAR REF.: 6 150 60 PIAL LEGRAND</t>
  </si>
  <si>
    <t>TOMADA RJ45 CAT 5E FÊMEA (CONECTOR M8V KEYSTONE)</t>
  </si>
  <si>
    <t>TOMADA RJ45 LCS² CAT6 MODULAR REF: 6 150 47 PIAL LEGRAND</t>
  </si>
  <si>
    <t>TORNEIRA BÓIA PARA CAIXA D'ÁGUA  DE 3/4"</t>
  </si>
  <si>
    <t>TORNEIRA BÓIA PARA CAIXA D'ÁGUA DE 1/2"</t>
  </si>
  <si>
    <t>TRANSMISSOR (RF) COMPATÍVEL COM RECEPTOR RF</t>
  </si>
  <si>
    <t>TRAVESSA CLICADA T24 ? 625 X 24 X 32MM</t>
  </si>
  <si>
    <t>TRIPÉ DE ILUMINAÇÃO</t>
  </si>
  <si>
    <t>TRIPÉ PARA FILMADORA</t>
  </si>
  <si>
    <t>TUBO CAPILAR PARA CONDICIONADOR DE AR ROLO C/3 METROS, DIÂMETRO INTERNO 0,031 MM</t>
  </si>
  <si>
    <t>TUBO DE COBRE PARA EQUIPAMENTO DE REFRIGERAÇÃO TIPO SPLIT DE DIÂMETRO DE 3/4? (PANQUECA DE 15 METROS)</t>
  </si>
  <si>
    <t>TUBO DE COBRE PARA EQUIPAMENTO DE REFRIGERAÇÃO TIPO SPLIT DE DIÂMETRO DE 5/8? (PANQUECA DE 15 METROS)</t>
  </si>
  <si>
    <t>TUBO DE PVC ROSCÁVEL DE 1.1/2", COM 3 M</t>
  </si>
  <si>
    <t>TUBO DE PVC ROSCÁVEL DE 1.1/4", COM 3 M</t>
  </si>
  <si>
    <t>TUBO DE PVC ROSCÁVEL DE 2", COM 3 M</t>
  </si>
  <si>
    <t>TUBO DE PVC SÉRIE NORMAL DE 50MM, PONTA BOLSA, COM 3 METROS</t>
  </si>
  <si>
    <t>TUBO ESPONJOSO DE 1/4" COM 2 METROS</t>
  </si>
  <si>
    <t>TUBO ESPONJOSO DE 3/4" COM 2 METROS</t>
  </si>
  <si>
    <t>TÁBUA DE CEDRINHO 300 X 30 X 2,5CM, APARELHADA</t>
  </si>
  <si>
    <t>VASO DE POLIETILENO 50CM X 37CM</t>
  </si>
  <si>
    <t>05.862.995/0001-13 - FLORICULTURA E FRUTICULTURA N. S. APARECIDA LTDA</t>
  </si>
  <si>
    <t>VASO DE POLIETILENO 70CM X 52CM</t>
  </si>
  <si>
    <t>VENEZIANA INDEVASSÁVEIS DE PORTA COM DUPLA MOLDURA, DE ALUMÍNIO ANODIZADO, 450X200MM</t>
  </si>
  <si>
    <t>42.961.053/0001-19 - 42.961.053 MARGO CATARINA DA SILVA RODRIGUES DE SOUSA</t>
  </si>
  <si>
    <t>VENTILADOR PARA CABINE</t>
  </si>
  <si>
    <t>29.739.737/0041-08 - ELEVADORES OTIS LTDA.</t>
  </si>
  <si>
    <t>VERNIZ INC. BRI. A BASE D'ÁGUA, SECAGEM RÁPIDA - 900ML</t>
  </si>
  <si>
    <t>12.677.558/0001-95 - WF RIO 2 COMÉRCIO E SERVIÇOS DE MANUT. E REPAROS EM EDIFICAÇÕES LTDA - EPP</t>
  </si>
  <si>
    <t>VÁLVULA DE DESCARGA DE MICTÓRIO DE 1/2" COM FECHAMENTO AUTOMÁTICO, ACABAMENTO CROMADO</t>
  </si>
  <si>
    <t>VÁLVULA DE ESCOAMENTO PARA TANQUE 1 1/2", EM METAL CROMADO</t>
  </si>
  <si>
    <t>VÁLVULA DE RETENÇÃO FUNDO DE POÇO DE METAL 1.1/4"</t>
  </si>
  <si>
    <t>VÁLVULA DE RETENÇÃO SCHRADER 1/4X1/4 SOLDA DE 10CM</t>
  </si>
  <si>
    <t>VÁLVULA DE RETENÇÃO VERTICAL DE METAL 2.1/2"</t>
  </si>
  <si>
    <t>ÁLCOOL ETÍLICO GEL 70%, ANTISSÉPTICO.</t>
  </si>
  <si>
    <t>ÓLEO DESENGRIPANTE SPRAY 300ML(LT)</t>
  </si>
  <si>
    <t>Cód.</t>
  </si>
  <si>
    <t xml:space="preserve"> </t>
  </si>
  <si>
    <t>UM</t>
  </si>
  <si>
    <t>Família</t>
  </si>
  <si>
    <t>Situação</t>
  </si>
  <si>
    <t>Acessórios de Banheiro</t>
  </si>
  <si>
    <t>Acessórios de Pintura</t>
  </si>
  <si>
    <t>Em Ata</t>
  </si>
  <si>
    <t>Chaves (Etapa Única 2022)</t>
  </si>
  <si>
    <t>Divisórias e Acessórios</t>
  </si>
  <si>
    <t>Fechaduras para Marcenaria</t>
  </si>
  <si>
    <t>Forro Modular</t>
  </si>
  <si>
    <t>Gesso e Acessórios</t>
  </si>
  <si>
    <t>Hidrossanitários</t>
  </si>
  <si>
    <t>Lã de Vidro</t>
  </si>
  <si>
    <t>Louças Hidráulicas</t>
  </si>
  <si>
    <t>Madeiras e Acessórios de Madeira</t>
  </si>
  <si>
    <t>Massa em Pó</t>
  </si>
  <si>
    <t>Metais Hidráulicos</t>
  </si>
  <si>
    <t>Mola Hidráulica</t>
  </si>
  <si>
    <t>Parafusos, Pregos e Metais de Marcenaria</t>
  </si>
  <si>
    <t>Piso Vinílico</t>
  </si>
  <si>
    <t>Reparos e Mecanismos de Acionamento</t>
  </si>
  <si>
    <t>Serralheria</t>
  </si>
  <si>
    <t>Tintas</t>
  </si>
  <si>
    <t>Uso Geral</t>
  </si>
  <si>
    <t>Vidro Incolor</t>
  </si>
  <si>
    <t>TRAVESSA CLICADA T24 ¿ 625 X 24 X 32MM</t>
  </si>
  <si>
    <t>ADESIVO DE CONTATO EXTRA COLA - GALÃO DE 3,2 ENTRE 3,5 L/2,8KG</t>
  </si>
  <si>
    <t>ACABAMENTO PARA VÁLVULA DE DESCARGA DOCOL, MODELO CLÁSSICA CROMADA, 1.1/2 E 1.1/4</t>
  </si>
  <si>
    <t>KIT COMANDO MONTREAL M9000 - MONTANA</t>
  </si>
  <si>
    <t>KIT DE ACIONAMENTO COMPLETO, PARA VEDAÇÃO DE VÁLVULA, DE 1 1/2</t>
  </si>
  <si>
    <t>KIT DE ACIONAMENTO COMPLETO, PARA VEDAÇÃO DE VÁLVULA, DE 1 1/4</t>
  </si>
  <si>
    <t>VEDAÇÃO ACIONADOR S FLUX CPD-08791 P/ VÁLVULA DE DESCARGA  SILENT FLUX</t>
  </si>
  <si>
    <t>ARGAMASSA COLANTE MULTIUSO, PARA ÁREA EXTERNA, SACO DE 20KG</t>
  </si>
  <si>
    <t xml:space="preserve">  </t>
  </si>
  <si>
    <t>KIT DESCARGA COMPLETA, MONTANA ELEGANCE BRANCO</t>
  </si>
  <si>
    <t>CAIBRO DE CAMBARA DE 5 X 5 X 300 CM</t>
  </si>
  <si>
    <t>ROLO DE 23CM DE LÃ DE POLIÉSTER, ALTURA 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</si>
</sst>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242424"/>
      <name val="Aptos Narrow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0">
    <xf numFmtId="0" fontId="0" fillId="0" borderId="0" xfId="0"/>
    <xf numFmtId="0" fontId="0" fillId="2" borderId="0" xfId="0" applyFill="1"/>
    <xf numFmtId="14" fontId="0" fillId="0" borderId="0" xfId="0" applyNumberFormat="1"/>
    <xf numFmtId="0" fontId="2" fillId="2" borderId="0" xfId="0" applyFont="1" applyFill="1"/>
    <xf numFmtId="0" fontId="2" fillId="2" borderId="2" xfId="0" applyFont="1" applyFill="1" applyBorder="1"/>
    <xf numFmtId="0" fontId="2" fillId="2" borderId="4" xfId="0" applyFont="1" applyFill="1" applyBorder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0" xfId="0" applyAlignment="1">
      <alignment wrapText="1"/>
    </xf>
    <xf numFmtId="0" fontId="0" fillId="2" borderId="0" xfId="0" applyFill="1" applyAlignment="1">
      <alignment horizontal="left" vertical="center"/>
    </xf>
    <xf numFmtId="22" fontId="0" fillId="0" borderId="0" xfId="0" applyNumberFormat="1"/>
    <xf numFmtId="0" fontId="0" fillId="2" borderId="0" xfId="0" applyFill="1" applyAlignment="1">
      <alignment vertical="center" wrapText="1"/>
    </xf>
    <xf numFmtId="44" fontId="0" fillId="0" borderId="0" xfId="1" applyFont="1"/>
    <xf numFmtId="22" fontId="0" fillId="0" borderId="0" xfId="0" applyNumberFormat="1" applyAlignment="1">
      <alignment vertical="center"/>
    </xf>
    <xf numFmtId="0" fontId="3" fillId="0" borderId="0" xfId="0" applyFont="1"/>
    <xf numFmtId="0" fontId="0" fillId="3" borderId="0" xfId="0" applyFill="1"/>
    <xf numFmtId="0" fontId="0" fillId="0" borderId="0" xfId="0" applyNumberFormat="1"/>
  </cellXfs>
  <cellStyles count="2">
    <cellStyle name="Moeda" xfId="1" builtinId="4"/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>
          <bgColor rgb="FFFF999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ill>
        <patternFill patternType="solid">
          <fgColor indexed="64"/>
          <bgColor theme="1"/>
        </patternFill>
      </fill>
    </dxf>
    <dxf>
      <numFmt numFmtId="0" formatCode="General"/>
    </dxf>
    <dxf>
      <numFmt numFmtId="19" formatCode="dd/mm/yyyy"/>
    </dxf>
    <dxf>
      <numFmt numFmtId="0" formatCode="General"/>
    </dxf>
    <dxf>
      <fill>
        <patternFill patternType="solid">
          <fgColor indexed="64"/>
          <bgColor theme="1"/>
        </patternFill>
      </fill>
    </dxf>
    <dxf>
      <numFmt numFmtId="0" formatCode="General"/>
    </dxf>
    <dxf>
      <numFmt numFmtId="19" formatCode="dd/mm/yyyy"/>
    </dxf>
    <dxf>
      <numFmt numFmtId="0" formatCode="General"/>
    </dxf>
    <dxf>
      <fill>
        <patternFill patternType="solid">
          <fgColor indexed="64"/>
          <bgColor theme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1"/>
        </patternFill>
      </fill>
      <alignment horizontal="general" vertical="center" textRotation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1"/>
        </patternFill>
      </fill>
      <alignment horizontal="general" vertical="center" textRotation="0" indent="0" justifyLastLine="0" shrinkToFit="0" readingOrder="0"/>
    </dxf>
  </dxfs>
  <tableStyles count="0" defaultTableStyle="TableStyleMedium2" defaultPivotStyle="PivotStyleLight16"/>
  <colors>
    <mruColors>
      <color rgb="FFFF9999"/>
      <color rgb="FFFF00FF"/>
      <color rgb="FFFF7C80"/>
      <color rgb="FF00FFFF"/>
      <color rgb="FFFF75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2" xr16:uid="{C45070B5-91FB-46B1-89CB-2973383C0C97}" autoFormatId="16" applyNumberFormats="0" applyBorderFormats="0" applyFontFormats="0" applyPatternFormats="0" applyAlignmentFormats="0" applyWidthHeightFormats="0">
  <queryTableRefresh nextId="19" unboundColumnsRight="1">
    <queryTableFields count="8">
      <queryTableField id="13" name="Cód" tableColumnId="1"/>
      <queryTableField id="2" name="Material" tableColumnId="2"/>
      <queryTableField id="10" name="U.M." tableColumnId="3"/>
      <queryTableField id="4" name="CMM" tableColumnId="4"/>
      <queryTableField id="14" name="Valor Unitário" tableColumnId="5"/>
      <queryTableField id="15" name="Quantidade Reservada" tableColumnId="7"/>
      <queryTableField id="11" name="Estoque" tableColumnId="6"/>
      <queryTableField id="9" dataBound="0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backgroundRefresh="0" connectionId="4" xr16:uid="{546AB2FD-346B-4C3D-B989-4A14D14515C7}" autoFormatId="16" applyNumberFormats="0" applyBorderFormats="0" applyFontFormats="0" applyPatternFormats="0" applyAlignmentFormats="0" applyWidthHeightFormats="0">
  <queryTableRefresh nextId="27">
    <queryTableFields count="7">
      <queryTableField id="21" name="Cód" tableColumnId="1"/>
      <queryTableField id="2" name="Material" tableColumnId="2"/>
      <queryTableField id="19" name="U.M." tableColumnId="3"/>
      <queryTableField id="5" name="CMM" tableColumnId="5"/>
      <queryTableField id="22" name="Valor Unitário" tableColumnId="6"/>
      <queryTableField id="23" name="Quantidade Reservada" tableColumnId="7"/>
      <queryTableField id="17" name="Estoque" tableColumnId="4"/>
    </queryTableFields>
    <queryTableDeletedFields count="1">
      <deletedField name="Estoque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backgroundRefresh="0" connectionId="1" xr16:uid="{EDC81410-ED82-4375-8B12-E7A4BD48120E}" autoFormatId="16" applyNumberFormats="0" applyBorderFormats="0" applyFontFormats="0" applyPatternFormats="0" applyAlignmentFormats="0" applyWidthHeightFormats="0">
  <queryTableRefresh nextId="19">
    <queryTableFields count="7">
      <queryTableField id="9" name="Cód" tableColumnId="1"/>
      <queryTableField id="2" name="Material" tableColumnId="2"/>
      <queryTableField id="10" name="U.M." tableColumnId="3"/>
      <queryTableField id="6" name="CMM" tableColumnId="6"/>
      <queryTableField id="15" name="Valor Unitário" tableColumnId="4"/>
      <queryTableField id="16" name="Quantidade Reservada" tableColumnId="7"/>
      <queryTableField id="5" name="Estoqu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172F45-0B54-4039-905D-154E643CC6CE}" name="CENTRAL" displayName="CENTRAL" ref="A1:H1224" tableType="queryTable" totalsRowShown="0" headerRowDxfId="33">
  <autoFilter ref="A1:H1224" xr:uid="{CE172F45-0B54-4039-905D-154E643CC6CE}"/>
  <tableColumns count="8">
    <tableColumn id="1" xr3:uid="{BAAD9578-6823-4E9D-92AE-1EEC4AE7C712}" uniqueName="1" name="Cód" queryTableFieldId="13"/>
    <tableColumn id="2" xr3:uid="{6A922D29-AA40-47D3-8D8F-B365B27843F6}" uniqueName="2" name="Material" queryTableFieldId="2" dataDxfId="32"/>
    <tableColumn id="3" xr3:uid="{08B8EFB6-2723-4C98-A45D-212C5F429288}" uniqueName="3" name="U.M." queryTableFieldId="10" dataDxfId="31"/>
    <tableColumn id="4" xr3:uid="{96E95A09-32C4-4D48-8DDC-702270C8924B}" uniqueName="4" name="CMM" queryTableFieldId="4" dataDxfId="30"/>
    <tableColumn id="5" xr3:uid="{51A5B029-0BD3-4E8B-9FB2-84A59D51F07D}" uniqueName="5" name="Valor Unitário" queryTableFieldId="14" dataDxfId="4" dataCellStyle="Moeda"/>
    <tableColumn id="7" xr3:uid="{B42D1916-8B3F-425F-9808-95CA262D3D1D}" uniqueName="7" name="Quantidade Reservada" queryTableFieldId="15"/>
    <tableColumn id="6" xr3:uid="{C42BE550-17AA-456B-9464-88251375D97D}" uniqueName="6" name="Estoque" queryTableFieldId="11"/>
    <tableColumn id="9" xr3:uid="{4E6D05B5-7624-4F14-B3F8-67C68B684F1B}" uniqueName="9" name="CMM _x000a_TOTAL" queryTableFieldId="9" dataDxfId="29">
      <calculatedColumnFormula>IFERROR(VLOOKUP(CENTRAL[[#This Row],[Cód]],SUB[#All],4,0),0) + CENTRAL[[#This Row],[CMM]]</calculatedColumnFormula>
    </tableColumn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B510FD-BA74-4CCC-9922-1B70A05F5E6E}" name="SUB" displayName="SUB" ref="A1:G632" tableType="queryTable" totalsRowShown="0" headerRowDxfId="28">
  <autoFilter ref="A1:G632" xr:uid="{34B510FD-BA74-4CCC-9922-1B70A05F5E6E}"/>
  <sortState xmlns:xlrd2="http://schemas.microsoft.com/office/spreadsheetml/2017/richdata2" ref="A2:G632">
    <sortCondition ref="B1:B631"/>
  </sortState>
  <tableColumns count="7">
    <tableColumn id="1" xr3:uid="{A71D20A1-8D0B-4D19-8FEA-6E4CBA97CF19}" uniqueName="1" name="Cód" queryTableFieldId="21"/>
    <tableColumn id="2" xr3:uid="{6FC57271-0738-4074-A8AD-8EBEE4ED3292}" uniqueName="2" name="Material" queryTableFieldId="2" dataDxfId="27"/>
    <tableColumn id="3" xr3:uid="{0191523C-E447-4FD1-B67C-F3BC3282AFED}" uniqueName="3" name="U.M." queryTableFieldId="19" dataDxfId="26"/>
    <tableColumn id="5" xr3:uid="{DB313F45-26D6-465B-B92A-CAA664DA4657}" uniqueName="5" name="CMM" queryTableFieldId="5" dataDxfId="25"/>
    <tableColumn id="6" xr3:uid="{9DB62613-D755-46E8-B834-254F83A4B382}" uniqueName="6" name="Valor Unitário" queryTableFieldId="22" dataDxfId="3" dataCellStyle="Moeda"/>
    <tableColumn id="7" xr3:uid="{77404234-E466-4D95-B27C-6060A8EF488A}" uniqueName="7" name="Quantidade Reservada" queryTableFieldId="23"/>
    <tableColumn id="4" xr3:uid="{1B4F5A92-0EC8-409B-8A2E-CB2154D15E46}" uniqueName="4" name="Estoque" queryTableFieldId="17" dataDxfId="24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9CF319-A7B6-42E4-A7F8-2DC722AABE81}" name="_2022" displayName="_2022" ref="A1:H280" totalsRowShown="0" headerRowDxfId="23">
  <autoFilter ref="A1:H280" xr:uid="{989CF319-A7B6-42E4-A7F8-2DC722AABE81}"/>
  <tableColumns count="8">
    <tableColumn id="1" xr3:uid="{6DA00E21-EE68-4227-8969-784DBA90996F}" name="Código do_x000a_Material"/>
    <tableColumn id="2" xr3:uid="{227F41AA-2C37-43DD-98B4-687D5BC2FB8F}" name="Descrição do Material" dataDxfId="22"/>
    <tableColumn id="3" xr3:uid="{32110758-0CC9-4B22-8F47-686A2D00E65C}" name="Data da Última Compra" dataDxfId="21"/>
    <tableColumn id="4" xr3:uid="{75110272-0F2C-47F1-82D9-93A355EF86A8}" name="Último Fornecedor" dataDxfId="20"/>
    <tableColumn id="5" xr3:uid="{EE1381A7-993F-4E74-BE13-EFAE55976892}" name="Valor Unitário da_x000a_Última Compra"/>
    <tableColumn id="9" xr3:uid="{26A5A2E5-CC1A-4188-9AA5-BB3970C72E1C}" name="Estoque_x000a_Atual"/>
    <tableColumn id="7" xr3:uid="{8EC2320C-1447-4C7A-83AE-F7A0C660142C}" name="Consumo_x000a_do Período"/>
    <tableColumn id="8" xr3:uid="{E7848438-F21E-42DA-806A-61534982D9C4}" name="Consumo Médio_x000a_do Período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79D3C24-1982-43B3-AE24-09689A84FA53}" name="_2023" displayName="_2023" ref="A1:H1241" totalsRowShown="0" headerRowDxfId="19">
  <autoFilter ref="A1:H1241" xr:uid="{679D3C24-1982-43B3-AE24-09689A84FA53}"/>
  <tableColumns count="8">
    <tableColumn id="1" xr3:uid="{AAAFA755-02B9-44D7-8FDF-B93A559B5F91}" name="Código do_x000a_Material"/>
    <tableColumn id="2" xr3:uid="{E0FDD3A5-E608-4E79-A477-147CEF554C99}" name="Descrição do Material" dataDxfId="18"/>
    <tableColumn id="3" xr3:uid="{DA90E97F-B5AE-4DA6-8C6A-679D9252C0BA}" name="Data da Última Compra" dataDxfId="17"/>
    <tableColumn id="4" xr3:uid="{F83A0AAD-5A96-45F0-919F-476F5F06BCD0}" name="Último Fornecedor" dataDxfId="16"/>
    <tableColumn id="5" xr3:uid="{60689EE5-BDEE-4D31-BA4C-A86F5C26391D}" name="Valor Unitário da_x000a_Última Compra"/>
    <tableColumn id="9" xr3:uid="{ED00314F-EEE4-4169-94D8-A20E3B02CBBA}" name="Estoque_x000a_Atual"/>
    <tableColumn id="7" xr3:uid="{A1928E35-C946-4C7E-B495-0803EA8D84EA}" name="Consumo_x000a_do Período"/>
    <tableColumn id="8" xr3:uid="{8244BDE5-4C65-48E9-8CC4-5386772412FE}" name="Consumo Médio_x000a_do Período"/>
  </tableColumns>
  <tableStyleInfo name="TableStyleMedium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BC5538B-C886-48F2-BF7E-9EA160667ABD}" name="BENFICA" displayName="BENFICA" ref="A1:G28" tableType="queryTable" totalsRowShown="0" headerRowDxfId="15">
  <autoFilter ref="A1:G28" xr:uid="{5BC5538B-C886-48F2-BF7E-9EA160667ABD}"/>
  <tableColumns count="7">
    <tableColumn id="1" xr3:uid="{C007F5E8-024A-40BD-971A-4BB383B47573}" uniqueName="1" name="Cód" queryTableFieldId="9"/>
    <tableColumn id="2" xr3:uid="{D11A16BE-180A-4F4F-A321-99AD0285A726}" uniqueName="2" name="Material" queryTableFieldId="2" dataDxfId="2"/>
    <tableColumn id="3" xr3:uid="{3979FF2B-1485-4194-85E7-C3E01056CEE1}" uniqueName="3" name="U.M." queryTableFieldId="10" dataDxfId="1"/>
    <tableColumn id="6" xr3:uid="{6C7C203D-DDB3-4D76-9B6C-A60EB311C958}" uniqueName="6" name="CMM" queryTableFieldId="6"/>
    <tableColumn id="4" xr3:uid="{F3637829-8E10-48E2-A5AA-CE0050BAF6ED}" uniqueName="4" name="Valor Unitário" queryTableFieldId="15" dataDxfId="0" dataCellStyle="Moeda"/>
    <tableColumn id="7" xr3:uid="{77C3A6AE-E8F8-47AC-BEA7-68A80A469060}" uniqueName="7" name="Quantidade Reservada" queryTableFieldId="16"/>
    <tableColumn id="5" xr3:uid="{A73200BE-BCE4-4E46-9E37-3CD95E86C5E6}" uniqueName="5" name="Estoque" queryTableFieldId="5"/>
  </tableColumns>
  <tableStyleInfo name="TableStyleMedium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137623E-3984-4E6E-AF1C-F850C9156BC4}" name="Tabela8" displayName="Tabela8" ref="A1:G1212" totalsRowShown="0" headerRowDxfId="14" dataDxfId="13">
  <autoFilter ref="A1:G1212" xr:uid="{1137623E-3984-4E6E-AF1C-F850C9156BC4}"/>
  <sortState xmlns:xlrd2="http://schemas.microsoft.com/office/spreadsheetml/2017/richdata2" ref="A2:G1212">
    <sortCondition ref="E1:E1212"/>
  </sortState>
  <tableColumns count="7">
    <tableColumn id="1" xr3:uid="{F3EB5386-E3BA-445A-9935-C485BDFDF6C0}" name="Cód." dataDxfId="12"/>
    <tableColumn id="2" xr3:uid="{59920B16-E08C-4282-B2D2-B68C6D24A4B3}" name=" " dataDxfId="11"/>
    <tableColumn id="3" xr3:uid="{61A398A6-1446-4FD1-ABA7-EA7679F2B238}" name="UM" dataDxfId="10"/>
    <tableColumn id="4" xr3:uid="{44214CBA-4907-4F33-B375-F5C1DC1E8EF4}" name="Estoque" dataDxfId="9">
      <calculatedColumnFormula>VLOOKUP(Tabela8[[#This Row],[Cód.]],#REF!,7,0)</calculatedColumnFormula>
    </tableColumn>
    <tableColumn id="5" xr3:uid="{7954F61F-B440-4563-9519-A6B8770A3F3C}" name="Família" dataDxfId="8"/>
    <tableColumn id="6" xr3:uid="{4F9C9E27-2758-4D03-98E8-73833D3DE59A}" name="Situação" dataDxfId="7"/>
    <tableColumn id="8" xr3:uid="{0D6672DB-071C-4BED-9929-3D45714C8A7A}" name="CMM" dataDxfId="6">
      <calculatedColumnFormula>VLOOKUP(Tabela8[[#This Row],[Cód.]],CENTRAL[#All],9,0)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95DFF-0878-40EF-8194-74795E453155}">
  <sheetPr codeName="Planilha1">
    <pageSetUpPr fitToPage="1"/>
  </sheetPr>
  <dimension ref="A1:M1224"/>
  <sheetViews>
    <sheetView showGridLines="0" tabSelected="1" zoomScaleNormal="100" workbookViewId="0">
      <selection activeCell="C9" sqref="C9"/>
    </sheetView>
  </sheetViews>
  <sheetFormatPr defaultRowHeight="15" x14ac:dyDescent="0.25"/>
  <cols>
    <col min="1" max="1" width="10" bestFit="1" customWidth="1"/>
    <col min="2" max="2" width="81.140625" bestFit="1" customWidth="1"/>
    <col min="3" max="3" width="7.7109375" bestFit="1" customWidth="1"/>
    <col min="4" max="4" width="10" bestFit="1" customWidth="1"/>
    <col min="5" max="5" width="12.140625" bestFit="1" customWidth="1"/>
    <col min="6" max="6" width="13.7109375" bestFit="1" customWidth="1"/>
    <col min="7" max="7" width="10.42578125" bestFit="1" customWidth="1"/>
    <col min="8" max="8" width="10" bestFit="1" customWidth="1"/>
    <col min="9" max="9" width="10.42578125" bestFit="1" customWidth="1"/>
    <col min="10" max="10" width="10" bestFit="1" customWidth="1"/>
    <col min="11" max="11" width="16.7109375" customWidth="1"/>
    <col min="13" max="13" width="24.28515625" bestFit="1" customWidth="1"/>
    <col min="14" max="14" width="10.28515625" bestFit="1" customWidth="1"/>
    <col min="15" max="15" width="15.85546875" bestFit="1" customWidth="1"/>
    <col min="16" max="16" width="11.28515625" bestFit="1" customWidth="1"/>
    <col min="18" max="18" width="11.28515625" bestFit="1" customWidth="1"/>
  </cols>
  <sheetData>
    <row r="1" spans="1:13" ht="30" x14ac:dyDescent="0.25">
      <c r="A1" s="6" t="s">
        <v>0</v>
      </c>
      <c r="B1" s="6" t="s">
        <v>1</v>
      </c>
      <c r="C1" s="12" t="s">
        <v>2</v>
      </c>
      <c r="D1" s="12" t="s">
        <v>3</v>
      </c>
      <c r="E1" s="14" t="s">
        <v>4</v>
      </c>
      <c r="F1" s="14" t="s">
        <v>5</v>
      </c>
      <c r="G1" s="12" t="s">
        <v>6</v>
      </c>
      <c r="H1" s="7" t="s">
        <v>7</v>
      </c>
      <c r="K1" s="16">
        <v>46153.543692129628</v>
      </c>
      <c r="M1" s="13"/>
    </row>
    <row r="2" spans="1:13" x14ac:dyDescent="0.25">
      <c r="A2">
        <v>200007198</v>
      </c>
      <c r="B2" t="s">
        <v>8</v>
      </c>
      <c r="C2" t="s">
        <v>9</v>
      </c>
      <c r="D2">
        <v>2</v>
      </c>
      <c r="E2" s="15">
        <v>1.97</v>
      </c>
      <c r="F2">
        <v>0</v>
      </c>
      <c r="G2">
        <v>92</v>
      </c>
      <c r="H2">
        <f>IFERROR(VLOOKUP(CENTRAL[[#This Row],[Cód]],SUB[#All],4,0),0) + CENTRAL[[#This Row],[CMM]]</f>
        <v>2</v>
      </c>
    </row>
    <row r="3" spans="1:13" x14ac:dyDescent="0.25">
      <c r="A3">
        <v>200006043</v>
      </c>
      <c r="B3" t="s">
        <v>10</v>
      </c>
      <c r="C3" t="s">
        <v>9</v>
      </c>
      <c r="D3">
        <v>0</v>
      </c>
      <c r="E3" s="15">
        <v>0</v>
      </c>
      <c r="F3">
        <v>0</v>
      </c>
      <c r="G3">
        <v>0</v>
      </c>
      <c r="H3">
        <f>IFERROR(VLOOKUP(CENTRAL[[#This Row],[Cód]],SUB[#All],4,0),0) + CENTRAL[[#This Row],[CMM]]</f>
        <v>0</v>
      </c>
    </row>
    <row r="4" spans="1:13" x14ac:dyDescent="0.25">
      <c r="A4">
        <v>200001095</v>
      </c>
      <c r="B4" t="s">
        <v>11</v>
      </c>
      <c r="C4" t="s">
        <v>9</v>
      </c>
      <c r="D4">
        <v>2</v>
      </c>
      <c r="E4" s="15">
        <v>2.31</v>
      </c>
      <c r="F4">
        <v>8</v>
      </c>
      <c r="G4">
        <v>0</v>
      </c>
      <c r="H4">
        <f>IFERROR(VLOOKUP(CENTRAL[[#This Row],[Cód]],SUB[#All],4,0),0) + CENTRAL[[#This Row],[CMM]]</f>
        <v>2</v>
      </c>
    </row>
    <row r="5" spans="1:13" x14ac:dyDescent="0.25">
      <c r="A5">
        <v>200000006</v>
      </c>
      <c r="B5" t="s">
        <v>12</v>
      </c>
      <c r="C5" t="s">
        <v>9</v>
      </c>
      <c r="D5">
        <v>15.75</v>
      </c>
      <c r="E5" s="15">
        <v>5.13</v>
      </c>
      <c r="F5">
        <v>0</v>
      </c>
      <c r="G5">
        <v>553</v>
      </c>
      <c r="H5">
        <f>IFERROR(VLOOKUP(CENTRAL[[#This Row],[Cód]],SUB[#All],4,0),0) + CENTRAL[[#This Row],[CMM]]</f>
        <v>20.329999999999998</v>
      </c>
    </row>
    <row r="6" spans="1:13" x14ac:dyDescent="0.25">
      <c r="A6">
        <v>200003628</v>
      </c>
      <c r="B6" t="s">
        <v>13</v>
      </c>
      <c r="C6" t="s">
        <v>9</v>
      </c>
      <c r="D6">
        <v>0</v>
      </c>
      <c r="E6" s="15">
        <v>809.31</v>
      </c>
      <c r="F6">
        <v>0</v>
      </c>
      <c r="G6">
        <v>60</v>
      </c>
      <c r="H6">
        <f>IFERROR(VLOOKUP(CENTRAL[[#This Row],[Cód]],SUB[#All],4,0),0) + CENTRAL[[#This Row],[CMM]]</f>
        <v>0</v>
      </c>
    </row>
    <row r="7" spans="1:13" x14ac:dyDescent="0.25">
      <c r="A7">
        <v>200006966</v>
      </c>
      <c r="B7" t="s">
        <v>14</v>
      </c>
      <c r="C7" t="s">
        <v>9</v>
      </c>
      <c r="D7">
        <v>0</v>
      </c>
      <c r="E7" s="15">
        <v>0</v>
      </c>
      <c r="F7">
        <v>0</v>
      </c>
      <c r="G7">
        <v>0</v>
      </c>
      <c r="H7">
        <f>IFERROR(VLOOKUP(CENTRAL[[#This Row],[Cód]],SUB[#All],4,0),0) + CENTRAL[[#This Row],[CMM]]</f>
        <v>0</v>
      </c>
    </row>
    <row r="8" spans="1:13" x14ac:dyDescent="0.25">
      <c r="A8">
        <v>200001007</v>
      </c>
      <c r="B8" t="s">
        <v>15</v>
      </c>
      <c r="C8" t="s">
        <v>9</v>
      </c>
      <c r="D8">
        <v>0</v>
      </c>
      <c r="E8" s="15">
        <v>0</v>
      </c>
      <c r="F8">
        <v>0</v>
      </c>
      <c r="G8">
        <v>0</v>
      </c>
      <c r="H8">
        <f>IFERROR(VLOOKUP(CENTRAL[[#This Row],[Cód]],SUB[#All],4,0),0) + CENTRAL[[#This Row],[CMM]]</f>
        <v>0</v>
      </c>
    </row>
    <row r="9" spans="1:13" x14ac:dyDescent="0.25">
      <c r="A9">
        <v>200003629</v>
      </c>
      <c r="B9" t="s">
        <v>16</v>
      </c>
      <c r="C9" t="s">
        <v>9</v>
      </c>
      <c r="D9">
        <v>0.91</v>
      </c>
      <c r="E9" s="15">
        <v>121.83</v>
      </c>
      <c r="F9">
        <v>0</v>
      </c>
      <c r="G9">
        <v>41</v>
      </c>
      <c r="H9">
        <f>IFERROR(VLOOKUP(CENTRAL[[#This Row],[Cód]],SUB[#All],4,0),0) + CENTRAL[[#This Row],[CMM]]</f>
        <v>1.07</v>
      </c>
    </row>
    <row r="10" spans="1:13" x14ac:dyDescent="0.25">
      <c r="A10">
        <v>200006424</v>
      </c>
      <c r="B10" t="s">
        <v>17</v>
      </c>
      <c r="C10" t="s">
        <v>9</v>
      </c>
      <c r="D10">
        <v>0</v>
      </c>
      <c r="E10" s="15">
        <v>0</v>
      </c>
      <c r="F10">
        <v>0</v>
      </c>
      <c r="G10">
        <v>0</v>
      </c>
      <c r="H10">
        <f>IFERROR(VLOOKUP(CENTRAL[[#This Row],[Cód]],SUB[#All],4,0),0) + CENTRAL[[#This Row],[CMM]]</f>
        <v>0</v>
      </c>
    </row>
    <row r="11" spans="1:13" x14ac:dyDescent="0.25">
      <c r="A11">
        <v>200006425</v>
      </c>
      <c r="B11" t="s">
        <v>18</v>
      </c>
      <c r="C11" t="s">
        <v>9</v>
      </c>
      <c r="D11">
        <v>0</v>
      </c>
      <c r="E11" s="15">
        <v>1059</v>
      </c>
      <c r="F11">
        <v>0</v>
      </c>
      <c r="G11">
        <v>1</v>
      </c>
      <c r="H11">
        <f>IFERROR(VLOOKUP(CENTRAL[[#This Row],[Cód]],SUB[#All],4,0),0) + CENTRAL[[#This Row],[CMM]]</f>
        <v>0</v>
      </c>
    </row>
    <row r="12" spans="1:13" x14ac:dyDescent="0.25">
      <c r="A12">
        <v>200001907</v>
      </c>
      <c r="B12" t="s">
        <v>19</v>
      </c>
      <c r="C12" t="s">
        <v>9</v>
      </c>
      <c r="D12">
        <v>0</v>
      </c>
      <c r="E12" s="15">
        <v>0</v>
      </c>
      <c r="F12">
        <v>0</v>
      </c>
      <c r="G12">
        <v>0</v>
      </c>
      <c r="H12">
        <f>IFERROR(VLOOKUP(CENTRAL[[#This Row],[Cód]],SUB[#All],4,0),0) + CENTRAL[[#This Row],[CMM]]</f>
        <v>0</v>
      </c>
    </row>
    <row r="13" spans="1:13" x14ac:dyDescent="0.25">
      <c r="A13">
        <v>200004676</v>
      </c>
      <c r="B13" t="s">
        <v>20</v>
      </c>
      <c r="C13" t="s">
        <v>9</v>
      </c>
      <c r="D13">
        <v>0.57999999999999996</v>
      </c>
      <c r="E13" s="15">
        <v>122.71</v>
      </c>
      <c r="F13">
        <v>0</v>
      </c>
      <c r="G13">
        <v>106</v>
      </c>
      <c r="H13">
        <f>IFERROR(VLOOKUP(CENTRAL[[#This Row],[Cód]],SUB[#All],4,0),0) + CENTRAL[[#This Row],[CMM]]</f>
        <v>0.65999999999999992</v>
      </c>
    </row>
    <row r="14" spans="1:13" x14ac:dyDescent="0.25">
      <c r="A14">
        <v>200004676</v>
      </c>
      <c r="B14" t="s">
        <v>20</v>
      </c>
      <c r="C14" t="s">
        <v>9</v>
      </c>
      <c r="D14">
        <v>0.57999999999999996</v>
      </c>
      <c r="E14" s="15">
        <v>0</v>
      </c>
      <c r="F14">
        <v>0</v>
      </c>
      <c r="G14">
        <v>0</v>
      </c>
      <c r="H14">
        <f>IFERROR(VLOOKUP(CENTRAL[[#This Row],[Cód]],SUB[#All],4,0),0) + CENTRAL[[#This Row],[CMM]]</f>
        <v>0.65999999999999992</v>
      </c>
    </row>
    <row r="15" spans="1:13" x14ac:dyDescent="0.25">
      <c r="A15">
        <v>200000012</v>
      </c>
      <c r="B15" t="s">
        <v>21</v>
      </c>
      <c r="C15" t="s">
        <v>9</v>
      </c>
      <c r="D15">
        <v>0</v>
      </c>
      <c r="E15" s="15">
        <v>8.9</v>
      </c>
      <c r="F15">
        <v>0</v>
      </c>
      <c r="G15">
        <v>25</v>
      </c>
      <c r="H15">
        <f>IFERROR(VLOOKUP(CENTRAL[[#This Row],[Cód]],SUB[#All],4,0),0) + CENTRAL[[#This Row],[CMM]]</f>
        <v>0</v>
      </c>
    </row>
    <row r="16" spans="1:13" x14ac:dyDescent="0.25">
      <c r="A16">
        <v>200000013</v>
      </c>
      <c r="B16" t="s">
        <v>22</v>
      </c>
      <c r="C16" t="s">
        <v>9</v>
      </c>
      <c r="D16">
        <v>0</v>
      </c>
      <c r="E16" s="15">
        <v>8.5</v>
      </c>
      <c r="F16">
        <v>0</v>
      </c>
      <c r="G16">
        <v>13</v>
      </c>
      <c r="H16">
        <f>IFERROR(VLOOKUP(CENTRAL[[#This Row],[Cód]],SUB[#All],4,0),0) + CENTRAL[[#This Row],[CMM]]</f>
        <v>0</v>
      </c>
    </row>
    <row r="17" spans="1:8" x14ac:dyDescent="0.25">
      <c r="A17">
        <v>200000014</v>
      </c>
      <c r="B17" t="s">
        <v>23</v>
      </c>
      <c r="C17" t="s">
        <v>9</v>
      </c>
      <c r="D17">
        <v>0</v>
      </c>
      <c r="E17" s="15">
        <v>9.5</v>
      </c>
      <c r="F17">
        <v>0</v>
      </c>
      <c r="G17">
        <v>19</v>
      </c>
      <c r="H17">
        <f>IFERROR(VLOOKUP(CENTRAL[[#This Row],[Cód]],SUB[#All],4,0),0) + CENTRAL[[#This Row],[CMM]]</f>
        <v>0</v>
      </c>
    </row>
    <row r="18" spans="1:8" x14ac:dyDescent="0.25">
      <c r="A18">
        <v>200000015</v>
      </c>
      <c r="B18" t="s">
        <v>24</v>
      </c>
      <c r="C18" t="s">
        <v>9</v>
      </c>
      <c r="D18">
        <v>2.41</v>
      </c>
      <c r="E18" s="15">
        <v>42.27</v>
      </c>
      <c r="F18">
        <v>0</v>
      </c>
      <c r="G18">
        <v>4</v>
      </c>
      <c r="H18">
        <f>IFERROR(VLOOKUP(CENTRAL[[#This Row],[Cód]],SUB[#All],4,0),0) + CENTRAL[[#This Row],[CMM]]</f>
        <v>2.99</v>
      </c>
    </row>
    <row r="19" spans="1:8" x14ac:dyDescent="0.25">
      <c r="A19">
        <v>200005722</v>
      </c>
      <c r="B19" t="s">
        <v>25</v>
      </c>
      <c r="C19" t="s">
        <v>9</v>
      </c>
      <c r="D19">
        <v>0</v>
      </c>
      <c r="E19" s="15">
        <v>0</v>
      </c>
      <c r="F19">
        <v>0</v>
      </c>
      <c r="G19">
        <v>0</v>
      </c>
      <c r="H19">
        <f>IFERROR(VLOOKUP(CENTRAL[[#This Row],[Cód]],SUB[#All],4,0),0) + CENTRAL[[#This Row],[CMM]]</f>
        <v>0</v>
      </c>
    </row>
    <row r="20" spans="1:8" x14ac:dyDescent="0.25">
      <c r="A20">
        <v>200006044</v>
      </c>
      <c r="B20" t="s">
        <v>26</v>
      </c>
      <c r="C20" t="s">
        <v>9</v>
      </c>
      <c r="D20">
        <v>0</v>
      </c>
      <c r="E20" s="15">
        <v>0</v>
      </c>
      <c r="F20">
        <v>0</v>
      </c>
      <c r="G20">
        <v>0</v>
      </c>
      <c r="H20">
        <f>IFERROR(VLOOKUP(CENTRAL[[#This Row],[Cód]],SUB[#All],4,0),0) + CENTRAL[[#This Row],[CMM]]</f>
        <v>0</v>
      </c>
    </row>
    <row r="21" spans="1:8" x14ac:dyDescent="0.25">
      <c r="A21">
        <v>200003630</v>
      </c>
      <c r="B21" t="s">
        <v>27</v>
      </c>
      <c r="C21" t="s">
        <v>9</v>
      </c>
      <c r="D21">
        <v>0</v>
      </c>
      <c r="E21" s="15">
        <v>0</v>
      </c>
      <c r="F21">
        <v>0</v>
      </c>
      <c r="G21">
        <v>0</v>
      </c>
      <c r="H21">
        <f>IFERROR(VLOOKUP(CENTRAL[[#This Row],[Cód]],SUB[#All],4,0),0) + CENTRAL[[#This Row],[CMM]]</f>
        <v>0.16</v>
      </c>
    </row>
    <row r="22" spans="1:8" x14ac:dyDescent="0.25">
      <c r="A22">
        <v>200003631</v>
      </c>
      <c r="B22" t="s">
        <v>28</v>
      </c>
      <c r="C22" t="s">
        <v>9</v>
      </c>
      <c r="D22">
        <v>0</v>
      </c>
      <c r="E22" s="15">
        <v>55.93</v>
      </c>
      <c r="F22">
        <v>0</v>
      </c>
      <c r="G22">
        <v>1</v>
      </c>
      <c r="H22">
        <f>IFERROR(VLOOKUP(CENTRAL[[#This Row],[Cód]],SUB[#All],4,0),0) + CENTRAL[[#This Row],[CMM]]</f>
        <v>0.08</v>
      </c>
    </row>
    <row r="23" spans="1:8" x14ac:dyDescent="0.25">
      <c r="A23">
        <v>200003632</v>
      </c>
      <c r="B23" t="s">
        <v>29</v>
      </c>
      <c r="C23" t="s">
        <v>9</v>
      </c>
      <c r="D23">
        <v>0.08</v>
      </c>
      <c r="E23" s="15">
        <v>104.9</v>
      </c>
      <c r="F23">
        <v>0</v>
      </c>
      <c r="G23">
        <v>3</v>
      </c>
      <c r="H23">
        <f>IFERROR(VLOOKUP(CENTRAL[[#This Row],[Cód]],SUB[#All],4,0),0) + CENTRAL[[#This Row],[CMM]]</f>
        <v>0.16</v>
      </c>
    </row>
    <row r="24" spans="1:8" x14ac:dyDescent="0.25">
      <c r="A24">
        <v>200003633</v>
      </c>
      <c r="B24" t="s">
        <v>30</v>
      </c>
      <c r="C24" t="s">
        <v>9</v>
      </c>
      <c r="D24">
        <v>0</v>
      </c>
      <c r="E24" s="15">
        <v>66.88</v>
      </c>
      <c r="F24">
        <v>0</v>
      </c>
      <c r="G24">
        <v>9</v>
      </c>
      <c r="H24">
        <f>IFERROR(VLOOKUP(CENTRAL[[#This Row],[Cód]],SUB[#All],4,0),0) + CENTRAL[[#This Row],[CMM]]</f>
        <v>0</v>
      </c>
    </row>
    <row r="25" spans="1:8" x14ac:dyDescent="0.25">
      <c r="A25">
        <v>200003584</v>
      </c>
      <c r="B25" t="s">
        <v>31</v>
      </c>
      <c r="C25" t="s">
        <v>9</v>
      </c>
      <c r="D25">
        <v>0</v>
      </c>
      <c r="E25" s="15">
        <v>8</v>
      </c>
      <c r="F25">
        <v>0</v>
      </c>
      <c r="G25">
        <v>2</v>
      </c>
      <c r="H25">
        <f>IFERROR(VLOOKUP(CENTRAL[[#This Row],[Cód]],SUB[#All],4,0),0) + CENTRAL[[#This Row],[CMM]]</f>
        <v>0</v>
      </c>
    </row>
    <row r="26" spans="1:8" x14ac:dyDescent="0.25">
      <c r="A26">
        <v>200003585</v>
      </c>
      <c r="B26" t="s">
        <v>32</v>
      </c>
      <c r="C26" t="s">
        <v>9</v>
      </c>
      <c r="D26">
        <v>0.08</v>
      </c>
      <c r="E26" s="15">
        <v>20.27</v>
      </c>
      <c r="F26">
        <v>0</v>
      </c>
      <c r="G26">
        <v>3</v>
      </c>
      <c r="H26">
        <f>IFERROR(VLOOKUP(CENTRAL[[#This Row],[Cód]],SUB[#All],4,0),0) + CENTRAL[[#This Row],[CMM]]</f>
        <v>0.24</v>
      </c>
    </row>
    <row r="27" spans="1:8" x14ac:dyDescent="0.25">
      <c r="A27">
        <v>200003586</v>
      </c>
      <c r="B27" t="s">
        <v>33</v>
      </c>
      <c r="C27" t="s">
        <v>9</v>
      </c>
      <c r="D27">
        <v>1.25</v>
      </c>
      <c r="E27" s="15">
        <v>15.43</v>
      </c>
      <c r="F27">
        <v>0</v>
      </c>
      <c r="G27">
        <v>8</v>
      </c>
      <c r="H27">
        <f>IFERROR(VLOOKUP(CENTRAL[[#This Row],[Cód]],SUB[#All],4,0),0) + CENTRAL[[#This Row],[CMM]]</f>
        <v>1.5</v>
      </c>
    </row>
    <row r="28" spans="1:8" x14ac:dyDescent="0.25">
      <c r="A28">
        <v>200003587</v>
      </c>
      <c r="B28" t="s">
        <v>34</v>
      </c>
      <c r="C28" t="s">
        <v>9</v>
      </c>
      <c r="D28">
        <v>0</v>
      </c>
      <c r="E28" s="15">
        <v>30.54</v>
      </c>
      <c r="F28">
        <v>0</v>
      </c>
      <c r="G28">
        <v>4</v>
      </c>
      <c r="H28">
        <f>IFERROR(VLOOKUP(CENTRAL[[#This Row],[Cód]],SUB[#All],4,0),0) + CENTRAL[[#This Row],[CMM]]</f>
        <v>0</v>
      </c>
    </row>
    <row r="29" spans="1:8" x14ac:dyDescent="0.25">
      <c r="A29">
        <v>200003588</v>
      </c>
      <c r="B29" t="s">
        <v>35</v>
      </c>
      <c r="C29" t="s">
        <v>9</v>
      </c>
      <c r="D29">
        <v>0</v>
      </c>
      <c r="E29" s="15">
        <v>20</v>
      </c>
      <c r="F29">
        <v>0</v>
      </c>
      <c r="G29">
        <v>2</v>
      </c>
      <c r="H29">
        <f>IFERROR(VLOOKUP(CENTRAL[[#This Row],[Cód]],SUB[#All],4,0),0) + CENTRAL[[#This Row],[CMM]]</f>
        <v>0</v>
      </c>
    </row>
    <row r="30" spans="1:8" x14ac:dyDescent="0.25">
      <c r="A30">
        <v>200003589</v>
      </c>
      <c r="B30" t="s">
        <v>36</v>
      </c>
      <c r="C30" t="s">
        <v>9</v>
      </c>
      <c r="D30">
        <v>0.5</v>
      </c>
      <c r="E30" s="15">
        <v>54.07</v>
      </c>
      <c r="F30">
        <v>0</v>
      </c>
      <c r="G30">
        <v>7</v>
      </c>
      <c r="H30">
        <f>IFERROR(VLOOKUP(CENTRAL[[#This Row],[Cód]],SUB[#All],4,0),0) + CENTRAL[[#This Row],[CMM]]</f>
        <v>0.5</v>
      </c>
    </row>
    <row r="31" spans="1:8" x14ac:dyDescent="0.25">
      <c r="A31">
        <v>200002344</v>
      </c>
      <c r="B31" t="s">
        <v>37</v>
      </c>
      <c r="C31" t="s">
        <v>9</v>
      </c>
      <c r="D31">
        <v>7.16</v>
      </c>
      <c r="E31" s="15">
        <v>1.5</v>
      </c>
      <c r="F31">
        <v>0</v>
      </c>
      <c r="G31">
        <v>13</v>
      </c>
      <c r="H31">
        <f>IFERROR(VLOOKUP(CENTRAL[[#This Row],[Cód]],SUB[#All],4,0),0) + CENTRAL[[#This Row],[CMM]]</f>
        <v>7.16</v>
      </c>
    </row>
    <row r="32" spans="1:8" x14ac:dyDescent="0.25">
      <c r="A32">
        <v>200000201</v>
      </c>
      <c r="B32" t="s">
        <v>38</v>
      </c>
      <c r="C32" t="s">
        <v>9</v>
      </c>
      <c r="D32">
        <v>0</v>
      </c>
      <c r="E32" s="15">
        <v>0</v>
      </c>
      <c r="F32">
        <v>0</v>
      </c>
      <c r="G32">
        <v>0</v>
      </c>
      <c r="H32">
        <f>IFERROR(VLOOKUP(CENTRAL[[#This Row],[Cód]],SUB[#All],4,0),0) + CENTRAL[[#This Row],[CMM]]</f>
        <v>0</v>
      </c>
    </row>
    <row r="33" spans="1:8" x14ac:dyDescent="0.25">
      <c r="A33">
        <v>200001357</v>
      </c>
      <c r="B33" t="s">
        <v>39</v>
      </c>
      <c r="C33" t="s">
        <v>9</v>
      </c>
      <c r="D33">
        <v>0</v>
      </c>
      <c r="E33" s="15">
        <v>11.53</v>
      </c>
      <c r="F33">
        <v>0</v>
      </c>
      <c r="G33">
        <v>11</v>
      </c>
      <c r="H33">
        <f>IFERROR(VLOOKUP(CENTRAL[[#This Row],[Cód]],SUB[#All],4,0),0) + CENTRAL[[#This Row],[CMM]]</f>
        <v>0</v>
      </c>
    </row>
    <row r="34" spans="1:8" x14ac:dyDescent="0.25">
      <c r="A34">
        <v>200001008</v>
      </c>
      <c r="B34" t="s">
        <v>40</v>
      </c>
      <c r="C34" t="s">
        <v>9</v>
      </c>
      <c r="D34">
        <v>0</v>
      </c>
      <c r="E34" s="15">
        <v>0</v>
      </c>
      <c r="F34">
        <v>0</v>
      </c>
      <c r="G34">
        <v>0</v>
      </c>
      <c r="H34">
        <f>IFERROR(VLOOKUP(CENTRAL[[#This Row],[Cód]],SUB[#All],4,0),0) + CENTRAL[[#This Row],[CMM]]</f>
        <v>0.25</v>
      </c>
    </row>
    <row r="35" spans="1:8" x14ac:dyDescent="0.25">
      <c r="A35">
        <v>200001356</v>
      </c>
      <c r="B35" t="s">
        <v>41</v>
      </c>
      <c r="C35" t="s">
        <v>9</v>
      </c>
      <c r="D35">
        <v>0</v>
      </c>
      <c r="E35" s="15">
        <v>0</v>
      </c>
      <c r="F35">
        <v>0</v>
      </c>
      <c r="G35">
        <v>0</v>
      </c>
      <c r="H35">
        <f>IFERROR(VLOOKUP(CENTRAL[[#This Row],[Cód]],SUB[#All],4,0),0) + CENTRAL[[#This Row],[CMM]]</f>
        <v>0.16</v>
      </c>
    </row>
    <row r="36" spans="1:8" x14ac:dyDescent="0.25">
      <c r="A36">
        <v>200001358</v>
      </c>
      <c r="B36" t="s">
        <v>42</v>
      </c>
      <c r="C36" t="s">
        <v>9</v>
      </c>
      <c r="D36">
        <v>0</v>
      </c>
      <c r="E36" s="15">
        <v>0</v>
      </c>
      <c r="F36">
        <v>0</v>
      </c>
      <c r="G36">
        <v>0</v>
      </c>
      <c r="H36">
        <f>IFERROR(VLOOKUP(CENTRAL[[#This Row],[Cód]],SUB[#All],4,0),0) + CENTRAL[[#This Row],[CMM]]</f>
        <v>0</v>
      </c>
    </row>
    <row r="37" spans="1:8" x14ac:dyDescent="0.25">
      <c r="A37">
        <v>200005244</v>
      </c>
      <c r="B37" t="s">
        <v>43</v>
      </c>
      <c r="C37" t="s">
        <v>9</v>
      </c>
      <c r="D37">
        <v>0.16</v>
      </c>
      <c r="E37" s="15">
        <v>7.81</v>
      </c>
      <c r="F37">
        <v>0</v>
      </c>
      <c r="G37">
        <v>2</v>
      </c>
      <c r="H37">
        <f>IFERROR(VLOOKUP(CENTRAL[[#This Row],[Cód]],SUB[#All],4,0),0) + CENTRAL[[#This Row],[CMM]]</f>
        <v>0.16</v>
      </c>
    </row>
    <row r="38" spans="1:8" x14ac:dyDescent="0.25">
      <c r="A38">
        <v>200003593</v>
      </c>
      <c r="B38" t="s">
        <v>44</v>
      </c>
      <c r="C38" t="s">
        <v>9</v>
      </c>
      <c r="D38">
        <v>0</v>
      </c>
      <c r="E38" s="15">
        <v>244.59</v>
      </c>
      <c r="F38">
        <v>0</v>
      </c>
      <c r="G38">
        <v>3</v>
      </c>
      <c r="H38">
        <f>IFERROR(VLOOKUP(CENTRAL[[#This Row],[Cód]],SUB[#All],4,0),0) + CENTRAL[[#This Row],[CMM]]</f>
        <v>0</v>
      </c>
    </row>
    <row r="39" spans="1:8" x14ac:dyDescent="0.25">
      <c r="A39">
        <v>200005243</v>
      </c>
      <c r="B39" t="s">
        <v>45</v>
      </c>
      <c r="C39" t="s">
        <v>9</v>
      </c>
      <c r="D39">
        <v>0</v>
      </c>
      <c r="E39" s="15">
        <v>18.86</v>
      </c>
      <c r="F39">
        <v>0</v>
      </c>
      <c r="G39">
        <v>3</v>
      </c>
      <c r="H39">
        <f>IFERROR(VLOOKUP(CENTRAL[[#This Row],[Cód]],SUB[#All],4,0),0) + CENTRAL[[#This Row],[CMM]]</f>
        <v>0</v>
      </c>
    </row>
    <row r="40" spans="1:8" x14ac:dyDescent="0.25">
      <c r="A40">
        <v>200004086</v>
      </c>
      <c r="B40" t="s">
        <v>46</v>
      </c>
      <c r="C40" t="s">
        <v>9</v>
      </c>
      <c r="D40">
        <v>0</v>
      </c>
      <c r="E40" s="15">
        <v>0</v>
      </c>
      <c r="F40">
        <v>0</v>
      </c>
      <c r="G40">
        <v>0</v>
      </c>
      <c r="H40">
        <f>IFERROR(VLOOKUP(CENTRAL[[#This Row],[Cód]],SUB[#All],4,0),0) + CENTRAL[[#This Row],[CMM]]</f>
        <v>0</v>
      </c>
    </row>
    <row r="41" spans="1:8" x14ac:dyDescent="0.25">
      <c r="A41">
        <v>200003590</v>
      </c>
      <c r="B41" t="s">
        <v>47</v>
      </c>
      <c r="C41" t="s">
        <v>9</v>
      </c>
      <c r="D41">
        <v>0</v>
      </c>
      <c r="E41" s="15">
        <v>41.12</v>
      </c>
      <c r="F41">
        <v>0</v>
      </c>
      <c r="G41">
        <v>5</v>
      </c>
      <c r="H41">
        <f>IFERROR(VLOOKUP(CENTRAL[[#This Row],[Cód]],SUB[#All],4,0),0) + CENTRAL[[#This Row],[CMM]]</f>
        <v>0</v>
      </c>
    </row>
    <row r="42" spans="1:8" x14ac:dyDescent="0.25">
      <c r="A42">
        <v>200003591</v>
      </c>
      <c r="B42" t="s">
        <v>48</v>
      </c>
      <c r="C42" t="s">
        <v>9</v>
      </c>
      <c r="D42">
        <v>0</v>
      </c>
      <c r="E42" s="15">
        <v>161.47</v>
      </c>
      <c r="F42">
        <v>0</v>
      </c>
      <c r="G42">
        <v>3</v>
      </c>
      <c r="H42">
        <f>IFERROR(VLOOKUP(CENTRAL[[#This Row],[Cód]],SUB[#All],4,0),0) + CENTRAL[[#This Row],[CMM]]</f>
        <v>0</v>
      </c>
    </row>
    <row r="43" spans="1:8" x14ac:dyDescent="0.25">
      <c r="A43">
        <v>200003592</v>
      </c>
      <c r="B43" t="s">
        <v>49</v>
      </c>
      <c r="C43" t="s">
        <v>9</v>
      </c>
      <c r="D43">
        <v>0</v>
      </c>
      <c r="E43" s="15">
        <v>0</v>
      </c>
      <c r="F43">
        <v>0</v>
      </c>
      <c r="G43">
        <v>0</v>
      </c>
      <c r="H43">
        <f>IFERROR(VLOOKUP(CENTRAL[[#This Row],[Cód]],SUB[#All],4,0),0) + CENTRAL[[#This Row],[CMM]]</f>
        <v>0</v>
      </c>
    </row>
    <row r="44" spans="1:8" x14ac:dyDescent="0.25">
      <c r="A44">
        <v>200001913</v>
      </c>
      <c r="B44" t="s">
        <v>50</v>
      </c>
      <c r="C44" t="s">
        <v>9</v>
      </c>
      <c r="D44">
        <v>0</v>
      </c>
      <c r="E44" s="15">
        <v>0</v>
      </c>
      <c r="F44">
        <v>0</v>
      </c>
      <c r="G44">
        <v>0</v>
      </c>
      <c r="H44">
        <f>IFERROR(VLOOKUP(CENTRAL[[#This Row],[Cód]],SUB[#All],4,0),0) + CENTRAL[[#This Row],[CMM]]</f>
        <v>0</v>
      </c>
    </row>
    <row r="45" spans="1:8" x14ac:dyDescent="0.25">
      <c r="A45">
        <v>200001909</v>
      </c>
      <c r="B45" t="s">
        <v>51</v>
      </c>
      <c r="C45" t="s">
        <v>9</v>
      </c>
      <c r="D45">
        <v>0</v>
      </c>
      <c r="E45" s="15">
        <v>0</v>
      </c>
      <c r="F45">
        <v>0</v>
      </c>
      <c r="G45">
        <v>0</v>
      </c>
      <c r="H45">
        <f>IFERROR(VLOOKUP(CENTRAL[[#This Row],[Cód]],SUB[#All],4,0),0) + CENTRAL[[#This Row],[CMM]]</f>
        <v>0</v>
      </c>
    </row>
    <row r="46" spans="1:8" x14ac:dyDescent="0.25">
      <c r="A46">
        <v>200001912</v>
      </c>
      <c r="B46" t="s">
        <v>52</v>
      </c>
      <c r="C46" t="s">
        <v>9</v>
      </c>
      <c r="D46">
        <v>0</v>
      </c>
      <c r="E46" s="15">
        <v>0</v>
      </c>
      <c r="F46">
        <v>0</v>
      </c>
      <c r="G46">
        <v>0</v>
      </c>
      <c r="H46">
        <f>IFERROR(VLOOKUP(CENTRAL[[#This Row],[Cód]],SUB[#All],4,0),0) + CENTRAL[[#This Row],[CMM]]</f>
        <v>0</v>
      </c>
    </row>
    <row r="47" spans="1:8" x14ac:dyDescent="0.25">
      <c r="A47">
        <v>200001908</v>
      </c>
      <c r="B47" t="s">
        <v>53</v>
      </c>
      <c r="C47" t="s">
        <v>9</v>
      </c>
      <c r="D47">
        <v>0</v>
      </c>
      <c r="E47" s="15">
        <v>0</v>
      </c>
      <c r="F47">
        <v>0</v>
      </c>
      <c r="G47">
        <v>0</v>
      </c>
      <c r="H47">
        <f>IFERROR(VLOOKUP(CENTRAL[[#This Row],[Cód]],SUB[#All],4,0),0) + CENTRAL[[#This Row],[CMM]]</f>
        <v>0</v>
      </c>
    </row>
    <row r="48" spans="1:8" x14ac:dyDescent="0.25">
      <c r="A48">
        <v>200004889</v>
      </c>
      <c r="B48" t="s">
        <v>54</v>
      </c>
      <c r="C48" t="s">
        <v>9</v>
      </c>
      <c r="D48">
        <v>0</v>
      </c>
      <c r="E48" s="15">
        <v>30</v>
      </c>
      <c r="F48">
        <v>0</v>
      </c>
      <c r="G48">
        <v>2</v>
      </c>
      <c r="H48">
        <f>IFERROR(VLOOKUP(CENTRAL[[#This Row],[Cód]],SUB[#All],4,0),0) + CENTRAL[[#This Row],[CMM]]</f>
        <v>0</v>
      </c>
    </row>
    <row r="49" spans="1:8" x14ac:dyDescent="0.25">
      <c r="A49">
        <v>200004951</v>
      </c>
      <c r="B49" t="s">
        <v>55</v>
      </c>
      <c r="C49" t="s">
        <v>9</v>
      </c>
      <c r="D49">
        <v>0.16</v>
      </c>
      <c r="E49" s="15">
        <v>3.82</v>
      </c>
      <c r="F49">
        <v>0</v>
      </c>
      <c r="G49">
        <v>32</v>
      </c>
      <c r="H49">
        <f>IFERROR(VLOOKUP(CENTRAL[[#This Row],[Cód]],SUB[#All],4,0),0) + CENTRAL[[#This Row],[CMM]]</f>
        <v>0.16</v>
      </c>
    </row>
    <row r="50" spans="1:8" x14ac:dyDescent="0.25">
      <c r="A50">
        <v>200004952</v>
      </c>
      <c r="B50" t="s">
        <v>56</v>
      </c>
      <c r="C50" t="s">
        <v>9</v>
      </c>
      <c r="D50">
        <v>0.16</v>
      </c>
      <c r="E50" s="15">
        <v>4.53</v>
      </c>
      <c r="F50">
        <v>0</v>
      </c>
      <c r="G50">
        <v>13</v>
      </c>
      <c r="H50">
        <f>IFERROR(VLOOKUP(CENTRAL[[#This Row],[Cód]],SUB[#All],4,0),0) + CENTRAL[[#This Row],[CMM]]</f>
        <v>0.16</v>
      </c>
    </row>
    <row r="51" spans="1:8" x14ac:dyDescent="0.25">
      <c r="A51">
        <v>200001915</v>
      </c>
      <c r="B51" t="s">
        <v>57</v>
      </c>
      <c r="C51" t="s">
        <v>9</v>
      </c>
      <c r="D51">
        <v>0.41</v>
      </c>
      <c r="E51" s="15">
        <v>0.6</v>
      </c>
      <c r="F51">
        <v>0</v>
      </c>
      <c r="G51">
        <v>1</v>
      </c>
      <c r="H51">
        <f>IFERROR(VLOOKUP(CENTRAL[[#This Row],[Cód]],SUB[#All],4,0),0) + CENTRAL[[#This Row],[CMM]]</f>
        <v>0.41</v>
      </c>
    </row>
    <row r="52" spans="1:8" x14ac:dyDescent="0.25">
      <c r="A52">
        <v>200001916</v>
      </c>
      <c r="B52" t="s">
        <v>58</v>
      </c>
      <c r="C52" t="s">
        <v>9</v>
      </c>
      <c r="D52">
        <v>3.33</v>
      </c>
      <c r="E52" s="15">
        <v>0</v>
      </c>
      <c r="F52">
        <v>0</v>
      </c>
      <c r="G52">
        <v>0</v>
      </c>
      <c r="H52">
        <f>IFERROR(VLOOKUP(CENTRAL[[#This Row],[Cód]],SUB[#All],4,0),0) + CENTRAL[[#This Row],[CMM]]</f>
        <v>3.33</v>
      </c>
    </row>
    <row r="53" spans="1:8" x14ac:dyDescent="0.25">
      <c r="A53">
        <v>200003582</v>
      </c>
      <c r="B53" t="s">
        <v>59</v>
      </c>
      <c r="C53" t="s">
        <v>9</v>
      </c>
      <c r="D53">
        <v>1</v>
      </c>
      <c r="E53" s="15">
        <v>7</v>
      </c>
      <c r="F53">
        <v>0</v>
      </c>
      <c r="G53">
        <v>4</v>
      </c>
      <c r="H53">
        <f>IFERROR(VLOOKUP(CENTRAL[[#This Row],[Cód]],SUB[#All],4,0),0) + CENTRAL[[#This Row],[CMM]]</f>
        <v>1</v>
      </c>
    </row>
    <row r="54" spans="1:8" x14ac:dyDescent="0.25">
      <c r="A54">
        <v>200003583</v>
      </c>
      <c r="B54" t="s">
        <v>60</v>
      </c>
      <c r="C54" t="s">
        <v>9</v>
      </c>
      <c r="D54">
        <v>0.16</v>
      </c>
      <c r="E54" s="15">
        <v>11.67</v>
      </c>
      <c r="F54">
        <v>0</v>
      </c>
      <c r="G54">
        <v>13</v>
      </c>
      <c r="H54">
        <f>IFERROR(VLOOKUP(CENTRAL[[#This Row],[Cód]],SUB[#All],4,0),0) + CENTRAL[[#This Row],[CMM]]</f>
        <v>0.32</v>
      </c>
    </row>
    <row r="55" spans="1:8" x14ac:dyDescent="0.25">
      <c r="A55">
        <v>200003702</v>
      </c>
      <c r="B55" t="s">
        <v>61</v>
      </c>
      <c r="C55" t="s">
        <v>9</v>
      </c>
      <c r="D55">
        <v>0</v>
      </c>
      <c r="E55" s="15">
        <v>0</v>
      </c>
      <c r="F55">
        <v>0</v>
      </c>
      <c r="G55">
        <v>0</v>
      </c>
      <c r="H55">
        <f>IFERROR(VLOOKUP(CENTRAL[[#This Row],[Cód]],SUB[#All],4,0),0) + CENTRAL[[#This Row],[CMM]]</f>
        <v>0</v>
      </c>
    </row>
    <row r="56" spans="1:8" x14ac:dyDescent="0.25">
      <c r="A56">
        <v>200004299</v>
      </c>
      <c r="B56" t="s">
        <v>62</v>
      </c>
      <c r="C56" t="s">
        <v>63</v>
      </c>
      <c r="D56">
        <v>7.66</v>
      </c>
      <c r="E56" s="15">
        <v>90.24</v>
      </c>
      <c r="F56">
        <v>12</v>
      </c>
      <c r="G56">
        <v>128</v>
      </c>
      <c r="H56">
        <f>IFERROR(VLOOKUP(CENTRAL[[#This Row],[Cód]],SUB[#All],4,0),0) + CENTRAL[[#This Row],[CMM]]</f>
        <v>8.66</v>
      </c>
    </row>
    <row r="57" spans="1:8" x14ac:dyDescent="0.25">
      <c r="A57">
        <v>200002120</v>
      </c>
      <c r="B57" t="s">
        <v>64</v>
      </c>
      <c r="C57" t="s">
        <v>9</v>
      </c>
      <c r="D57">
        <v>0</v>
      </c>
      <c r="E57" s="15">
        <v>0</v>
      </c>
      <c r="F57">
        <v>0</v>
      </c>
      <c r="G57">
        <v>0</v>
      </c>
      <c r="H57">
        <f>IFERROR(VLOOKUP(CENTRAL[[#This Row],[Cód]],SUB[#All],4,0),0) + CENTRAL[[#This Row],[CMM]]</f>
        <v>0</v>
      </c>
    </row>
    <row r="58" spans="1:8" x14ac:dyDescent="0.25">
      <c r="A58">
        <v>200006858</v>
      </c>
      <c r="B58" t="s">
        <v>65</v>
      </c>
      <c r="C58" t="s">
        <v>9</v>
      </c>
      <c r="D58">
        <v>0.5</v>
      </c>
      <c r="E58" s="15">
        <v>50.46</v>
      </c>
      <c r="F58">
        <v>0</v>
      </c>
      <c r="G58">
        <v>5</v>
      </c>
      <c r="H58">
        <f>IFERROR(VLOOKUP(CENTRAL[[#This Row],[Cód]],SUB[#All],4,0),0) + CENTRAL[[#This Row],[CMM]]</f>
        <v>0.5</v>
      </c>
    </row>
    <row r="59" spans="1:8" x14ac:dyDescent="0.25">
      <c r="A59">
        <v>200005682</v>
      </c>
      <c r="B59" t="s">
        <v>66</v>
      </c>
      <c r="C59" t="s">
        <v>67</v>
      </c>
      <c r="D59">
        <v>4</v>
      </c>
      <c r="E59" s="15">
        <v>809.98</v>
      </c>
      <c r="F59">
        <v>48</v>
      </c>
      <c r="G59">
        <v>101</v>
      </c>
      <c r="H59">
        <f>IFERROR(VLOOKUP(CENTRAL[[#This Row],[Cód]],SUB[#All],4,0),0) + CENTRAL[[#This Row],[CMM]]</f>
        <v>4</v>
      </c>
    </row>
    <row r="60" spans="1:8" x14ac:dyDescent="0.25">
      <c r="A60">
        <v>200001917</v>
      </c>
      <c r="B60" t="s">
        <v>68</v>
      </c>
      <c r="C60" t="s">
        <v>9</v>
      </c>
      <c r="D60">
        <v>13.25</v>
      </c>
      <c r="E60" s="15">
        <v>5.1100000000000003</v>
      </c>
      <c r="F60">
        <v>3</v>
      </c>
      <c r="G60">
        <v>112</v>
      </c>
      <c r="H60">
        <f>IFERROR(VLOOKUP(CENTRAL[[#This Row],[Cód]],SUB[#All],4,0),0) + CENTRAL[[#This Row],[CMM]]</f>
        <v>16.079999999999998</v>
      </c>
    </row>
    <row r="61" spans="1:8" x14ac:dyDescent="0.25">
      <c r="A61">
        <v>200007186</v>
      </c>
      <c r="B61" t="s">
        <v>69</v>
      </c>
      <c r="C61" t="s">
        <v>9</v>
      </c>
      <c r="D61">
        <v>1.2</v>
      </c>
      <c r="E61" s="15">
        <v>195.5</v>
      </c>
      <c r="F61">
        <v>79</v>
      </c>
      <c r="G61">
        <v>32</v>
      </c>
      <c r="H61">
        <f>IFERROR(VLOOKUP(CENTRAL[[#This Row],[Cód]],SUB[#All],4,0),0) + CENTRAL[[#This Row],[CMM]]</f>
        <v>1.2</v>
      </c>
    </row>
    <row r="62" spans="1:8" x14ac:dyDescent="0.25">
      <c r="A62">
        <v>200006872</v>
      </c>
      <c r="B62" t="s">
        <v>70</v>
      </c>
      <c r="C62" t="s">
        <v>9</v>
      </c>
      <c r="D62">
        <v>0</v>
      </c>
      <c r="E62" s="15">
        <v>0</v>
      </c>
      <c r="F62">
        <v>0</v>
      </c>
      <c r="G62">
        <v>0</v>
      </c>
      <c r="H62">
        <f>IFERROR(VLOOKUP(CENTRAL[[#This Row],[Cód]],SUB[#All],4,0),0) + CENTRAL[[#This Row],[CMM]]</f>
        <v>0</v>
      </c>
    </row>
    <row r="63" spans="1:8" x14ac:dyDescent="0.25">
      <c r="A63">
        <v>200002130</v>
      </c>
      <c r="B63" t="s">
        <v>71</v>
      </c>
      <c r="C63" t="s">
        <v>9</v>
      </c>
      <c r="D63">
        <v>0</v>
      </c>
      <c r="E63" s="15">
        <v>0</v>
      </c>
      <c r="F63">
        <v>0</v>
      </c>
      <c r="G63">
        <v>0</v>
      </c>
      <c r="H63">
        <f>IFERROR(VLOOKUP(CENTRAL[[#This Row],[Cód]],SUB[#All],4,0),0) + CENTRAL[[#This Row],[CMM]]</f>
        <v>0</v>
      </c>
    </row>
    <row r="64" spans="1:8" x14ac:dyDescent="0.25">
      <c r="A64">
        <v>200006374</v>
      </c>
      <c r="B64" t="s">
        <v>72</v>
      </c>
      <c r="C64" t="s">
        <v>9</v>
      </c>
      <c r="D64">
        <v>0</v>
      </c>
      <c r="E64" s="15">
        <v>0</v>
      </c>
      <c r="F64">
        <v>0</v>
      </c>
      <c r="G64">
        <v>0</v>
      </c>
      <c r="H64">
        <f>IFERROR(VLOOKUP(CENTRAL[[#This Row],[Cód]],SUB[#All],4,0),0) + CENTRAL[[#This Row],[CMM]]</f>
        <v>0</v>
      </c>
    </row>
    <row r="65" spans="1:8" x14ac:dyDescent="0.25">
      <c r="A65">
        <v>200007187</v>
      </c>
      <c r="B65" t="s">
        <v>73</v>
      </c>
      <c r="C65" t="s">
        <v>9</v>
      </c>
      <c r="D65">
        <v>13.8</v>
      </c>
      <c r="E65" s="15">
        <v>75.5</v>
      </c>
      <c r="F65">
        <v>101</v>
      </c>
      <c r="G65">
        <v>15</v>
      </c>
      <c r="H65">
        <f>IFERROR(VLOOKUP(CENTRAL[[#This Row],[Cód]],SUB[#All],4,0),0) + CENTRAL[[#This Row],[CMM]]</f>
        <v>13.8</v>
      </c>
    </row>
    <row r="66" spans="1:8" x14ac:dyDescent="0.25">
      <c r="A66">
        <v>200002131</v>
      </c>
      <c r="B66" t="s">
        <v>74</v>
      </c>
      <c r="C66" t="s">
        <v>9</v>
      </c>
      <c r="D66">
        <v>0.16</v>
      </c>
      <c r="E66" s="15">
        <v>0</v>
      </c>
      <c r="F66">
        <v>0</v>
      </c>
      <c r="G66">
        <v>0</v>
      </c>
      <c r="H66">
        <f>IFERROR(VLOOKUP(CENTRAL[[#This Row],[Cód]],SUB[#All],4,0),0) + CENTRAL[[#This Row],[CMM]]</f>
        <v>1.5699999999999998</v>
      </c>
    </row>
    <row r="67" spans="1:8" x14ac:dyDescent="0.25">
      <c r="A67">
        <v>200006759</v>
      </c>
      <c r="B67" t="s">
        <v>75</v>
      </c>
      <c r="C67" t="s">
        <v>9</v>
      </c>
      <c r="D67">
        <v>0.14000000000000001</v>
      </c>
      <c r="E67" s="15">
        <v>1.85</v>
      </c>
      <c r="F67">
        <v>0</v>
      </c>
      <c r="G67">
        <v>149</v>
      </c>
      <c r="H67">
        <f>IFERROR(VLOOKUP(CENTRAL[[#This Row],[Cód]],SUB[#All],4,0),0) + CENTRAL[[#This Row],[CMM]]</f>
        <v>0.14000000000000001</v>
      </c>
    </row>
    <row r="68" spans="1:8" x14ac:dyDescent="0.25">
      <c r="A68">
        <v>200006760</v>
      </c>
      <c r="B68" t="s">
        <v>76</v>
      </c>
      <c r="C68" t="s">
        <v>9</v>
      </c>
      <c r="D68">
        <v>0.14000000000000001</v>
      </c>
      <c r="E68" s="15">
        <v>1.0900000000000001</v>
      </c>
      <c r="F68">
        <v>0</v>
      </c>
      <c r="G68">
        <v>99</v>
      </c>
      <c r="H68">
        <f>IFERROR(VLOOKUP(CENTRAL[[#This Row],[Cód]],SUB[#All],4,0),0) + CENTRAL[[#This Row],[CMM]]</f>
        <v>0.14000000000000001</v>
      </c>
    </row>
    <row r="69" spans="1:8" x14ac:dyDescent="0.25">
      <c r="A69">
        <v>200006761</v>
      </c>
      <c r="B69" t="s">
        <v>77</v>
      </c>
      <c r="C69" t="s">
        <v>9</v>
      </c>
      <c r="D69">
        <v>0.14000000000000001</v>
      </c>
      <c r="E69" s="15">
        <v>1.58</v>
      </c>
      <c r="F69">
        <v>0</v>
      </c>
      <c r="G69">
        <v>199</v>
      </c>
      <c r="H69">
        <f>IFERROR(VLOOKUP(CENTRAL[[#This Row],[Cód]],SUB[#All],4,0),0) + CENTRAL[[#This Row],[CMM]]</f>
        <v>0.14000000000000001</v>
      </c>
    </row>
    <row r="70" spans="1:8" x14ac:dyDescent="0.25">
      <c r="A70">
        <v>200000034</v>
      </c>
      <c r="B70" t="s">
        <v>78</v>
      </c>
      <c r="C70" t="s">
        <v>9</v>
      </c>
      <c r="D70">
        <v>3.16</v>
      </c>
      <c r="E70" s="15">
        <v>6.9</v>
      </c>
      <c r="F70">
        <v>0</v>
      </c>
      <c r="G70">
        <v>42</v>
      </c>
      <c r="H70">
        <f>IFERROR(VLOOKUP(CENTRAL[[#This Row],[Cód]],SUB[#All],4,0),0) + CENTRAL[[#This Row],[CMM]]</f>
        <v>4.49</v>
      </c>
    </row>
    <row r="71" spans="1:8" x14ac:dyDescent="0.25">
      <c r="A71">
        <v>200001571</v>
      </c>
      <c r="B71" t="s">
        <v>79</v>
      </c>
      <c r="C71" t="s">
        <v>9</v>
      </c>
      <c r="D71">
        <v>0</v>
      </c>
      <c r="E71" s="15">
        <v>0</v>
      </c>
      <c r="F71">
        <v>0</v>
      </c>
      <c r="G71">
        <v>0</v>
      </c>
      <c r="H71">
        <f>IFERROR(VLOOKUP(CENTRAL[[#This Row],[Cód]],SUB[#All],4,0),0) + CENTRAL[[#This Row],[CMM]]</f>
        <v>0</v>
      </c>
    </row>
    <row r="72" spans="1:8" x14ac:dyDescent="0.25">
      <c r="A72">
        <v>200005757</v>
      </c>
      <c r="B72" t="s">
        <v>80</v>
      </c>
      <c r="C72" t="s">
        <v>9</v>
      </c>
      <c r="D72">
        <v>0.91</v>
      </c>
      <c r="E72" s="15">
        <v>187.48</v>
      </c>
      <c r="F72">
        <v>0</v>
      </c>
      <c r="G72">
        <v>7</v>
      </c>
      <c r="H72">
        <f>IFERROR(VLOOKUP(CENTRAL[[#This Row],[Cód]],SUB[#All],4,0),0) + CENTRAL[[#This Row],[CMM]]</f>
        <v>0.91</v>
      </c>
    </row>
    <row r="73" spans="1:8" x14ac:dyDescent="0.25">
      <c r="A73">
        <v>200004234</v>
      </c>
      <c r="B73" t="s">
        <v>81</v>
      </c>
      <c r="C73" t="s">
        <v>82</v>
      </c>
      <c r="D73">
        <v>0</v>
      </c>
      <c r="E73" s="15">
        <v>0</v>
      </c>
      <c r="F73">
        <v>0</v>
      </c>
      <c r="G73">
        <v>0</v>
      </c>
      <c r="H73">
        <f>IFERROR(VLOOKUP(CENTRAL[[#This Row],[Cód]],SUB[#All],4,0),0) + CENTRAL[[#This Row],[CMM]]</f>
        <v>0</v>
      </c>
    </row>
    <row r="74" spans="1:8" x14ac:dyDescent="0.25">
      <c r="A74">
        <v>200002106</v>
      </c>
      <c r="B74" t="s">
        <v>83</v>
      </c>
      <c r="C74" t="s">
        <v>9</v>
      </c>
      <c r="D74">
        <v>0</v>
      </c>
      <c r="E74" s="15">
        <v>0</v>
      </c>
      <c r="F74">
        <v>0</v>
      </c>
      <c r="G74">
        <v>0</v>
      </c>
      <c r="H74">
        <f>IFERROR(VLOOKUP(CENTRAL[[#This Row],[Cód]],SUB[#All],4,0),0) + CENTRAL[[#This Row],[CMM]]</f>
        <v>0</v>
      </c>
    </row>
    <row r="75" spans="1:8" x14ac:dyDescent="0.25">
      <c r="A75">
        <v>200003957</v>
      </c>
      <c r="B75" t="s">
        <v>84</v>
      </c>
      <c r="C75" t="s">
        <v>82</v>
      </c>
      <c r="D75">
        <v>5.58</v>
      </c>
      <c r="E75" s="15">
        <v>17.07</v>
      </c>
      <c r="F75">
        <v>2</v>
      </c>
      <c r="G75">
        <v>68</v>
      </c>
      <c r="H75">
        <f>IFERROR(VLOOKUP(CENTRAL[[#This Row],[Cód]],SUB[#All],4,0),0) + CENTRAL[[#This Row],[CMM]]</f>
        <v>7.83</v>
      </c>
    </row>
    <row r="76" spans="1:8" x14ac:dyDescent="0.25">
      <c r="A76">
        <v>200003095</v>
      </c>
      <c r="B76" t="s">
        <v>85</v>
      </c>
      <c r="C76" t="s">
        <v>86</v>
      </c>
      <c r="D76">
        <v>0</v>
      </c>
      <c r="E76" s="15">
        <v>0</v>
      </c>
      <c r="F76">
        <v>0</v>
      </c>
      <c r="G76">
        <v>0</v>
      </c>
      <c r="H76">
        <f>IFERROR(VLOOKUP(CENTRAL[[#This Row],[Cód]],SUB[#All],4,0),0) + CENTRAL[[#This Row],[CMM]]</f>
        <v>0</v>
      </c>
    </row>
    <row r="77" spans="1:8" x14ac:dyDescent="0.25">
      <c r="A77">
        <v>200003095</v>
      </c>
      <c r="B77" t="s">
        <v>85</v>
      </c>
      <c r="C77" t="s">
        <v>86</v>
      </c>
      <c r="D77">
        <v>0</v>
      </c>
      <c r="E77" s="15">
        <v>0</v>
      </c>
      <c r="F77">
        <v>0</v>
      </c>
      <c r="G77">
        <v>0</v>
      </c>
      <c r="H77">
        <f>IFERROR(VLOOKUP(CENTRAL[[#This Row],[Cód]],SUB[#All],4,0),0) + CENTRAL[[#This Row],[CMM]]</f>
        <v>0</v>
      </c>
    </row>
    <row r="78" spans="1:8" x14ac:dyDescent="0.25">
      <c r="A78">
        <v>200006757</v>
      </c>
      <c r="B78" t="s">
        <v>87</v>
      </c>
      <c r="C78" t="s">
        <v>9</v>
      </c>
      <c r="D78">
        <v>0</v>
      </c>
      <c r="E78" s="15">
        <v>0</v>
      </c>
      <c r="F78">
        <v>0</v>
      </c>
      <c r="G78">
        <v>0</v>
      </c>
      <c r="H78">
        <f>IFERROR(VLOOKUP(CENTRAL[[#This Row],[Cód]],SUB[#All],4,0),0) + CENTRAL[[#This Row],[CMM]]</f>
        <v>0</v>
      </c>
    </row>
    <row r="79" spans="1:8" x14ac:dyDescent="0.25">
      <c r="A79">
        <v>200002642</v>
      </c>
      <c r="B79" t="s">
        <v>88</v>
      </c>
      <c r="C79" t="s">
        <v>9</v>
      </c>
      <c r="D79">
        <v>0</v>
      </c>
      <c r="E79" s="15">
        <v>19.97</v>
      </c>
      <c r="F79">
        <v>0</v>
      </c>
      <c r="G79">
        <v>29</v>
      </c>
      <c r="H79">
        <f>IFERROR(VLOOKUP(CENTRAL[[#This Row],[Cód]],SUB[#All],4,0),0) + CENTRAL[[#This Row],[CMM]]</f>
        <v>0.66</v>
      </c>
    </row>
    <row r="80" spans="1:8" x14ac:dyDescent="0.25">
      <c r="A80">
        <v>200002207</v>
      </c>
      <c r="B80" t="s">
        <v>89</v>
      </c>
      <c r="C80" t="s">
        <v>9</v>
      </c>
      <c r="D80">
        <v>0.33</v>
      </c>
      <c r="E80" s="15">
        <v>15.53</v>
      </c>
      <c r="F80">
        <v>0</v>
      </c>
      <c r="G80">
        <v>10</v>
      </c>
      <c r="H80">
        <f>IFERROR(VLOOKUP(CENTRAL[[#This Row],[Cód]],SUB[#All],4,0),0) + CENTRAL[[#This Row],[CMM]]</f>
        <v>2.33</v>
      </c>
    </row>
    <row r="81" spans="1:8" x14ac:dyDescent="0.25">
      <c r="A81">
        <v>200001009</v>
      </c>
      <c r="B81" t="s">
        <v>90</v>
      </c>
      <c r="C81" t="s">
        <v>9</v>
      </c>
      <c r="D81">
        <v>0.33</v>
      </c>
      <c r="E81" s="15">
        <v>11.94</v>
      </c>
      <c r="F81">
        <v>0</v>
      </c>
      <c r="G81">
        <v>2</v>
      </c>
      <c r="H81">
        <f>IFERROR(VLOOKUP(CENTRAL[[#This Row],[Cód]],SUB[#All],4,0),0) + CENTRAL[[#This Row],[CMM]]</f>
        <v>1.1599999999999999</v>
      </c>
    </row>
    <row r="82" spans="1:8" x14ac:dyDescent="0.25">
      <c r="A82">
        <v>200001730</v>
      </c>
      <c r="B82" t="s">
        <v>91</v>
      </c>
      <c r="C82" t="s">
        <v>9</v>
      </c>
      <c r="D82">
        <v>0</v>
      </c>
      <c r="E82" s="15">
        <v>0</v>
      </c>
      <c r="F82">
        <v>0</v>
      </c>
      <c r="G82">
        <v>0</v>
      </c>
      <c r="H82">
        <f>IFERROR(VLOOKUP(CENTRAL[[#This Row],[Cód]],SUB[#All],4,0),0) + CENTRAL[[#This Row],[CMM]]</f>
        <v>0</v>
      </c>
    </row>
    <row r="83" spans="1:8" x14ac:dyDescent="0.25">
      <c r="A83">
        <v>200007112</v>
      </c>
      <c r="B83" t="s">
        <v>92</v>
      </c>
      <c r="C83" t="s">
        <v>9</v>
      </c>
      <c r="D83">
        <v>0</v>
      </c>
      <c r="E83" s="15">
        <v>109.96</v>
      </c>
      <c r="F83">
        <v>0</v>
      </c>
      <c r="G83">
        <v>7</v>
      </c>
      <c r="H83">
        <f>IFERROR(VLOOKUP(CENTRAL[[#This Row],[Cód]],SUB[#All],4,0),0) + CENTRAL[[#This Row],[CMM]]</f>
        <v>0</v>
      </c>
    </row>
    <row r="84" spans="1:8" x14ac:dyDescent="0.25">
      <c r="A84">
        <v>200007113</v>
      </c>
      <c r="B84" t="s">
        <v>93</v>
      </c>
      <c r="C84" t="s">
        <v>9</v>
      </c>
      <c r="D84">
        <v>2.25</v>
      </c>
      <c r="E84" s="15">
        <v>0</v>
      </c>
      <c r="F84">
        <v>0</v>
      </c>
      <c r="G84">
        <v>0</v>
      </c>
      <c r="H84">
        <f>IFERROR(VLOOKUP(CENTRAL[[#This Row],[Cód]],SUB[#All],4,0),0) + CENTRAL[[#This Row],[CMM]]</f>
        <v>2.25</v>
      </c>
    </row>
    <row r="85" spans="1:8" x14ac:dyDescent="0.25">
      <c r="A85">
        <v>200006710</v>
      </c>
      <c r="B85" t="s">
        <v>94</v>
      </c>
      <c r="C85" t="s">
        <v>86</v>
      </c>
      <c r="D85">
        <v>3.83</v>
      </c>
      <c r="E85" s="15">
        <v>18.79</v>
      </c>
      <c r="F85">
        <v>0</v>
      </c>
      <c r="G85">
        <v>141</v>
      </c>
      <c r="H85">
        <f>IFERROR(VLOOKUP(CENTRAL[[#This Row],[Cód]],SUB[#All],4,0),0) + CENTRAL[[#This Row],[CMM]]</f>
        <v>3.83</v>
      </c>
    </row>
    <row r="86" spans="1:8" x14ac:dyDescent="0.25">
      <c r="A86">
        <v>200006319</v>
      </c>
      <c r="B86" t="s">
        <v>95</v>
      </c>
      <c r="C86" t="s">
        <v>96</v>
      </c>
      <c r="D86">
        <v>0</v>
      </c>
      <c r="E86" s="15">
        <v>0</v>
      </c>
      <c r="F86">
        <v>0</v>
      </c>
      <c r="G86">
        <v>0</v>
      </c>
      <c r="H86">
        <f>IFERROR(VLOOKUP(CENTRAL[[#This Row],[Cód]],SUB[#All],4,0),0) + CENTRAL[[#This Row],[CMM]]</f>
        <v>0</v>
      </c>
    </row>
    <row r="87" spans="1:8" x14ac:dyDescent="0.25">
      <c r="A87">
        <v>200002933</v>
      </c>
      <c r="B87" t="s">
        <v>97</v>
      </c>
      <c r="C87" t="s">
        <v>86</v>
      </c>
      <c r="D87">
        <v>0</v>
      </c>
      <c r="E87" s="15">
        <v>0</v>
      </c>
      <c r="F87">
        <v>0</v>
      </c>
      <c r="G87">
        <v>0</v>
      </c>
      <c r="H87">
        <f>IFERROR(VLOOKUP(CENTRAL[[#This Row],[Cód]],SUB[#All],4,0),0) + CENTRAL[[#This Row],[CMM]]</f>
        <v>0</v>
      </c>
    </row>
    <row r="88" spans="1:8" x14ac:dyDescent="0.25">
      <c r="A88">
        <v>200002709</v>
      </c>
      <c r="B88" t="s">
        <v>98</v>
      </c>
      <c r="C88" t="s">
        <v>9</v>
      </c>
      <c r="D88">
        <v>20.329999999999998</v>
      </c>
      <c r="E88" s="15">
        <v>0</v>
      </c>
      <c r="F88">
        <v>0</v>
      </c>
      <c r="G88">
        <v>0</v>
      </c>
      <c r="H88">
        <f>IFERROR(VLOOKUP(CENTRAL[[#This Row],[Cód]],SUB[#All],4,0),0) + CENTRAL[[#This Row],[CMM]]</f>
        <v>20.329999999999998</v>
      </c>
    </row>
    <row r="89" spans="1:8" x14ac:dyDescent="0.25">
      <c r="A89">
        <v>200002709</v>
      </c>
      <c r="B89" t="s">
        <v>98</v>
      </c>
      <c r="C89" t="s">
        <v>9</v>
      </c>
      <c r="D89">
        <v>20.329999999999998</v>
      </c>
      <c r="E89" s="15">
        <v>15.51</v>
      </c>
      <c r="F89">
        <v>0</v>
      </c>
      <c r="G89">
        <v>30</v>
      </c>
      <c r="H89">
        <f>IFERROR(VLOOKUP(CENTRAL[[#This Row],[Cód]],SUB[#All],4,0),0) + CENTRAL[[#This Row],[CMM]]</f>
        <v>20.329999999999998</v>
      </c>
    </row>
    <row r="90" spans="1:8" x14ac:dyDescent="0.25">
      <c r="A90">
        <v>200003966</v>
      </c>
      <c r="B90" t="s">
        <v>99</v>
      </c>
      <c r="C90" t="s">
        <v>86</v>
      </c>
      <c r="D90">
        <v>0</v>
      </c>
      <c r="E90" s="15">
        <v>0</v>
      </c>
      <c r="F90">
        <v>0</v>
      </c>
      <c r="G90">
        <v>0</v>
      </c>
      <c r="H90">
        <f>IFERROR(VLOOKUP(CENTRAL[[#This Row],[Cód]],SUB[#All],4,0),0) + CENTRAL[[#This Row],[CMM]]</f>
        <v>0</v>
      </c>
    </row>
    <row r="91" spans="1:8" x14ac:dyDescent="0.25">
      <c r="A91">
        <v>200000041</v>
      </c>
      <c r="B91" t="s">
        <v>100</v>
      </c>
      <c r="C91" t="s">
        <v>82</v>
      </c>
      <c r="D91">
        <v>0</v>
      </c>
      <c r="E91" s="15">
        <v>0</v>
      </c>
      <c r="F91">
        <v>0</v>
      </c>
      <c r="G91">
        <v>0</v>
      </c>
      <c r="H91">
        <f>IFERROR(VLOOKUP(CENTRAL[[#This Row],[Cód]],SUB[#All],4,0),0) + CENTRAL[[#This Row],[CMM]]</f>
        <v>0</v>
      </c>
    </row>
    <row r="92" spans="1:8" x14ac:dyDescent="0.25">
      <c r="A92">
        <v>200001918</v>
      </c>
      <c r="B92" t="s">
        <v>101</v>
      </c>
      <c r="C92" t="s">
        <v>9</v>
      </c>
      <c r="D92">
        <v>23.33</v>
      </c>
      <c r="E92" s="15">
        <v>55.66</v>
      </c>
      <c r="F92">
        <v>0</v>
      </c>
      <c r="G92">
        <v>2</v>
      </c>
      <c r="H92">
        <f>IFERROR(VLOOKUP(CENTRAL[[#This Row],[Cód]],SUB[#All],4,0),0) + CENTRAL[[#This Row],[CMM]]</f>
        <v>29.08</v>
      </c>
    </row>
    <row r="93" spans="1:8" x14ac:dyDescent="0.25">
      <c r="A93">
        <v>200001336</v>
      </c>
      <c r="B93" t="s">
        <v>102</v>
      </c>
      <c r="C93" t="s">
        <v>9</v>
      </c>
      <c r="D93">
        <v>0</v>
      </c>
      <c r="E93" s="15">
        <v>0</v>
      </c>
      <c r="F93">
        <v>0</v>
      </c>
      <c r="G93">
        <v>0</v>
      </c>
      <c r="H93">
        <f>IFERROR(VLOOKUP(CENTRAL[[#This Row],[Cód]],SUB[#All],4,0),0) + CENTRAL[[#This Row],[CMM]]</f>
        <v>0</v>
      </c>
    </row>
    <row r="94" spans="1:8" x14ac:dyDescent="0.25">
      <c r="A94">
        <v>200000045</v>
      </c>
      <c r="B94" t="s">
        <v>103</v>
      </c>
      <c r="C94" t="s">
        <v>9</v>
      </c>
      <c r="D94">
        <v>0</v>
      </c>
      <c r="E94" s="15">
        <v>0</v>
      </c>
      <c r="F94">
        <v>0</v>
      </c>
      <c r="G94">
        <v>0</v>
      </c>
      <c r="H94">
        <f>IFERROR(VLOOKUP(CENTRAL[[#This Row],[Cód]],SUB[#All],4,0),0) + CENTRAL[[#This Row],[CMM]]</f>
        <v>0</v>
      </c>
    </row>
    <row r="95" spans="1:8" x14ac:dyDescent="0.25">
      <c r="A95">
        <v>200002643</v>
      </c>
      <c r="B95" t="s">
        <v>104</v>
      </c>
      <c r="C95" t="s">
        <v>9</v>
      </c>
      <c r="D95">
        <v>7.75</v>
      </c>
      <c r="E95" s="15">
        <v>0</v>
      </c>
      <c r="F95">
        <v>0</v>
      </c>
      <c r="G95">
        <v>0</v>
      </c>
      <c r="H95">
        <f>IFERROR(VLOOKUP(CENTRAL[[#This Row],[Cód]],SUB[#All],4,0),0) + CENTRAL[[#This Row],[CMM]]</f>
        <v>13.41</v>
      </c>
    </row>
    <row r="96" spans="1:8" x14ac:dyDescent="0.25">
      <c r="A96">
        <v>200002061</v>
      </c>
      <c r="B96" t="s">
        <v>105</v>
      </c>
      <c r="C96" t="s">
        <v>9</v>
      </c>
      <c r="D96">
        <v>0</v>
      </c>
      <c r="E96" s="15">
        <v>0</v>
      </c>
      <c r="F96">
        <v>0</v>
      </c>
      <c r="G96">
        <v>0</v>
      </c>
      <c r="H96">
        <f>IFERROR(VLOOKUP(CENTRAL[[#This Row],[Cód]],SUB[#All],4,0),0) + CENTRAL[[#This Row],[CMM]]</f>
        <v>0</v>
      </c>
    </row>
    <row r="97" spans="1:8" x14ac:dyDescent="0.25">
      <c r="A97">
        <v>200006423</v>
      </c>
      <c r="B97" t="s">
        <v>106</v>
      </c>
      <c r="C97" t="s">
        <v>9</v>
      </c>
      <c r="D97">
        <v>0</v>
      </c>
      <c r="E97" s="15">
        <v>0</v>
      </c>
      <c r="F97">
        <v>0</v>
      </c>
      <c r="G97">
        <v>0</v>
      </c>
      <c r="H97">
        <f>IFERROR(VLOOKUP(CENTRAL[[#This Row],[Cód]],SUB[#All],4,0),0) + CENTRAL[[#This Row],[CMM]]</f>
        <v>0</v>
      </c>
    </row>
    <row r="98" spans="1:8" x14ac:dyDescent="0.25">
      <c r="A98">
        <v>200007110</v>
      </c>
      <c r="B98" t="s">
        <v>107</v>
      </c>
      <c r="C98" t="s">
        <v>108</v>
      </c>
      <c r="D98">
        <v>12</v>
      </c>
      <c r="E98" s="15">
        <v>0</v>
      </c>
      <c r="F98">
        <v>0</v>
      </c>
      <c r="G98">
        <v>0</v>
      </c>
      <c r="H98">
        <f>IFERROR(VLOOKUP(CENTRAL[[#This Row],[Cód]],SUB[#All],4,0),0) + CENTRAL[[#This Row],[CMM]]</f>
        <v>12</v>
      </c>
    </row>
    <row r="99" spans="1:8" x14ac:dyDescent="0.25">
      <c r="A99">
        <v>200005833</v>
      </c>
      <c r="B99" t="s">
        <v>109</v>
      </c>
      <c r="C99" t="s">
        <v>110</v>
      </c>
      <c r="D99">
        <v>0</v>
      </c>
      <c r="E99" s="15">
        <v>0</v>
      </c>
      <c r="F99">
        <v>0</v>
      </c>
      <c r="G99">
        <v>0</v>
      </c>
      <c r="H99">
        <f>IFERROR(VLOOKUP(CENTRAL[[#This Row],[Cód]],SUB[#All],4,0),0) + CENTRAL[[#This Row],[CMM]]</f>
        <v>0</v>
      </c>
    </row>
    <row r="100" spans="1:8" x14ac:dyDescent="0.25">
      <c r="A100">
        <v>200006090</v>
      </c>
      <c r="B100" t="s">
        <v>111</v>
      </c>
      <c r="C100" t="s">
        <v>9</v>
      </c>
      <c r="D100">
        <v>0.57999999999999996</v>
      </c>
      <c r="E100" s="15">
        <v>1796.16</v>
      </c>
      <c r="F100">
        <v>0</v>
      </c>
      <c r="G100">
        <v>1</v>
      </c>
      <c r="H100">
        <f>IFERROR(VLOOKUP(CENTRAL[[#This Row],[Cód]],SUB[#All],4,0),0) + CENTRAL[[#This Row],[CMM]]</f>
        <v>0.57999999999999996</v>
      </c>
    </row>
    <row r="101" spans="1:8" x14ac:dyDescent="0.25">
      <c r="A101">
        <v>200000159</v>
      </c>
      <c r="B101" t="s">
        <v>112</v>
      </c>
      <c r="C101" t="s">
        <v>9</v>
      </c>
      <c r="D101">
        <v>0</v>
      </c>
      <c r="E101" s="15">
        <v>0</v>
      </c>
      <c r="F101">
        <v>0</v>
      </c>
      <c r="G101">
        <v>0</v>
      </c>
      <c r="H101">
        <f>IFERROR(VLOOKUP(CENTRAL[[#This Row],[Cód]],SUB[#All],4,0),0) + CENTRAL[[#This Row],[CMM]]</f>
        <v>0</v>
      </c>
    </row>
    <row r="102" spans="1:8" x14ac:dyDescent="0.25">
      <c r="A102">
        <v>200000704</v>
      </c>
      <c r="B102" t="s">
        <v>113</v>
      </c>
      <c r="C102" t="s">
        <v>9</v>
      </c>
      <c r="D102">
        <v>0</v>
      </c>
      <c r="E102" s="15">
        <v>0</v>
      </c>
      <c r="F102">
        <v>0</v>
      </c>
      <c r="G102">
        <v>0</v>
      </c>
      <c r="H102">
        <f>IFERROR(VLOOKUP(CENTRAL[[#This Row],[Cód]],SUB[#All],4,0),0) + CENTRAL[[#This Row],[CMM]]</f>
        <v>0</v>
      </c>
    </row>
    <row r="103" spans="1:8" x14ac:dyDescent="0.25">
      <c r="A103">
        <v>200002055</v>
      </c>
      <c r="B103" t="s">
        <v>114</v>
      </c>
      <c r="C103" t="s">
        <v>9</v>
      </c>
      <c r="D103">
        <v>0.83</v>
      </c>
      <c r="E103" s="15">
        <v>923.48</v>
      </c>
      <c r="F103">
        <v>0</v>
      </c>
      <c r="G103">
        <v>2</v>
      </c>
      <c r="H103">
        <f>IFERROR(VLOOKUP(CENTRAL[[#This Row],[Cód]],SUB[#All],4,0),0) + CENTRAL[[#This Row],[CMM]]</f>
        <v>0.83</v>
      </c>
    </row>
    <row r="104" spans="1:8" x14ac:dyDescent="0.25">
      <c r="A104">
        <v>200003618</v>
      </c>
      <c r="B104" t="s">
        <v>115</v>
      </c>
      <c r="C104" t="s">
        <v>9</v>
      </c>
      <c r="D104">
        <v>0.08</v>
      </c>
      <c r="E104" s="15">
        <v>0</v>
      </c>
      <c r="F104">
        <v>0</v>
      </c>
      <c r="G104">
        <v>0</v>
      </c>
      <c r="H104">
        <f>IFERROR(VLOOKUP(CENTRAL[[#This Row],[Cód]],SUB[#All],4,0),0) + CENTRAL[[#This Row],[CMM]]</f>
        <v>0.08</v>
      </c>
    </row>
    <row r="105" spans="1:8" x14ac:dyDescent="0.25">
      <c r="A105">
        <v>200005715</v>
      </c>
      <c r="B105" t="s">
        <v>116</v>
      </c>
      <c r="C105" t="s">
        <v>9</v>
      </c>
      <c r="D105">
        <v>0</v>
      </c>
      <c r="E105" s="15">
        <v>0</v>
      </c>
      <c r="F105">
        <v>0</v>
      </c>
      <c r="G105">
        <v>0</v>
      </c>
      <c r="H105">
        <f>IFERROR(VLOOKUP(CENTRAL[[#This Row],[Cód]],SUB[#All],4,0),0) + CENTRAL[[#This Row],[CMM]]</f>
        <v>0</v>
      </c>
    </row>
    <row r="106" spans="1:8" x14ac:dyDescent="0.25">
      <c r="A106">
        <v>200006280</v>
      </c>
      <c r="B106" t="s">
        <v>117</v>
      </c>
      <c r="C106" t="s">
        <v>9</v>
      </c>
      <c r="D106">
        <v>0</v>
      </c>
      <c r="E106" s="15">
        <v>0</v>
      </c>
      <c r="F106">
        <v>0</v>
      </c>
      <c r="G106">
        <v>0</v>
      </c>
      <c r="H106">
        <f>IFERROR(VLOOKUP(CENTRAL[[#This Row],[Cód]],SUB[#All],4,0),0) + CENTRAL[[#This Row],[CMM]]</f>
        <v>0</v>
      </c>
    </row>
    <row r="107" spans="1:8" x14ac:dyDescent="0.25">
      <c r="A107">
        <v>200005774</v>
      </c>
      <c r="B107" t="s">
        <v>118</v>
      </c>
      <c r="C107" t="s">
        <v>9</v>
      </c>
      <c r="D107">
        <v>0</v>
      </c>
      <c r="E107" s="15">
        <v>0</v>
      </c>
      <c r="F107">
        <v>0</v>
      </c>
      <c r="G107">
        <v>0</v>
      </c>
      <c r="H107">
        <f>IFERROR(VLOOKUP(CENTRAL[[#This Row],[Cód]],SUB[#All],4,0),0) + CENTRAL[[#This Row],[CMM]]</f>
        <v>0</v>
      </c>
    </row>
    <row r="108" spans="1:8" x14ac:dyDescent="0.25">
      <c r="A108">
        <v>200005803</v>
      </c>
      <c r="B108" t="s">
        <v>119</v>
      </c>
      <c r="C108" t="s">
        <v>9</v>
      </c>
      <c r="D108">
        <v>0</v>
      </c>
      <c r="E108" s="15">
        <v>0</v>
      </c>
      <c r="F108">
        <v>0</v>
      </c>
      <c r="G108">
        <v>0</v>
      </c>
      <c r="H108">
        <f>IFERROR(VLOOKUP(CENTRAL[[#This Row],[Cód]],SUB[#All],4,0),0) + CENTRAL[[#This Row],[CMM]]</f>
        <v>0</v>
      </c>
    </row>
    <row r="109" spans="1:8" x14ac:dyDescent="0.25">
      <c r="A109">
        <v>200005804</v>
      </c>
      <c r="B109" t="s">
        <v>120</v>
      </c>
      <c r="C109" t="s">
        <v>9</v>
      </c>
      <c r="D109">
        <v>0</v>
      </c>
      <c r="E109" s="15">
        <v>0</v>
      </c>
      <c r="F109">
        <v>0</v>
      </c>
      <c r="G109">
        <v>0</v>
      </c>
      <c r="H109">
        <f>IFERROR(VLOOKUP(CENTRAL[[#This Row],[Cód]],SUB[#All],4,0),0) + CENTRAL[[#This Row],[CMM]]</f>
        <v>0</v>
      </c>
    </row>
    <row r="110" spans="1:8" x14ac:dyDescent="0.25">
      <c r="A110">
        <v>200004625</v>
      </c>
      <c r="B110" t="s">
        <v>121</v>
      </c>
      <c r="C110" t="s">
        <v>108</v>
      </c>
      <c r="D110">
        <v>0</v>
      </c>
      <c r="E110" s="15">
        <v>0</v>
      </c>
      <c r="F110">
        <v>0</v>
      </c>
      <c r="G110">
        <v>0</v>
      </c>
      <c r="H110">
        <f>IFERROR(VLOOKUP(CENTRAL[[#This Row],[Cód]],SUB[#All],4,0),0) + CENTRAL[[#This Row],[CMM]]</f>
        <v>0</v>
      </c>
    </row>
    <row r="111" spans="1:8" x14ac:dyDescent="0.25">
      <c r="A111">
        <v>200004315</v>
      </c>
      <c r="B111" t="s">
        <v>122</v>
      </c>
      <c r="C111" t="s">
        <v>9</v>
      </c>
      <c r="D111">
        <v>0</v>
      </c>
      <c r="E111" s="15">
        <v>0</v>
      </c>
      <c r="F111">
        <v>0</v>
      </c>
      <c r="G111">
        <v>0</v>
      </c>
      <c r="H111">
        <f>IFERROR(VLOOKUP(CENTRAL[[#This Row],[Cód]],SUB[#All],4,0),0) + CENTRAL[[#This Row],[CMM]]</f>
        <v>0</v>
      </c>
    </row>
    <row r="112" spans="1:8" x14ac:dyDescent="0.25">
      <c r="A112">
        <v>200007031</v>
      </c>
      <c r="B112" t="s">
        <v>123</v>
      </c>
      <c r="C112" t="s">
        <v>9</v>
      </c>
      <c r="D112">
        <v>0.09</v>
      </c>
      <c r="E112" s="15">
        <v>0</v>
      </c>
      <c r="F112">
        <v>0</v>
      </c>
      <c r="G112">
        <v>0</v>
      </c>
      <c r="H112">
        <f>IFERROR(VLOOKUP(CENTRAL[[#This Row],[Cód]],SUB[#All],4,0),0) + CENTRAL[[#This Row],[CMM]]</f>
        <v>0.09</v>
      </c>
    </row>
    <row r="113" spans="1:8" x14ac:dyDescent="0.25">
      <c r="A113">
        <v>200007030</v>
      </c>
      <c r="B113" t="s">
        <v>124</v>
      </c>
      <c r="C113" t="s">
        <v>9</v>
      </c>
      <c r="D113">
        <v>0.45</v>
      </c>
      <c r="E113" s="15">
        <v>0</v>
      </c>
      <c r="F113">
        <v>0</v>
      </c>
      <c r="G113">
        <v>0</v>
      </c>
      <c r="H113">
        <f>IFERROR(VLOOKUP(CENTRAL[[#This Row],[Cód]],SUB[#All],4,0),0) + CENTRAL[[#This Row],[CMM]]</f>
        <v>0.45</v>
      </c>
    </row>
    <row r="114" spans="1:8" x14ac:dyDescent="0.25">
      <c r="A114">
        <v>200006370</v>
      </c>
      <c r="B114" t="s">
        <v>125</v>
      </c>
      <c r="C114" t="s">
        <v>9</v>
      </c>
      <c r="D114">
        <v>0.08</v>
      </c>
      <c r="E114" s="15">
        <v>0</v>
      </c>
      <c r="F114">
        <v>0</v>
      </c>
      <c r="G114">
        <v>0</v>
      </c>
      <c r="H114">
        <f>IFERROR(VLOOKUP(CENTRAL[[#This Row],[Cód]],SUB[#All],4,0),0) + CENTRAL[[#This Row],[CMM]]</f>
        <v>0.08</v>
      </c>
    </row>
    <row r="115" spans="1:8" x14ac:dyDescent="0.25">
      <c r="A115">
        <v>200006370</v>
      </c>
      <c r="B115" t="s">
        <v>125</v>
      </c>
      <c r="C115" t="s">
        <v>9</v>
      </c>
      <c r="D115">
        <v>0.08</v>
      </c>
      <c r="E115" s="15">
        <v>0</v>
      </c>
      <c r="F115">
        <v>0</v>
      </c>
      <c r="G115">
        <v>0</v>
      </c>
      <c r="H115">
        <f>IFERROR(VLOOKUP(CENTRAL[[#This Row],[Cód]],SUB[#All],4,0),0) + CENTRAL[[#This Row],[CMM]]</f>
        <v>0.08</v>
      </c>
    </row>
    <row r="116" spans="1:8" x14ac:dyDescent="0.25">
      <c r="A116">
        <v>200006372</v>
      </c>
      <c r="B116" t="s">
        <v>126</v>
      </c>
      <c r="C116" t="s">
        <v>9</v>
      </c>
      <c r="D116">
        <v>0</v>
      </c>
      <c r="E116" s="15">
        <v>0</v>
      </c>
      <c r="F116">
        <v>0</v>
      </c>
      <c r="G116">
        <v>0</v>
      </c>
      <c r="H116">
        <f>IFERROR(VLOOKUP(CENTRAL[[#This Row],[Cód]],SUB[#All],4,0),0) + CENTRAL[[#This Row],[CMM]]</f>
        <v>0</v>
      </c>
    </row>
    <row r="117" spans="1:8" x14ac:dyDescent="0.25">
      <c r="A117">
        <v>200006368</v>
      </c>
      <c r="B117" t="s">
        <v>127</v>
      </c>
      <c r="C117" t="s">
        <v>9</v>
      </c>
      <c r="D117">
        <v>0</v>
      </c>
      <c r="E117" s="15">
        <v>0</v>
      </c>
      <c r="F117">
        <v>0</v>
      </c>
      <c r="G117">
        <v>0</v>
      </c>
      <c r="H117">
        <f>IFERROR(VLOOKUP(CENTRAL[[#This Row],[Cód]],SUB[#All],4,0),0) + CENTRAL[[#This Row],[CMM]]</f>
        <v>0</v>
      </c>
    </row>
    <row r="118" spans="1:8" x14ac:dyDescent="0.25">
      <c r="A118">
        <v>200006369</v>
      </c>
      <c r="B118" t="s">
        <v>128</v>
      </c>
      <c r="C118" t="s">
        <v>9</v>
      </c>
      <c r="D118">
        <v>0</v>
      </c>
      <c r="E118" s="15">
        <v>0</v>
      </c>
      <c r="F118">
        <v>0</v>
      </c>
      <c r="G118">
        <v>0</v>
      </c>
      <c r="H118">
        <f>IFERROR(VLOOKUP(CENTRAL[[#This Row],[Cód]],SUB[#All],4,0),0) + CENTRAL[[#This Row],[CMM]]</f>
        <v>0</v>
      </c>
    </row>
    <row r="119" spans="1:8" x14ac:dyDescent="0.25">
      <c r="A119">
        <v>200006371</v>
      </c>
      <c r="B119" t="s">
        <v>129</v>
      </c>
      <c r="C119" t="s">
        <v>9</v>
      </c>
      <c r="D119">
        <v>0</v>
      </c>
      <c r="E119" s="15">
        <v>0</v>
      </c>
      <c r="F119">
        <v>0</v>
      </c>
      <c r="G119">
        <v>0</v>
      </c>
      <c r="H119">
        <f>IFERROR(VLOOKUP(CENTRAL[[#This Row],[Cód]],SUB[#All],4,0),0) + CENTRAL[[#This Row],[CMM]]</f>
        <v>0</v>
      </c>
    </row>
    <row r="120" spans="1:8" x14ac:dyDescent="0.25">
      <c r="A120">
        <v>200005805</v>
      </c>
      <c r="B120" t="s">
        <v>130</v>
      </c>
      <c r="C120" t="s">
        <v>9</v>
      </c>
      <c r="D120">
        <v>0</v>
      </c>
      <c r="E120" s="15">
        <v>0</v>
      </c>
      <c r="F120">
        <v>0</v>
      </c>
      <c r="G120">
        <v>0</v>
      </c>
      <c r="H120">
        <f>IFERROR(VLOOKUP(CENTRAL[[#This Row],[Cód]],SUB[#All],4,0),0) + CENTRAL[[#This Row],[CMM]]</f>
        <v>0</v>
      </c>
    </row>
    <row r="121" spans="1:8" x14ac:dyDescent="0.25">
      <c r="A121">
        <v>200003813</v>
      </c>
      <c r="B121" t="s">
        <v>131</v>
      </c>
      <c r="C121" t="s">
        <v>9</v>
      </c>
      <c r="D121">
        <v>0</v>
      </c>
      <c r="E121" s="15">
        <v>0</v>
      </c>
      <c r="F121">
        <v>0</v>
      </c>
      <c r="G121">
        <v>0</v>
      </c>
      <c r="H121">
        <f>IFERROR(VLOOKUP(CENTRAL[[#This Row],[Cód]],SUB[#All],4,0),0) + CENTRAL[[#This Row],[CMM]]</f>
        <v>0</v>
      </c>
    </row>
    <row r="122" spans="1:8" x14ac:dyDescent="0.25">
      <c r="A122">
        <v>200003812</v>
      </c>
      <c r="B122" t="s">
        <v>132</v>
      </c>
      <c r="C122" t="s">
        <v>9</v>
      </c>
      <c r="D122">
        <v>0</v>
      </c>
      <c r="E122" s="15">
        <v>0</v>
      </c>
      <c r="F122">
        <v>0</v>
      </c>
      <c r="G122">
        <v>0</v>
      </c>
      <c r="H122">
        <f>IFERROR(VLOOKUP(CENTRAL[[#This Row],[Cód]],SUB[#All],4,0),0) + CENTRAL[[#This Row],[CMM]]</f>
        <v>0</v>
      </c>
    </row>
    <row r="123" spans="1:8" x14ac:dyDescent="0.25">
      <c r="A123">
        <v>200003811</v>
      </c>
      <c r="B123" t="s">
        <v>133</v>
      </c>
      <c r="C123" t="s">
        <v>9</v>
      </c>
      <c r="D123">
        <v>0</v>
      </c>
      <c r="E123" s="15">
        <v>0</v>
      </c>
      <c r="F123">
        <v>0</v>
      </c>
      <c r="G123">
        <v>0</v>
      </c>
      <c r="H123">
        <f>IFERROR(VLOOKUP(CENTRAL[[#This Row],[Cód]],SUB[#All],4,0),0) + CENTRAL[[#This Row],[CMM]]</f>
        <v>0</v>
      </c>
    </row>
    <row r="124" spans="1:8" x14ac:dyDescent="0.25">
      <c r="A124">
        <v>200000074</v>
      </c>
      <c r="B124" t="s">
        <v>134</v>
      </c>
      <c r="C124" t="s">
        <v>9</v>
      </c>
      <c r="D124">
        <v>0</v>
      </c>
      <c r="E124" s="15">
        <v>16.5</v>
      </c>
      <c r="F124">
        <v>0</v>
      </c>
      <c r="G124">
        <v>18</v>
      </c>
      <c r="H124">
        <f>IFERROR(VLOOKUP(CENTRAL[[#This Row],[Cód]],SUB[#All],4,0),0) + CENTRAL[[#This Row],[CMM]]</f>
        <v>0</v>
      </c>
    </row>
    <row r="125" spans="1:8" x14ac:dyDescent="0.25">
      <c r="A125">
        <v>200000075</v>
      </c>
      <c r="B125" t="s">
        <v>135</v>
      </c>
      <c r="C125" t="s">
        <v>9</v>
      </c>
      <c r="D125">
        <v>0.16</v>
      </c>
      <c r="E125" s="15">
        <v>19.61</v>
      </c>
      <c r="F125">
        <v>0</v>
      </c>
      <c r="G125">
        <v>32</v>
      </c>
      <c r="H125">
        <f>IFERROR(VLOOKUP(CENTRAL[[#This Row],[Cód]],SUB[#All],4,0),0) + CENTRAL[[#This Row],[CMM]]</f>
        <v>0.32</v>
      </c>
    </row>
    <row r="126" spans="1:8" x14ac:dyDescent="0.25">
      <c r="A126">
        <v>200001346</v>
      </c>
      <c r="B126" t="s">
        <v>136</v>
      </c>
      <c r="C126" t="s">
        <v>9</v>
      </c>
      <c r="D126">
        <v>0</v>
      </c>
      <c r="E126" s="15">
        <v>124.16</v>
      </c>
      <c r="F126">
        <v>0</v>
      </c>
      <c r="G126">
        <v>43</v>
      </c>
      <c r="H126">
        <f>IFERROR(VLOOKUP(CENTRAL[[#This Row],[Cód]],SUB[#All],4,0),0) + CENTRAL[[#This Row],[CMM]]</f>
        <v>0</v>
      </c>
    </row>
    <row r="127" spans="1:8" x14ac:dyDescent="0.25">
      <c r="A127">
        <v>200001010</v>
      </c>
      <c r="B127" t="s">
        <v>137</v>
      </c>
      <c r="C127" t="s">
        <v>9</v>
      </c>
      <c r="D127">
        <v>0.25</v>
      </c>
      <c r="E127" s="15">
        <v>65.45</v>
      </c>
      <c r="F127">
        <v>0</v>
      </c>
      <c r="G127">
        <v>59</v>
      </c>
      <c r="H127">
        <f>IFERROR(VLOOKUP(CENTRAL[[#This Row],[Cód]],SUB[#All],4,0),0) + CENTRAL[[#This Row],[CMM]]</f>
        <v>0.25</v>
      </c>
    </row>
    <row r="128" spans="1:8" x14ac:dyDescent="0.25">
      <c r="A128">
        <v>200005321</v>
      </c>
      <c r="B128" t="s">
        <v>138</v>
      </c>
      <c r="C128" t="s">
        <v>9</v>
      </c>
      <c r="D128">
        <v>0.41</v>
      </c>
      <c r="E128" s="15">
        <v>0</v>
      </c>
      <c r="F128">
        <v>0</v>
      </c>
      <c r="G128">
        <v>0</v>
      </c>
      <c r="H128">
        <f>IFERROR(VLOOKUP(CENTRAL[[#This Row],[Cód]],SUB[#All],4,0),0) + CENTRAL[[#This Row],[CMM]]</f>
        <v>0.41</v>
      </c>
    </row>
    <row r="129" spans="1:8" x14ac:dyDescent="0.25">
      <c r="A129">
        <v>200001058</v>
      </c>
      <c r="B129" t="s">
        <v>139</v>
      </c>
      <c r="C129" t="s">
        <v>9</v>
      </c>
      <c r="D129">
        <v>0</v>
      </c>
      <c r="E129" s="15">
        <v>0</v>
      </c>
      <c r="F129">
        <v>0</v>
      </c>
      <c r="G129">
        <v>0</v>
      </c>
      <c r="H129">
        <f>IFERROR(VLOOKUP(CENTRAL[[#This Row],[Cód]],SUB[#All],4,0),0) + CENTRAL[[#This Row],[CMM]]</f>
        <v>0</v>
      </c>
    </row>
    <row r="130" spans="1:8" x14ac:dyDescent="0.25">
      <c r="A130">
        <v>200003303</v>
      </c>
      <c r="B130" t="s">
        <v>140</v>
      </c>
      <c r="C130" t="s">
        <v>9</v>
      </c>
      <c r="D130">
        <v>0</v>
      </c>
      <c r="E130" s="15">
        <v>0</v>
      </c>
      <c r="F130">
        <v>0</v>
      </c>
      <c r="G130">
        <v>0</v>
      </c>
      <c r="H130">
        <f>IFERROR(VLOOKUP(CENTRAL[[#This Row],[Cód]],SUB[#All],4,0),0) + CENTRAL[[#This Row],[CMM]]</f>
        <v>0</v>
      </c>
    </row>
    <row r="131" spans="1:8" x14ac:dyDescent="0.25">
      <c r="A131">
        <v>200005005</v>
      </c>
      <c r="B131" t="s">
        <v>141</v>
      </c>
      <c r="C131" t="s">
        <v>9</v>
      </c>
      <c r="D131">
        <v>0</v>
      </c>
      <c r="E131" s="15">
        <v>0</v>
      </c>
      <c r="F131">
        <v>0</v>
      </c>
      <c r="G131">
        <v>0</v>
      </c>
      <c r="H131">
        <f>IFERROR(VLOOKUP(CENTRAL[[#This Row],[Cód]],SUB[#All],4,0),0) + CENTRAL[[#This Row],[CMM]]</f>
        <v>0</v>
      </c>
    </row>
    <row r="132" spans="1:8" x14ac:dyDescent="0.25">
      <c r="A132">
        <v>200004660</v>
      </c>
      <c r="B132" t="s">
        <v>142</v>
      </c>
      <c r="C132" t="s">
        <v>9</v>
      </c>
      <c r="D132">
        <v>0</v>
      </c>
      <c r="E132" s="15">
        <v>0</v>
      </c>
      <c r="F132">
        <v>0</v>
      </c>
      <c r="G132">
        <v>0</v>
      </c>
      <c r="H132">
        <f>IFERROR(VLOOKUP(CENTRAL[[#This Row],[Cód]],SUB[#All],4,0),0) + CENTRAL[[#This Row],[CMM]]</f>
        <v>0</v>
      </c>
    </row>
    <row r="133" spans="1:8" x14ac:dyDescent="0.25">
      <c r="A133">
        <v>200006212</v>
      </c>
      <c r="B133" t="s">
        <v>143</v>
      </c>
      <c r="C133" t="s">
        <v>144</v>
      </c>
      <c r="D133">
        <v>0</v>
      </c>
      <c r="E133" s="15">
        <v>25.8</v>
      </c>
      <c r="F133">
        <v>0</v>
      </c>
      <c r="G133">
        <v>100</v>
      </c>
      <c r="H133">
        <f>IFERROR(VLOOKUP(CENTRAL[[#This Row],[Cód]],SUB[#All],4,0),0) + CENTRAL[[#This Row],[CMM]]</f>
        <v>0</v>
      </c>
    </row>
    <row r="134" spans="1:8" x14ac:dyDescent="0.25">
      <c r="A134">
        <v>200001062</v>
      </c>
      <c r="B134" t="s">
        <v>145</v>
      </c>
      <c r="C134" t="s">
        <v>9</v>
      </c>
      <c r="D134">
        <v>0</v>
      </c>
      <c r="E134" s="15">
        <v>0</v>
      </c>
      <c r="F134">
        <v>0</v>
      </c>
      <c r="G134">
        <v>0</v>
      </c>
      <c r="H134">
        <f>IFERROR(VLOOKUP(CENTRAL[[#This Row],[Cód]],SUB[#All],4,0),0) + CENTRAL[[#This Row],[CMM]]</f>
        <v>0</v>
      </c>
    </row>
    <row r="135" spans="1:8" x14ac:dyDescent="0.25">
      <c r="A135">
        <v>200002121</v>
      </c>
      <c r="B135" t="s">
        <v>146</v>
      </c>
      <c r="C135" t="s">
        <v>9</v>
      </c>
      <c r="D135">
        <v>4.16</v>
      </c>
      <c r="E135" s="15">
        <v>0.38</v>
      </c>
      <c r="F135">
        <v>0</v>
      </c>
      <c r="G135">
        <v>236</v>
      </c>
      <c r="H135">
        <f>IFERROR(VLOOKUP(CENTRAL[[#This Row],[Cód]],SUB[#All],4,0),0) + CENTRAL[[#This Row],[CMM]]</f>
        <v>8.32</v>
      </c>
    </row>
    <row r="136" spans="1:8" x14ac:dyDescent="0.25">
      <c r="A136">
        <v>200006062</v>
      </c>
      <c r="B136" t="s">
        <v>147</v>
      </c>
      <c r="C136" t="s">
        <v>96</v>
      </c>
      <c r="D136">
        <v>0.16</v>
      </c>
      <c r="E136" s="15">
        <v>48.52</v>
      </c>
      <c r="F136">
        <v>0</v>
      </c>
      <c r="G136">
        <v>3</v>
      </c>
      <c r="H136">
        <f>IFERROR(VLOOKUP(CENTRAL[[#This Row],[Cód]],SUB[#All],4,0),0) + CENTRAL[[#This Row],[CMM]]</f>
        <v>0.16</v>
      </c>
    </row>
    <row r="137" spans="1:8" x14ac:dyDescent="0.25">
      <c r="A137">
        <v>200001060</v>
      </c>
      <c r="B137" t="s">
        <v>148</v>
      </c>
      <c r="C137" t="s">
        <v>9</v>
      </c>
      <c r="D137">
        <v>0</v>
      </c>
      <c r="E137" s="15">
        <v>0</v>
      </c>
      <c r="F137">
        <v>0</v>
      </c>
      <c r="G137">
        <v>0</v>
      </c>
      <c r="H137">
        <f>IFERROR(VLOOKUP(CENTRAL[[#This Row],[Cód]],SUB[#All],4,0),0) + CENTRAL[[#This Row],[CMM]]</f>
        <v>0</v>
      </c>
    </row>
    <row r="138" spans="1:8" x14ac:dyDescent="0.25">
      <c r="A138">
        <v>200005817</v>
      </c>
      <c r="B138" t="s">
        <v>149</v>
      </c>
      <c r="C138" t="s">
        <v>96</v>
      </c>
      <c r="D138">
        <v>8.41</v>
      </c>
      <c r="E138" s="15">
        <v>8.2899999999999991</v>
      </c>
      <c r="F138">
        <v>9</v>
      </c>
      <c r="G138">
        <v>6</v>
      </c>
      <c r="H138">
        <f>IFERROR(VLOOKUP(CENTRAL[[#This Row],[Cód]],SUB[#All],4,0),0) + CENTRAL[[#This Row],[CMM]]</f>
        <v>8.82</v>
      </c>
    </row>
    <row r="139" spans="1:8" x14ac:dyDescent="0.25">
      <c r="A139">
        <v>200001061</v>
      </c>
      <c r="B139" t="s">
        <v>150</v>
      </c>
      <c r="C139" t="s">
        <v>9</v>
      </c>
      <c r="D139">
        <v>0</v>
      </c>
      <c r="E139" s="15">
        <v>0</v>
      </c>
      <c r="F139">
        <v>0</v>
      </c>
      <c r="G139">
        <v>0</v>
      </c>
      <c r="H139">
        <f>IFERROR(VLOOKUP(CENTRAL[[#This Row],[Cód]],SUB[#All],4,0),0) + CENTRAL[[#This Row],[CMM]]</f>
        <v>0</v>
      </c>
    </row>
    <row r="140" spans="1:8" x14ac:dyDescent="0.25">
      <c r="A140">
        <v>200005818</v>
      </c>
      <c r="B140" t="s">
        <v>151</v>
      </c>
      <c r="C140" t="s">
        <v>96</v>
      </c>
      <c r="D140">
        <v>2.58</v>
      </c>
      <c r="E140" s="15">
        <v>10.5</v>
      </c>
      <c r="F140">
        <v>0</v>
      </c>
      <c r="G140">
        <v>12</v>
      </c>
      <c r="H140">
        <f>IFERROR(VLOOKUP(CENTRAL[[#This Row],[Cód]],SUB[#All],4,0),0) + CENTRAL[[#This Row],[CMM]]</f>
        <v>2.91</v>
      </c>
    </row>
    <row r="141" spans="1:8" x14ac:dyDescent="0.25">
      <c r="A141">
        <v>200001919</v>
      </c>
      <c r="B141" t="s">
        <v>152</v>
      </c>
      <c r="C141" t="s">
        <v>9</v>
      </c>
      <c r="D141">
        <v>0</v>
      </c>
      <c r="E141" s="15">
        <v>2.35</v>
      </c>
      <c r="F141">
        <v>0</v>
      </c>
      <c r="G141">
        <v>41</v>
      </c>
      <c r="H141">
        <f>IFERROR(VLOOKUP(CENTRAL[[#This Row],[Cód]],SUB[#All],4,0),0) + CENTRAL[[#This Row],[CMM]]</f>
        <v>0</v>
      </c>
    </row>
    <row r="142" spans="1:8" x14ac:dyDescent="0.25">
      <c r="A142">
        <v>200001920</v>
      </c>
      <c r="B142" t="s">
        <v>153</v>
      </c>
      <c r="C142" t="s">
        <v>9</v>
      </c>
      <c r="D142">
        <v>0.08</v>
      </c>
      <c r="E142" s="15">
        <v>1.29</v>
      </c>
      <c r="F142">
        <v>0</v>
      </c>
      <c r="G142">
        <v>19</v>
      </c>
      <c r="H142">
        <f>IFERROR(VLOOKUP(CENTRAL[[#This Row],[Cód]],SUB[#All],4,0),0) + CENTRAL[[#This Row],[CMM]]</f>
        <v>0.08</v>
      </c>
    </row>
    <row r="143" spans="1:8" x14ac:dyDescent="0.25">
      <c r="A143">
        <v>200001921</v>
      </c>
      <c r="B143" t="s">
        <v>154</v>
      </c>
      <c r="C143" t="s">
        <v>9</v>
      </c>
      <c r="D143">
        <v>0.33</v>
      </c>
      <c r="E143" s="15">
        <v>1.93</v>
      </c>
      <c r="F143">
        <v>0</v>
      </c>
      <c r="G143">
        <v>24</v>
      </c>
      <c r="H143">
        <f>IFERROR(VLOOKUP(CENTRAL[[#This Row],[Cód]],SUB[#All],4,0),0) + CENTRAL[[#This Row],[CMM]]</f>
        <v>0.41000000000000003</v>
      </c>
    </row>
    <row r="144" spans="1:8" x14ac:dyDescent="0.25">
      <c r="A144">
        <v>200003609</v>
      </c>
      <c r="B144" t="s">
        <v>155</v>
      </c>
      <c r="C144" t="s">
        <v>9</v>
      </c>
      <c r="D144">
        <v>0</v>
      </c>
      <c r="E144" s="15">
        <v>0</v>
      </c>
      <c r="F144">
        <v>0</v>
      </c>
      <c r="G144">
        <v>0</v>
      </c>
      <c r="H144">
        <f>IFERROR(VLOOKUP(CENTRAL[[#This Row],[Cód]],SUB[#All],4,0),0) + CENTRAL[[#This Row],[CMM]]</f>
        <v>0</v>
      </c>
    </row>
    <row r="145" spans="1:8" x14ac:dyDescent="0.25">
      <c r="A145">
        <v>200000112</v>
      </c>
      <c r="B145" t="s">
        <v>156</v>
      </c>
      <c r="C145" t="s">
        <v>9</v>
      </c>
      <c r="D145">
        <v>0.25</v>
      </c>
      <c r="E145" s="15">
        <v>0.71</v>
      </c>
      <c r="F145">
        <v>0</v>
      </c>
      <c r="G145">
        <v>99</v>
      </c>
      <c r="H145">
        <f>IFERROR(VLOOKUP(CENTRAL[[#This Row],[Cód]],SUB[#All],4,0),0) + CENTRAL[[#This Row],[CMM]]</f>
        <v>0.33</v>
      </c>
    </row>
    <row r="146" spans="1:8" x14ac:dyDescent="0.25">
      <c r="A146">
        <v>200003611</v>
      </c>
      <c r="B146" t="s">
        <v>157</v>
      </c>
      <c r="C146" t="s">
        <v>9</v>
      </c>
      <c r="D146">
        <v>0</v>
      </c>
      <c r="E146" s="15">
        <v>0</v>
      </c>
      <c r="F146">
        <v>0</v>
      </c>
      <c r="G146">
        <v>0</v>
      </c>
      <c r="H146">
        <f>IFERROR(VLOOKUP(CENTRAL[[#This Row],[Cód]],SUB[#All],4,0),0) + CENTRAL[[#This Row],[CMM]]</f>
        <v>0.16</v>
      </c>
    </row>
    <row r="147" spans="1:8" x14ac:dyDescent="0.25">
      <c r="A147">
        <v>200003612</v>
      </c>
      <c r="B147" t="s">
        <v>158</v>
      </c>
      <c r="C147" t="s">
        <v>9</v>
      </c>
      <c r="D147">
        <v>0</v>
      </c>
      <c r="E147" s="15">
        <v>10.83</v>
      </c>
      <c r="F147">
        <v>0</v>
      </c>
      <c r="G147">
        <v>15</v>
      </c>
      <c r="H147">
        <f>IFERROR(VLOOKUP(CENTRAL[[#This Row],[Cód]],SUB[#All],4,0),0) + CENTRAL[[#This Row],[CMM]]</f>
        <v>0</v>
      </c>
    </row>
    <row r="148" spans="1:8" x14ac:dyDescent="0.25">
      <c r="A148">
        <v>200003610</v>
      </c>
      <c r="B148" t="s">
        <v>159</v>
      </c>
      <c r="C148" t="s">
        <v>9</v>
      </c>
      <c r="D148">
        <v>0</v>
      </c>
      <c r="E148" s="15">
        <v>2.75</v>
      </c>
      <c r="F148">
        <v>0</v>
      </c>
      <c r="G148">
        <v>9</v>
      </c>
      <c r="H148">
        <f>IFERROR(VLOOKUP(CENTRAL[[#This Row],[Cód]],SUB[#All],4,0),0) + CENTRAL[[#This Row],[CMM]]</f>
        <v>0</v>
      </c>
    </row>
    <row r="149" spans="1:8" x14ac:dyDescent="0.25">
      <c r="A149">
        <v>200003613</v>
      </c>
      <c r="B149" t="s">
        <v>160</v>
      </c>
      <c r="C149" t="s">
        <v>9</v>
      </c>
      <c r="D149">
        <v>0</v>
      </c>
      <c r="E149" s="15">
        <v>0</v>
      </c>
      <c r="F149">
        <v>0</v>
      </c>
      <c r="G149">
        <v>0</v>
      </c>
      <c r="H149">
        <f>IFERROR(VLOOKUP(CENTRAL[[#This Row],[Cód]],SUB[#All],4,0),0) + CENTRAL[[#This Row],[CMM]]</f>
        <v>0.08</v>
      </c>
    </row>
    <row r="150" spans="1:8" x14ac:dyDescent="0.25">
      <c r="A150">
        <v>200003615</v>
      </c>
      <c r="B150" t="s">
        <v>161</v>
      </c>
      <c r="C150" t="s">
        <v>9</v>
      </c>
      <c r="D150">
        <v>0</v>
      </c>
      <c r="E150" s="15">
        <v>0</v>
      </c>
      <c r="F150">
        <v>0</v>
      </c>
      <c r="G150">
        <v>0</v>
      </c>
      <c r="H150">
        <f>IFERROR(VLOOKUP(CENTRAL[[#This Row],[Cód]],SUB[#All],4,0),0) + CENTRAL[[#This Row],[CMM]]</f>
        <v>0</v>
      </c>
    </row>
    <row r="151" spans="1:8" x14ac:dyDescent="0.25">
      <c r="A151">
        <v>200003614</v>
      </c>
      <c r="B151" t="s">
        <v>162</v>
      </c>
      <c r="C151" t="s">
        <v>9</v>
      </c>
      <c r="D151">
        <v>0</v>
      </c>
      <c r="E151" s="15">
        <v>0</v>
      </c>
      <c r="F151">
        <v>0</v>
      </c>
      <c r="G151">
        <v>0</v>
      </c>
      <c r="H151">
        <f>IFERROR(VLOOKUP(CENTRAL[[#This Row],[Cód]],SUB[#All],4,0),0) + CENTRAL[[#This Row],[CMM]]</f>
        <v>0</v>
      </c>
    </row>
    <row r="152" spans="1:8" x14ac:dyDescent="0.25">
      <c r="A152">
        <v>200001922</v>
      </c>
      <c r="B152" t="s">
        <v>163</v>
      </c>
      <c r="C152" t="s">
        <v>9</v>
      </c>
      <c r="D152">
        <v>0.33</v>
      </c>
      <c r="E152" s="15">
        <v>0.5</v>
      </c>
      <c r="F152">
        <v>0</v>
      </c>
      <c r="G152">
        <v>6</v>
      </c>
      <c r="H152">
        <f>IFERROR(VLOOKUP(CENTRAL[[#This Row],[Cód]],SUB[#All],4,0),0) + CENTRAL[[#This Row],[CMM]]</f>
        <v>0.33</v>
      </c>
    </row>
    <row r="153" spans="1:8" x14ac:dyDescent="0.25">
      <c r="A153">
        <v>200001923</v>
      </c>
      <c r="B153" t="s">
        <v>164</v>
      </c>
      <c r="C153" t="s">
        <v>9</v>
      </c>
      <c r="D153">
        <v>4.16</v>
      </c>
      <c r="E153" s="15">
        <v>0</v>
      </c>
      <c r="F153">
        <v>0</v>
      </c>
      <c r="G153">
        <v>0</v>
      </c>
      <c r="H153">
        <f>IFERROR(VLOOKUP(CENTRAL[[#This Row],[Cód]],SUB[#All],4,0),0) + CENTRAL[[#This Row],[CMM]]</f>
        <v>4.16</v>
      </c>
    </row>
    <row r="154" spans="1:8" x14ac:dyDescent="0.25">
      <c r="A154">
        <v>200001924</v>
      </c>
      <c r="B154" t="s">
        <v>165</v>
      </c>
      <c r="C154" t="s">
        <v>9</v>
      </c>
      <c r="D154">
        <v>0.33</v>
      </c>
      <c r="E154" s="15">
        <v>2.35</v>
      </c>
      <c r="F154">
        <v>0</v>
      </c>
      <c r="G154">
        <v>6</v>
      </c>
      <c r="H154">
        <f>IFERROR(VLOOKUP(CENTRAL[[#This Row],[Cód]],SUB[#All],4,0),0) + CENTRAL[[#This Row],[CMM]]</f>
        <v>0.33</v>
      </c>
    </row>
    <row r="155" spans="1:8" x14ac:dyDescent="0.25">
      <c r="A155">
        <v>200001925</v>
      </c>
      <c r="B155" t="s">
        <v>166</v>
      </c>
      <c r="C155" t="s">
        <v>9</v>
      </c>
      <c r="D155">
        <v>0.16</v>
      </c>
      <c r="E155" s="15">
        <v>1.93</v>
      </c>
      <c r="F155">
        <v>0</v>
      </c>
      <c r="G155">
        <v>71</v>
      </c>
      <c r="H155">
        <f>IFERROR(VLOOKUP(CENTRAL[[#This Row],[Cód]],SUB[#All],4,0),0) + CENTRAL[[#This Row],[CMM]]</f>
        <v>0.32</v>
      </c>
    </row>
    <row r="156" spans="1:8" x14ac:dyDescent="0.25">
      <c r="A156">
        <v>200001926</v>
      </c>
      <c r="B156" t="s">
        <v>167</v>
      </c>
      <c r="C156" t="s">
        <v>9</v>
      </c>
      <c r="D156">
        <v>0.83</v>
      </c>
      <c r="E156" s="15">
        <v>3.66</v>
      </c>
      <c r="F156">
        <v>0</v>
      </c>
      <c r="G156">
        <v>20</v>
      </c>
      <c r="H156">
        <f>IFERROR(VLOOKUP(CENTRAL[[#This Row],[Cód]],SUB[#All],4,0),0) + CENTRAL[[#This Row],[CMM]]</f>
        <v>1.58</v>
      </c>
    </row>
    <row r="157" spans="1:8" x14ac:dyDescent="0.25">
      <c r="A157">
        <v>200004183</v>
      </c>
      <c r="B157" t="s">
        <v>168</v>
      </c>
      <c r="C157" t="s">
        <v>9</v>
      </c>
      <c r="D157">
        <v>0</v>
      </c>
      <c r="E157" s="15">
        <v>15</v>
      </c>
      <c r="F157">
        <v>0</v>
      </c>
      <c r="G157">
        <v>2</v>
      </c>
      <c r="H157">
        <f>IFERROR(VLOOKUP(CENTRAL[[#This Row],[Cód]],SUB[#All],4,0),0) + CENTRAL[[#This Row],[CMM]]</f>
        <v>0</v>
      </c>
    </row>
    <row r="158" spans="1:8" x14ac:dyDescent="0.25">
      <c r="A158">
        <v>200003595</v>
      </c>
      <c r="B158" t="s">
        <v>169</v>
      </c>
      <c r="C158" t="s">
        <v>9</v>
      </c>
      <c r="D158">
        <v>0.08</v>
      </c>
      <c r="E158" s="15">
        <v>14</v>
      </c>
      <c r="F158">
        <v>0</v>
      </c>
      <c r="G158">
        <v>6</v>
      </c>
      <c r="H158">
        <f>IFERROR(VLOOKUP(CENTRAL[[#This Row],[Cód]],SUB[#All],4,0),0) + CENTRAL[[#This Row],[CMM]]</f>
        <v>0.08</v>
      </c>
    </row>
    <row r="159" spans="1:8" x14ac:dyDescent="0.25">
      <c r="A159">
        <v>200006768</v>
      </c>
      <c r="B159" t="s">
        <v>170</v>
      </c>
      <c r="C159" t="s">
        <v>9</v>
      </c>
      <c r="D159">
        <v>0</v>
      </c>
      <c r="E159" s="15">
        <v>14</v>
      </c>
      <c r="F159">
        <v>0</v>
      </c>
      <c r="G159">
        <v>4</v>
      </c>
      <c r="H159">
        <f>IFERROR(VLOOKUP(CENTRAL[[#This Row],[Cód]],SUB[#All],4,0),0) + CENTRAL[[#This Row],[CMM]]</f>
        <v>0</v>
      </c>
    </row>
    <row r="160" spans="1:8" x14ac:dyDescent="0.25">
      <c r="A160">
        <v>200003594</v>
      </c>
      <c r="B160" t="s">
        <v>171</v>
      </c>
      <c r="C160" t="s">
        <v>9</v>
      </c>
      <c r="D160">
        <v>0.16</v>
      </c>
      <c r="E160" s="15">
        <v>31.93</v>
      </c>
      <c r="F160">
        <v>0</v>
      </c>
      <c r="G160">
        <v>5</v>
      </c>
      <c r="H160">
        <f>IFERROR(VLOOKUP(CENTRAL[[#This Row],[Cód]],SUB[#All],4,0),0) + CENTRAL[[#This Row],[CMM]]</f>
        <v>0.32</v>
      </c>
    </row>
    <row r="161" spans="1:8" x14ac:dyDescent="0.25">
      <c r="A161">
        <v>200006209</v>
      </c>
      <c r="B161" t="s">
        <v>172</v>
      </c>
      <c r="C161" t="s">
        <v>96</v>
      </c>
      <c r="D161">
        <v>0.08</v>
      </c>
      <c r="E161" s="15">
        <v>161.81</v>
      </c>
      <c r="F161">
        <v>0</v>
      </c>
      <c r="G161">
        <v>2</v>
      </c>
      <c r="H161">
        <f>IFERROR(VLOOKUP(CENTRAL[[#This Row],[Cód]],SUB[#All],4,0),0) + CENTRAL[[#This Row],[CMM]]</f>
        <v>0.08</v>
      </c>
    </row>
    <row r="162" spans="1:8" x14ac:dyDescent="0.25">
      <c r="A162">
        <v>200006400</v>
      </c>
      <c r="B162" t="s">
        <v>173</v>
      </c>
      <c r="C162" t="s">
        <v>9</v>
      </c>
      <c r="D162">
        <v>0</v>
      </c>
      <c r="E162" s="15">
        <v>0</v>
      </c>
      <c r="F162">
        <v>0</v>
      </c>
      <c r="G162">
        <v>0</v>
      </c>
      <c r="H162">
        <f>IFERROR(VLOOKUP(CENTRAL[[#This Row],[Cód]],SUB[#All],4,0),0) + CENTRAL[[#This Row],[CMM]]</f>
        <v>0</v>
      </c>
    </row>
    <row r="163" spans="1:8" x14ac:dyDescent="0.25">
      <c r="A163">
        <v>200001088</v>
      </c>
      <c r="B163" t="s">
        <v>174</v>
      </c>
      <c r="C163" t="s">
        <v>9</v>
      </c>
      <c r="D163">
        <v>0</v>
      </c>
      <c r="E163" s="15">
        <v>0</v>
      </c>
      <c r="F163">
        <v>0</v>
      </c>
      <c r="G163">
        <v>0</v>
      </c>
      <c r="H163">
        <f>IFERROR(VLOOKUP(CENTRAL[[#This Row],[Cód]],SUB[#All],4,0),0) + CENTRAL[[#This Row],[CMM]]</f>
        <v>0</v>
      </c>
    </row>
    <row r="164" spans="1:8" x14ac:dyDescent="0.25">
      <c r="A164">
        <v>200004980</v>
      </c>
      <c r="B164" t="s">
        <v>175</v>
      </c>
      <c r="C164" t="s">
        <v>9</v>
      </c>
      <c r="D164">
        <v>2.08</v>
      </c>
      <c r="E164" s="15">
        <v>14.82</v>
      </c>
      <c r="F164">
        <v>0</v>
      </c>
      <c r="G164">
        <v>13</v>
      </c>
      <c r="H164">
        <f>IFERROR(VLOOKUP(CENTRAL[[#This Row],[Cód]],SUB[#All],4,0),0) + CENTRAL[[#This Row],[CMM]]</f>
        <v>2.08</v>
      </c>
    </row>
    <row r="165" spans="1:8" x14ac:dyDescent="0.25">
      <c r="A165">
        <v>200000141</v>
      </c>
      <c r="B165" t="s">
        <v>176</v>
      </c>
      <c r="C165" t="s">
        <v>9</v>
      </c>
      <c r="D165">
        <v>0</v>
      </c>
      <c r="E165" s="15">
        <v>0</v>
      </c>
      <c r="F165">
        <v>0</v>
      </c>
      <c r="G165">
        <v>0</v>
      </c>
      <c r="H165">
        <f>IFERROR(VLOOKUP(CENTRAL[[#This Row],[Cód]],SUB[#All],4,0),0) + CENTRAL[[#This Row],[CMM]]</f>
        <v>0</v>
      </c>
    </row>
    <row r="166" spans="1:8" x14ac:dyDescent="0.25">
      <c r="A166">
        <v>200000141</v>
      </c>
      <c r="B166" t="s">
        <v>176</v>
      </c>
      <c r="C166" t="s">
        <v>9</v>
      </c>
      <c r="D166">
        <v>0</v>
      </c>
      <c r="E166" s="15">
        <v>0</v>
      </c>
      <c r="F166">
        <v>0</v>
      </c>
      <c r="G166">
        <v>0</v>
      </c>
      <c r="H166">
        <f>IFERROR(VLOOKUP(CENTRAL[[#This Row],[Cód]],SUB[#All],4,0),0) + CENTRAL[[#This Row],[CMM]]</f>
        <v>0</v>
      </c>
    </row>
    <row r="167" spans="1:8" x14ac:dyDescent="0.25">
      <c r="A167">
        <v>200002469</v>
      </c>
      <c r="B167" t="s">
        <v>177</v>
      </c>
      <c r="C167" t="s">
        <v>9</v>
      </c>
      <c r="D167">
        <v>0</v>
      </c>
      <c r="E167" s="15">
        <v>0</v>
      </c>
      <c r="F167">
        <v>0</v>
      </c>
      <c r="G167">
        <v>0</v>
      </c>
      <c r="H167">
        <f>IFERROR(VLOOKUP(CENTRAL[[#This Row],[Cód]],SUB[#All],4,0),0) + CENTRAL[[#This Row],[CMM]]</f>
        <v>0</v>
      </c>
    </row>
    <row r="168" spans="1:8" x14ac:dyDescent="0.25">
      <c r="A168">
        <v>200002469</v>
      </c>
      <c r="B168" t="s">
        <v>177</v>
      </c>
      <c r="C168" t="s">
        <v>9</v>
      </c>
      <c r="D168">
        <v>0</v>
      </c>
      <c r="E168" s="15">
        <v>0</v>
      </c>
      <c r="F168">
        <v>0</v>
      </c>
      <c r="G168">
        <v>0</v>
      </c>
      <c r="H168">
        <f>IFERROR(VLOOKUP(CENTRAL[[#This Row],[Cód]],SUB[#All],4,0),0) + CENTRAL[[#This Row],[CMM]]</f>
        <v>0</v>
      </c>
    </row>
    <row r="169" spans="1:8" x14ac:dyDescent="0.25">
      <c r="A169">
        <v>200004981</v>
      </c>
      <c r="B169" t="s">
        <v>178</v>
      </c>
      <c r="C169" t="s">
        <v>9</v>
      </c>
      <c r="D169">
        <v>1.75</v>
      </c>
      <c r="E169" s="15">
        <v>25</v>
      </c>
      <c r="F169">
        <v>0</v>
      </c>
      <c r="G169">
        <v>2</v>
      </c>
      <c r="H169">
        <f>IFERROR(VLOOKUP(CENTRAL[[#This Row],[Cód]],SUB[#All],4,0),0) + CENTRAL[[#This Row],[CMM]]</f>
        <v>1.75</v>
      </c>
    </row>
    <row r="170" spans="1:8" x14ac:dyDescent="0.25">
      <c r="A170">
        <v>200000142</v>
      </c>
      <c r="B170" t="s">
        <v>179</v>
      </c>
      <c r="C170" t="s">
        <v>9</v>
      </c>
      <c r="D170">
        <v>0</v>
      </c>
      <c r="E170" s="15">
        <v>0</v>
      </c>
      <c r="F170">
        <v>0</v>
      </c>
      <c r="G170">
        <v>0</v>
      </c>
      <c r="H170">
        <f>IFERROR(VLOOKUP(CENTRAL[[#This Row],[Cód]],SUB[#All],4,0),0) + CENTRAL[[#This Row],[CMM]]</f>
        <v>0</v>
      </c>
    </row>
    <row r="171" spans="1:8" x14ac:dyDescent="0.25">
      <c r="A171">
        <v>200000142</v>
      </c>
      <c r="B171" t="s">
        <v>179</v>
      </c>
      <c r="C171" t="s">
        <v>9</v>
      </c>
      <c r="D171">
        <v>0</v>
      </c>
      <c r="E171" s="15">
        <v>0</v>
      </c>
      <c r="F171">
        <v>0</v>
      </c>
      <c r="G171">
        <v>0</v>
      </c>
      <c r="H171">
        <f>IFERROR(VLOOKUP(CENTRAL[[#This Row],[Cód]],SUB[#All],4,0),0) + CENTRAL[[#This Row],[CMM]]</f>
        <v>0</v>
      </c>
    </row>
    <row r="172" spans="1:8" x14ac:dyDescent="0.25">
      <c r="A172">
        <v>200000140</v>
      </c>
      <c r="B172" t="s">
        <v>180</v>
      </c>
      <c r="C172" t="s">
        <v>9</v>
      </c>
      <c r="D172">
        <v>0</v>
      </c>
      <c r="E172" s="15">
        <v>0</v>
      </c>
      <c r="F172">
        <v>0</v>
      </c>
      <c r="G172">
        <v>0</v>
      </c>
      <c r="H172">
        <f>IFERROR(VLOOKUP(CENTRAL[[#This Row],[Cód]],SUB[#All],4,0),0) + CENTRAL[[#This Row],[CMM]]</f>
        <v>0</v>
      </c>
    </row>
    <row r="173" spans="1:8" x14ac:dyDescent="0.25">
      <c r="A173">
        <v>200000138</v>
      </c>
      <c r="B173" t="s">
        <v>181</v>
      </c>
      <c r="C173" t="s">
        <v>9</v>
      </c>
      <c r="D173">
        <v>2.83</v>
      </c>
      <c r="E173" s="15">
        <v>18</v>
      </c>
      <c r="F173">
        <v>0</v>
      </c>
      <c r="G173">
        <v>6</v>
      </c>
      <c r="H173">
        <f>IFERROR(VLOOKUP(CENTRAL[[#This Row],[Cód]],SUB[#All],4,0),0) + CENTRAL[[#This Row],[CMM]]</f>
        <v>2.83</v>
      </c>
    </row>
    <row r="174" spans="1:8" x14ac:dyDescent="0.25">
      <c r="A174">
        <v>200006850</v>
      </c>
      <c r="B174" t="s">
        <v>182</v>
      </c>
      <c r="C174" t="s">
        <v>9</v>
      </c>
      <c r="D174">
        <v>0</v>
      </c>
      <c r="E174" s="15">
        <v>111.72</v>
      </c>
      <c r="F174">
        <v>0</v>
      </c>
      <c r="G174">
        <v>2</v>
      </c>
      <c r="H174">
        <f>IFERROR(VLOOKUP(CENTRAL[[#This Row],[Cód]],SUB[#All],4,0),0) + CENTRAL[[#This Row],[CMM]]</f>
        <v>0</v>
      </c>
    </row>
    <row r="175" spans="1:8" x14ac:dyDescent="0.25">
      <c r="A175">
        <v>200006052</v>
      </c>
      <c r="B175" t="s">
        <v>183</v>
      </c>
      <c r="C175" t="s">
        <v>9</v>
      </c>
      <c r="D175">
        <v>2.08</v>
      </c>
      <c r="E175" s="15">
        <v>0</v>
      </c>
      <c r="F175">
        <v>0</v>
      </c>
      <c r="G175">
        <v>0</v>
      </c>
      <c r="H175">
        <f>IFERROR(VLOOKUP(CENTRAL[[#This Row],[Cód]],SUB[#All],4,0),0) + CENTRAL[[#This Row],[CMM]]</f>
        <v>2.08</v>
      </c>
    </row>
    <row r="176" spans="1:8" x14ac:dyDescent="0.25">
      <c r="A176">
        <v>200007279</v>
      </c>
      <c r="B176" t="s">
        <v>2309</v>
      </c>
      <c r="C176" t="s">
        <v>9</v>
      </c>
      <c r="D176">
        <v>0</v>
      </c>
      <c r="E176" s="15">
        <v>33.299999999999997</v>
      </c>
      <c r="F176">
        <v>0</v>
      </c>
      <c r="G176">
        <v>5</v>
      </c>
      <c r="H176">
        <f>IFERROR(VLOOKUP(CENTRAL[[#This Row],[Cód]],SUB[#All],4,0),0) + CENTRAL[[#This Row],[CMM]]</f>
        <v>0</v>
      </c>
    </row>
    <row r="177" spans="1:8" x14ac:dyDescent="0.25">
      <c r="A177">
        <v>200005831</v>
      </c>
      <c r="B177" t="s">
        <v>184</v>
      </c>
      <c r="C177" t="s">
        <v>9</v>
      </c>
      <c r="D177">
        <v>0</v>
      </c>
      <c r="E177" s="15">
        <v>0</v>
      </c>
      <c r="F177">
        <v>0</v>
      </c>
      <c r="G177">
        <v>0</v>
      </c>
      <c r="H177">
        <f>IFERROR(VLOOKUP(CENTRAL[[#This Row],[Cód]],SUB[#All],4,0),0) + CENTRAL[[#This Row],[CMM]]</f>
        <v>0</v>
      </c>
    </row>
    <row r="178" spans="1:8" x14ac:dyDescent="0.25">
      <c r="A178">
        <v>200005510</v>
      </c>
      <c r="B178" t="s">
        <v>185</v>
      </c>
      <c r="C178" t="s">
        <v>9</v>
      </c>
      <c r="D178">
        <v>0</v>
      </c>
      <c r="E178" s="15">
        <v>0</v>
      </c>
      <c r="F178">
        <v>0</v>
      </c>
      <c r="G178">
        <v>0</v>
      </c>
      <c r="H178">
        <f>IFERROR(VLOOKUP(CENTRAL[[#This Row],[Cód]],SUB[#All],4,0),0) + CENTRAL[[#This Row],[CMM]]</f>
        <v>0</v>
      </c>
    </row>
    <row r="179" spans="1:8" x14ac:dyDescent="0.25">
      <c r="A179">
        <v>200005410</v>
      </c>
      <c r="B179" t="s">
        <v>186</v>
      </c>
      <c r="C179" t="s">
        <v>9</v>
      </c>
      <c r="D179">
        <v>0</v>
      </c>
      <c r="E179" s="15">
        <v>0</v>
      </c>
      <c r="F179">
        <v>0</v>
      </c>
      <c r="G179">
        <v>0</v>
      </c>
      <c r="H179">
        <f>IFERROR(VLOOKUP(CENTRAL[[#This Row],[Cód]],SUB[#All],4,0),0) + CENTRAL[[#This Row],[CMM]]</f>
        <v>0</v>
      </c>
    </row>
    <row r="180" spans="1:8" x14ac:dyDescent="0.25">
      <c r="A180">
        <v>200002056</v>
      </c>
      <c r="B180" t="s">
        <v>187</v>
      </c>
      <c r="C180" t="s">
        <v>9</v>
      </c>
      <c r="D180">
        <v>1.83</v>
      </c>
      <c r="E180" s="15">
        <v>0</v>
      </c>
      <c r="F180">
        <v>0</v>
      </c>
      <c r="G180">
        <v>0</v>
      </c>
      <c r="H180">
        <f>IFERROR(VLOOKUP(CENTRAL[[#This Row],[Cód]],SUB[#All],4,0),0) + CENTRAL[[#This Row],[CMM]]</f>
        <v>2.4900000000000002</v>
      </c>
    </row>
    <row r="181" spans="1:8" x14ac:dyDescent="0.25">
      <c r="A181">
        <v>200002056</v>
      </c>
      <c r="B181" t="s">
        <v>187</v>
      </c>
      <c r="C181" t="s">
        <v>9</v>
      </c>
      <c r="D181">
        <v>1.83</v>
      </c>
      <c r="E181" s="15">
        <v>0</v>
      </c>
      <c r="F181">
        <v>0</v>
      </c>
      <c r="G181">
        <v>0</v>
      </c>
      <c r="H181">
        <f>IFERROR(VLOOKUP(CENTRAL[[#This Row],[Cód]],SUB[#All],4,0),0) + CENTRAL[[#This Row],[CMM]]</f>
        <v>2.4900000000000002</v>
      </c>
    </row>
    <row r="182" spans="1:8" x14ac:dyDescent="0.25">
      <c r="A182">
        <v>200003825</v>
      </c>
      <c r="B182" t="s">
        <v>188</v>
      </c>
      <c r="C182" t="s">
        <v>9</v>
      </c>
      <c r="D182">
        <v>0</v>
      </c>
      <c r="E182" s="15">
        <v>0</v>
      </c>
      <c r="F182">
        <v>0</v>
      </c>
      <c r="G182">
        <v>0</v>
      </c>
      <c r="H182">
        <f>IFERROR(VLOOKUP(CENTRAL[[#This Row],[Cód]],SUB[#All],4,0),0) + CENTRAL[[#This Row],[CMM]]</f>
        <v>0</v>
      </c>
    </row>
    <row r="183" spans="1:8" x14ac:dyDescent="0.25">
      <c r="A183">
        <v>200002770</v>
      </c>
      <c r="B183" t="s">
        <v>189</v>
      </c>
      <c r="C183" t="s">
        <v>9</v>
      </c>
      <c r="D183">
        <v>0</v>
      </c>
      <c r="E183" s="15">
        <v>0</v>
      </c>
      <c r="F183">
        <v>0</v>
      </c>
      <c r="G183">
        <v>0</v>
      </c>
      <c r="H183">
        <f>IFERROR(VLOOKUP(CENTRAL[[#This Row],[Cód]],SUB[#All],4,0),0) + CENTRAL[[#This Row],[CMM]]</f>
        <v>0</v>
      </c>
    </row>
    <row r="184" spans="1:8" x14ac:dyDescent="0.25">
      <c r="A184">
        <v>200002770</v>
      </c>
      <c r="B184" t="s">
        <v>189</v>
      </c>
      <c r="C184" t="s">
        <v>9</v>
      </c>
      <c r="D184">
        <v>0</v>
      </c>
      <c r="E184" s="15">
        <v>0</v>
      </c>
      <c r="F184">
        <v>0</v>
      </c>
      <c r="G184">
        <v>0</v>
      </c>
      <c r="H184">
        <f>IFERROR(VLOOKUP(CENTRAL[[#This Row],[Cód]],SUB[#All],4,0),0) + CENTRAL[[#This Row],[CMM]]</f>
        <v>0</v>
      </c>
    </row>
    <row r="185" spans="1:8" x14ac:dyDescent="0.25">
      <c r="A185">
        <v>200001406</v>
      </c>
      <c r="B185" t="s">
        <v>190</v>
      </c>
      <c r="C185" t="s">
        <v>9</v>
      </c>
      <c r="D185">
        <v>0</v>
      </c>
      <c r="E185" s="15">
        <v>0</v>
      </c>
      <c r="F185">
        <v>0</v>
      </c>
      <c r="G185">
        <v>0</v>
      </c>
      <c r="H185">
        <f>IFERROR(VLOOKUP(CENTRAL[[#This Row],[Cód]],SUB[#All],4,0),0) + CENTRAL[[#This Row],[CMM]]</f>
        <v>0</v>
      </c>
    </row>
    <row r="186" spans="1:8" x14ac:dyDescent="0.25">
      <c r="A186">
        <v>200001406</v>
      </c>
      <c r="B186" t="s">
        <v>190</v>
      </c>
      <c r="C186" t="s">
        <v>9</v>
      </c>
      <c r="D186">
        <v>0</v>
      </c>
      <c r="E186" s="15">
        <v>0</v>
      </c>
      <c r="F186">
        <v>0</v>
      </c>
      <c r="G186">
        <v>0</v>
      </c>
      <c r="H186">
        <f>IFERROR(VLOOKUP(CENTRAL[[#This Row],[Cód]],SUB[#All],4,0),0) + CENTRAL[[#This Row],[CMM]]</f>
        <v>0</v>
      </c>
    </row>
    <row r="187" spans="1:8" x14ac:dyDescent="0.25">
      <c r="A187">
        <v>200004495</v>
      </c>
      <c r="B187" t="s">
        <v>191</v>
      </c>
      <c r="C187" t="s">
        <v>9</v>
      </c>
      <c r="D187">
        <v>0</v>
      </c>
      <c r="E187" s="15">
        <v>0</v>
      </c>
      <c r="F187">
        <v>0</v>
      </c>
      <c r="G187">
        <v>0</v>
      </c>
      <c r="H187">
        <f>IFERROR(VLOOKUP(CENTRAL[[#This Row],[Cód]],SUB[#All],4,0),0) + CENTRAL[[#This Row],[CMM]]</f>
        <v>0</v>
      </c>
    </row>
    <row r="188" spans="1:8" x14ac:dyDescent="0.25">
      <c r="A188">
        <v>200002769</v>
      </c>
      <c r="B188" t="s">
        <v>192</v>
      </c>
      <c r="C188" t="s">
        <v>9</v>
      </c>
      <c r="D188">
        <v>0</v>
      </c>
      <c r="E188" s="15">
        <v>0</v>
      </c>
      <c r="F188">
        <v>0</v>
      </c>
      <c r="G188">
        <v>0</v>
      </c>
      <c r="H188">
        <f>IFERROR(VLOOKUP(CENTRAL[[#This Row],[Cód]],SUB[#All],4,0),0) + CENTRAL[[#This Row],[CMM]]</f>
        <v>0</v>
      </c>
    </row>
    <row r="189" spans="1:8" x14ac:dyDescent="0.25">
      <c r="A189">
        <v>200002769</v>
      </c>
      <c r="B189" t="s">
        <v>192</v>
      </c>
      <c r="C189" t="s">
        <v>9</v>
      </c>
      <c r="D189">
        <v>0</v>
      </c>
      <c r="E189" s="15">
        <v>0</v>
      </c>
      <c r="F189">
        <v>0</v>
      </c>
      <c r="G189">
        <v>0</v>
      </c>
      <c r="H189">
        <f>IFERROR(VLOOKUP(CENTRAL[[#This Row],[Cód]],SUB[#All],4,0),0) + CENTRAL[[#This Row],[CMM]]</f>
        <v>0</v>
      </c>
    </row>
    <row r="190" spans="1:8" x14ac:dyDescent="0.25">
      <c r="A190">
        <v>200006007</v>
      </c>
      <c r="B190" t="s">
        <v>193</v>
      </c>
      <c r="C190" t="s">
        <v>9</v>
      </c>
      <c r="D190">
        <v>0</v>
      </c>
      <c r="E190" s="15">
        <v>0</v>
      </c>
      <c r="F190">
        <v>0</v>
      </c>
      <c r="G190">
        <v>0</v>
      </c>
      <c r="H190">
        <f>IFERROR(VLOOKUP(CENTRAL[[#This Row],[Cód]],SUB[#All],4,0),0) + CENTRAL[[#This Row],[CMM]]</f>
        <v>0</v>
      </c>
    </row>
    <row r="191" spans="1:8" x14ac:dyDescent="0.25">
      <c r="A191">
        <v>200006007</v>
      </c>
      <c r="B191" t="s">
        <v>193</v>
      </c>
      <c r="C191" t="s">
        <v>9</v>
      </c>
      <c r="D191">
        <v>0</v>
      </c>
      <c r="E191" s="15">
        <v>0</v>
      </c>
      <c r="F191">
        <v>0</v>
      </c>
      <c r="G191">
        <v>0</v>
      </c>
      <c r="H191">
        <f>IFERROR(VLOOKUP(CENTRAL[[#This Row],[Cód]],SUB[#All],4,0),0) + CENTRAL[[#This Row],[CMM]]</f>
        <v>0</v>
      </c>
    </row>
    <row r="192" spans="1:8" x14ac:dyDescent="0.25">
      <c r="A192">
        <v>200006006</v>
      </c>
      <c r="B192" t="s">
        <v>194</v>
      </c>
      <c r="C192" t="s">
        <v>9</v>
      </c>
      <c r="D192">
        <v>0</v>
      </c>
      <c r="E192" s="15">
        <v>0</v>
      </c>
      <c r="F192">
        <v>0</v>
      </c>
      <c r="G192">
        <v>0</v>
      </c>
      <c r="H192">
        <f>IFERROR(VLOOKUP(CENTRAL[[#This Row],[Cód]],SUB[#All],4,0),0) + CENTRAL[[#This Row],[CMM]]</f>
        <v>0</v>
      </c>
    </row>
    <row r="193" spans="1:8" x14ac:dyDescent="0.25">
      <c r="A193">
        <v>200004973</v>
      </c>
      <c r="B193" t="s">
        <v>195</v>
      </c>
      <c r="C193" t="s">
        <v>9</v>
      </c>
      <c r="D193">
        <v>0</v>
      </c>
      <c r="E193" s="15">
        <v>0</v>
      </c>
      <c r="F193">
        <v>0</v>
      </c>
      <c r="G193">
        <v>0</v>
      </c>
      <c r="H193">
        <f>IFERROR(VLOOKUP(CENTRAL[[#This Row],[Cód]],SUB[#All],4,0),0) + CENTRAL[[#This Row],[CMM]]</f>
        <v>0</v>
      </c>
    </row>
    <row r="194" spans="1:8" x14ac:dyDescent="0.25">
      <c r="A194">
        <v>200000149</v>
      </c>
      <c r="B194" t="s">
        <v>196</v>
      </c>
      <c r="C194" t="s">
        <v>9</v>
      </c>
      <c r="D194">
        <v>0.57999999999999996</v>
      </c>
      <c r="E194" s="15">
        <v>31.66</v>
      </c>
      <c r="F194">
        <v>0</v>
      </c>
      <c r="G194">
        <v>13</v>
      </c>
      <c r="H194">
        <f>IFERROR(VLOOKUP(CENTRAL[[#This Row],[Cód]],SUB[#All],4,0),0) + CENTRAL[[#This Row],[CMM]]</f>
        <v>0.57999999999999996</v>
      </c>
    </row>
    <row r="195" spans="1:8" x14ac:dyDescent="0.25">
      <c r="A195">
        <v>200001015</v>
      </c>
      <c r="B195" t="s">
        <v>197</v>
      </c>
      <c r="C195" t="s">
        <v>9</v>
      </c>
      <c r="D195">
        <v>1.33</v>
      </c>
      <c r="E195" s="15">
        <v>36.630000000000003</v>
      </c>
      <c r="F195">
        <v>0</v>
      </c>
      <c r="G195">
        <v>22</v>
      </c>
      <c r="H195">
        <f>IFERROR(VLOOKUP(CENTRAL[[#This Row],[Cód]],SUB[#All],4,0),0) + CENTRAL[[#This Row],[CMM]]</f>
        <v>1.4100000000000001</v>
      </c>
    </row>
    <row r="196" spans="1:8" x14ac:dyDescent="0.25">
      <c r="A196">
        <v>200005344</v>
      </c>
      <c r="B196" t="s">
        <v>198</v>
      </c>
      <c r="C196" t="s">
        <v>9</v>
      </c>
      <c r="D196">
        <v>0.08</v>
      </c>
      <c r="E196" s="15">
        <v>86.84</v>
      </c>
      <c r="F196">
        <v>0</v>
      </c>
      <c r="G196">
        <v>32</v>
      </c>
      <c r="H196">
        <f>IFERROR(VLOOKUP(CENTRAL[[#This Row],[Cód]],SUB[#All],4,0),0) + CENTRAL[[#This Row],[CMM]]</f>
        <v>0.08</v>
      </c>
    </row>
    <row r="197" spans="1:8" x14ac:dyDescent="0.25">
      <c r="A197">
        <v>200001927</v>
      </c>
      <c r="B197" t="s">
        <v>199</v>
      </c>
      <c r="C197" t="s">
        <v>9</v>
      </c>
      <c r="D197">
        <v>0</v>
      </c>
      <c r="E197" s="15">
        <v>0</v>
      </c>
      <c r="F197">
        <v>0</v>
      </c>
      <c r="G197">
        <v>0</v>
      </c>
      <c r="H197">
        <f>IFERROR(VLOOKUP(CENTRAL[[#This Row],[Cód]],SUB[#All],4,0),0) + CENTRAL[[#This Row],[CMM]]</f>
        <v>0</v>
      </c>
    </row>
    <row r="198" spans="1:8" x14ac:dyDescent="0.25">
      <c r="A198">
        <v>200001089</v>
      </c>
      <c r="B198" t="s">
        <v>200</v>
      </c>
      <c r="C198" t="s">
        <v>9</v>
      </c>
      <c r="D198">
        <v>0</v>
      </c>
      <c r="E198" s="15">
        <v>0</v>
      </c>
      <c r="F198">
        <v>0</v>
      </c>
      <c r="G198">
        <v>0</v>
      </c>
      <c r="H198">
        <f>IFERROR(VLOOKUP(CENTRAL[[#This Row],[Cód]],SUB[#All],4,0),0) + CENTRAL[[#This Row],[CMM]]</f>
        <v>0</v>
      </c>
    </row>
    <row r="199" spans="1:8" x14ac:dyDescent="0.25">
      <c r="A199">
        <v>200002359</v>
      </c>
      <c r="B199" t="s">
        <v>201</v>
      </c>
      <c r="C199" t="s">
        <v>9</v>
      </c>
      <c r="D199">
        <v>0</v>
      </c>
      <c r="E199" s="15">
        <v>95.03</v>
      </c>
      <c r="F199">
        <v>0</v>
      </c>
      <c r="G199">
        <v>30</v>
      </c>
      <c r="H199">
        <f>IFERROR(VLOOKUP(CENTRAL[[#This Row],[Cód]],SUB[#All],4,0),0) + CENTRAL[[#This Row],[CMM]]</f>
        <v>0</v>
      </c>
    </row>
    <row r="200" spans="1:8" x14ac:dyDescent="0.25">
      <c r="A200">
        <v>200004555</v>
      </c>
      <c r="B200" t="s">
        <v>202</v>
      </c>
      <c r="C200" t="s">
        <v>9</v>
      </c>
      <c r="D200">
        <v>0</v>
      </c>
      <c r="E200" s="15">
        <v>0</v>
      </c>
      <c r="F200">
        <v>0</v>
      </c>
      <c r="G200">
        <v>0</v>
      </c>
      <c r="H200">
        <f>IFERROR(VLOOKUP(CENTRAL[[#This Row],[Cód]],SUB[#All],4,0),0) + CENTRAL[[#This Row],[CMM]]</f>
        <v>0</v>
      </c>
    </row>
    <row r="201" spans="1:8" x14ac:dyDescent="0.25">
      <c r="A201">
        <v>200002122</v>
      </c>
      <c r="B201" t="s">
        <v>202</v>
      </c>
      <c r="C201" t="s">
        <v>9</v>
      </c>
      <c r="D201">
        <v>8.33</v>
      </c>
      <c r="E201" s="15">
        <v>0</v>
      </c>
      <c r="F201">
        <v>0</v>
      </c>
      <c r="G201">
        <v>0</v>
      </c>
      <c r="H201">
        <f>IFERROR(VLOOKUP(CENTRAL[[#This Row],[Cód]],SUB[#All],4,0),0) + CENTRAL[[#This Row],[CMM]]</f>
        <v>9.49</v>
      </c>
    </row>
    <row r="202" spans="1:8" x14ac:dyDescent="0.25">
      <c r="A202">
        <v>200002122</v>
      </c>
      <c r="B202" t="s">
        <v>202</v>
      </c>
      <c r="C202" t="s">
        <v>9</v>
      </c>
      <c r="D202">
        <v>8.33</v>
      </c>
      <c r="E202" s="15">
        <v>12.15</v>
      </c>
      <c r="F202">
        <v>0</v>
      </c>
      <c r="G202">
        <v>120</v>
      </c>
      <c r="H202">
        <f>IFERROR(VLOOKUP(CENTRAL[[#This Row],[Cód]],SUB[#All],4,0),0) + CENTRAL[[#This Row],[CMM]]</f>
        <v>9.49</v>
      </c>
    </row>
    <row r="203" spans="1:8" x14ac:dyDescent="0.25">
      <c r="A203">
        <v>200004630</v>
      </c>
      <c r="B203" t="s">
        <v>203</v>
      </c>
      <c r="C203" t="s">
        <v>108</v>
      </c>
      <c r="D203">
        <v>0</v>
      </c>
      <c r="E203" s="15">
        <v>0</v>
      </c>
      <c r="F203">
        <v>0</v>
      </c>
      <c r="G203">
        <v>0</v>
      </c>
      <c r="H203">
        <f>IFERROR(VLOOKUP(CENTRAL[[#This Row],[Cód]],SUB[#All],4,0),0) + CENTRAL[[#This Row],[CMM]]</f>
        <v>0</v>
      </c>
    </row>
    <row r="204" spans="1:8" x14ac:dyDescent="0.25">
      <c r="A204">
        <v>200006051</v>
      </c>
      <c r="B204" t="s">
        <v>204</v>
      </c>
      <c r="C204" t="s">
        <v>9</v>
      </c>
      <c r="D204">
        <v>0</v>
      </c>
      <c r="E204" s="15">
        <v>0</v>
      </c>
      <c r="F204">
        <v>0</v>
      </c>
      <c r="G204">
        <v>0</v>
      </c>
      <c r="H204">
        <f>IFERROR(VLOOKUP(CENTRAL[[#This Row],[Cód]],SUB[#All],4,0),0) + CENTRAL[[#This Row],[CMM]]</f>
        <v>0</v>
      </c>
    </row>
    <row r="205" spans="1:8" x14ac:dyDescent="0.25">
      <c r="A205">
        <v>200005801</v>
      </c>
      <c r="B205" t="s">
        <v>205</v>
      </c>
      <c r="C205" t="s">
        <v>9</v>
      </c>
      <c r="D205">
        <v>0</v>
      </c>
      <c r="E205" s="15">
        <v>0</v>
      </c>
      <c r="F205">
        <v>0</v>
      </c>
      <c r="G205">
        <v>0</v>
      </c>
      <c r="H205">
        <f>IFERROR(VLOOKUP(CENTRAL[[#This Row],[Cód]],SUB[#All],4,0),0) + CENTRAL[[#This Row],[CMM]]</f>
        <v>0</v>
      </c>
    </row>
    <row r="206" spans="1:8" x14ac:dyDescent="0.25">
      <c r="A206">
        <v>200004629</v>
      </c>
      <c r="B206" t="s">
        <v>206</v>
      </c>
      <c r="C206" t="s">
        <v>108</v>
      </c>
      <c r="D206">
        <v>0</v>
      </c>
      <c r="E206" s="15">
        <v>0</v>
      </c>
      <c r="F206">
        <v>0</v>
      </c>
      <c r="G206">
        <v>0</v>
      </c>
      <c r="H206">
        <f>IFERROR(VLOOKUP(CENTRAL[[#This Row],[Cód]],SUB[#All],4,0),0) + CENTRAL[[#This Row],[CMM]]</f>
        <v>0</v>
      </c>
    </row>
    <row r="207" spans="1:8" x14ac:dyDescent="0.25">
      <c r="A207">
        <v>200004434</v>
      </c>
      <c r="B207" t="s">
        <v>207</v>
      </c>
      <c r="C207" t="s">
        <v>9</v>
      </c>
      <c r="D207">
        <v>9.91</v>
      </c>
      <c r="E207" s="15">
        <v>7.81</v>
      </c>
      <c r="F207">
        <v>0</v>
      </c>
      <c r="G207">
        <v>2631</v>
      </c>
      <c r="H207">
        <f>IFERROR(VLOOKUP(CENTRAL[[#This Row],[Cód]],SUB[#All],4,0),0) + CENTRAL[[#This Row],[CMM]]</f>
        <v>9.91</v>
      </c>
    </row>
    <row r="208" spans="1:8" x14ac:dyDescent="0.25">
      <c r="A208">
        <v>200005980</v>
      </c>
      <c r="B208" t="s">
        <v>208</v>
      </c>
      <c r="C208" t="s">
        <v>9</v>
      </c>
      <c r="D208">
        <v>4.41</v>
      </c>
      <c r="E208" s="15">
        <v>23.45</v>
      </c>
      <c r="F208">
        <v>0</v>
      </c>
      <c r="G208">
        <v>198</v>
      </c>
      <c r="H208">
        <f>IFERROR(VLOOKUP(CENTRAL[[#This Row],[Cód]],SUB[#All],4,0),0) + CENTRAL[[#This Row],[CMM]]</f>
        <v>4.41</v>
      </c>
    </row>
    <row r="209" spans="1:8" x14ac:dyDescent="0.25">
      <c r="A209">
        <v>200006080</v>
      </c>
      <c r="B209" t="s">
        <v>209</v>
      </c>
      <c r="C209" t="s">
        <v>9</v>
      </c>
      <c r="D209">
        <v>14.75</v>
      </c>
      <c r="E209" s="15">
        <v>6.99</v>
      </c>
      <c r="F209">
        <v>20</v>
      </c>
      <c r="G209">
        <v>489</v>
      </c>
      <c r="H209">
        <f>IFERROR(VLOOKUP(CENTRAL[[#This Row],[Cód]],SUB[#All],4,0),0) + CENTRAL[[#This Row],[CMM]]</f>
        <v>14.75</v>
      </c>
    </row>
    <row r="210" spans="1:8" x14ac:dyDescent="0.25">
      <c r="A210">
        <v>200001928</v>
      </c>
      <c r="B210" t="s">
        <v>210</v>
      </c>
      <c r="C210" t="s">
        <v>9</v>
      </c>
      <c r="D210">
        <v>0.41</v>
      </c>
      <c r="E210" s="15">
        <v>2.69</v>
      </c>
      <c r="F210">
        <v>0</v>
      </c>
      <c r="G210">
        <v>31</v>
      </c>
      <c r="H210">
        <f>IFERROR(VLOOKUP(CENTRAL[[#This Row],[Cód]],SUB[#All],4,0),0) + CENTRAL[[#This Row],[CMM]]</f>
        <v>0.65999999999999992</v>
      </c>
    </row>
    <row r="211" spans="1:8" x14ac:dyDescent="0.25">
      <c r="A211">
        <v>200003624</v>
      </c>
      <c r="B211" t="s">
        <v>211</v>
      </c>
      <c r="C211" t="s">
        <v>9</v>
      </c>
      <c r="D211">
        <v>0</v>
      </c>
      <c r="E211" s="15">
        <v>3.6</v>
      </c>
      <c r="F211">
        <v>0</v>
      </c>
      <c r="G211">
        <v>6</v>
      </c>
      <c r="H211">
        <f>IFERROR(VLOOKUP(CENTRAL[[#This Row],[Cód]],SUB[#All],4,0),0) + CENTRAL[[#This Row],[CMM]]</f>
        <v>0</v>
      </c>
    </row>
    <row r="212" spans="1:8" x14ac:dyDescent="0.25">
      <c r="A212">
        <v>200003625</v>
      </c>
      <c r="B212" t="s">
        <v>212</v>
      </c>
      <c r="C212" t="s">
        <v>9</v>
      </c>
      <c r="D212">
        <v>0</v>
      </c>
      <c r="E212" s="15">
        <v>4.6900000000000004</v>
      </c>
      <c r="F212">
        <v>0</v>
      </c>
      <c r="G212">
        <v>8</v>
      </c>
      <c r="H212">
        <f>IFERROR(VLOOKUP(CENTRAL[[#This Row],[Cód]],SUB[#All],4,0),0) + CENTRAL[[#This Row],[CMM]]</f>
        <v>0</v>
      </c>
    </row>
    <row r="213" spans="1:8" x14ac:dyDescent="0.25">
      <c r="A213">
        <v>200000175</v>
      </c>
      <c r="B213" t="s">
        <v>213</v>
      </c>
      <c r="C213" t="s">
        <v>9</v>
      </c>
      <c r="D213">
        <v>0</v>
      </c>
      <c r="E213" s="15">
        <v>1.62</v>
      </c>
      <c r="F213">
        <v>0</v>
      </c>
      <c r="G213">
        <v>45</v>
      </c>
      <c r="H213">
        <f>IFERROR(VLOOKUP(CENTRAL[[#This Row],[Cód]],SUB[#All],4,0),0) + CENTRAL[[#This Row],[CMM]]</f>
        <v>0</v>
      </c>
    </row>
    <row r="214" spans="1:8" x14ac:dyDescent="0.25">
      <c r="A214">
        <v>200003626</v>
      </c>
      <c r="B214" t="s">
        <v>214</v>
      </c>
      <c r="C214" t="s">
        <v>9</v>
      </c>
      <c r="D214">
        <v>0</v>
      </c>
      <c r="E214" s="15">
        <v>0</v>
      </c>
      <c r="F214">
        <v>0</v>
      </c>
      <c r="G214">
        <v>0</v>
      </c>
      <c r="H214">
        <f>IFERROR(VLOOKUP(CENTRAL[[#This Row],[Cód]],SUB[#All],4,0),0) + CENTRAL[[#This Row],[CMM]]</f>
        <v>0</v>
      </c>
    </row>
    <row r="215" spans="1:8" x14ac:dyDescent="0.25">
      <c r="A215">
        <v>200000176</v>
      </c>
      <c r="B215" t="s">
        <v>215</v>
      </c>
      <c r="C215" t="s">
        <v>9</v>
      </c>
      <c r="D215">
        <v>2.41</v>
      </c>
      <c r="E215" s="15">
        <v>0.99</v>
      </c>
      <c r="F215">
        <v>0</v>
      </c>
      <c r="G215">
        <v>19</v>
      </c>
      <c r="H215">
        <f>IFERROR(VLOOKUP(CENTRAL[[#This Row],[Cód]],SUB[#All],4,0),0) + CENTRAL[[#This Row],[CMM]]</f>
        <v>2.41</v>
      </c>
    </row>
    <row r="216" spans="1:8" x14ac:dyDescent="0.25">
      <c r="A216">
        <v>200001932</v>
      </c>
      <c r="B216" t="s">
        <v>216</v>
      </c>
      <c r="C216" t="s">
        <v>9</v>
      </c>
      <c r="D216">
        <v>0.57999999999999996</v>
      </c>
      <c r="E216" s="15">
        <v>0.6</v>
      </c>
      <c r="F216">
        <v>0</v>
      </c>
      <c r="G216">
        <v>1</v>
      </c>
      <c r="H216">
        <f>IFERROR(VLOOKUP(CENTRAL[[#This Row],[Cód]],SUB[#All],4,0),0) + CENTRAL[[#This Row],[CMM]]</f>
        <v>0.57999999999999996</v>
      </c>
    </row>
    <row r="217" spans="1:8" x14ac:dyDescent="0.25">
      <c r="A217">
        <v>200001933</v>
      </c>
      <c r="B217" t="s">
        <v>217</v>
      </c>
      <c r="C217" t="s">
        <v>9</v>
      </c>
      <c r="D217">
        <v>0.5</v>
      </c>
      <c r="E217" s="15">
        <v>0</v>
      </c>
      <c r="F217">
        <v>0</v>
      </c>
      <c r="G217">
        <v>0</v>
      </c>
      <c r="H217">
        <f>IFERROR(VLOOKUP(CENTRAL[[#This Row],[Cód]],SUB[#All],4,0),0) + CENTRAL[[#This Row],[CMM]]</f>
        <v>0.5</v>
      </c>
    </row>
    <row r="218" spans="1:8" x14ac:dyDescent="0.25">
      <c r="A218">
        <v>200001934</v>
      </c>
      <c r="B218" t="s">
        <v>218</v>
      </c>
      <c r="C218" t="s">
        <v>9</v>
      </c>
      <c r="D218">
        <v>0</v>
      </c>
      <c r="E218" s="15">
        <v>0</v>
      </c>
      <c r="F218">
        <v>0</v>
      </c>
      <c r="G218">
        <v>0</v>
      </c>
      <c r="H218">
        <f>IFERROR(VLOOKUP(CENTRAL[[#This Row],[Cód]],SUB[#All],4,0),0) + CENTRAL[[#This Row],[CMM]]</f>
        <v>0.25</v>
      </c>
    </row>
    <row r="219" spans="1:8" x14ac:dyDescent="0.25">
      <c r="A219">
        <v>200001935</v>
      </c>
      <c r="B219" t="s">
        <v>219</v>
      </c>
      <c r="C219" t="s">
        <v>9</v>
      </c>
      <c r="D219">
        <v>0.16</v>
      </c>
      <c r="E219" s="15">
        <v>0</v>
      </c>
      <c r="F219">
        <v>0</v>
      </c>
      <c r="G219">
        <v>0</v>
      </c>
      <c r="H219">
        <f>IFERROR(VLOOKUP(CENTRAL[[#This Row],[Cód]],SUB[#All],4,0),0) + CENTRAL[[#This Row],[CMM]]</f>
        <v>0.32</v>
      </c>
    </row>
    <row r="220" spans="1:8" x14ac:dyDescent="0.25">
      <c r="A220">
        <v>200003596</v>
      </c>
      <c r="B220" t="s">
        <v>220</v>
      </c>
      <c r="C220" t="s">
        <v>9</v>
      </c>
      <c r="D220">
        <v>0</v>
      </c>
      <c r="E220" s="15">
        <v>3.25</v>
      </c>
      <c r="F220">
        <v>0</v>
      </c>
      <c r="G220">
        <v>6</v>
      </c>
      <c r="H220">
        <f>IFERROR(VLOOKUP(CENTRAL[[#This Row],[Cód]],SUB[#All],4,0),0) + CENTRAL[[#This Row],[CMM]]</f>
        <v>0</v>
      </c>
    </row>
    <row r="221" spans="1:8" x14ac:dyDescent="0.25">
      <c r="A221">
        <v>200003597</v>
      </c>
      <c r="B221" t="s">
        <v>221</v>
      </c>
      <c r="C221" t="s">
        <v>9</v>
      </c>
      <c r="D221">
        <v>0.16</v>
      </c>
      <c r="E221" s="15">
        <v>5.0599999999999996</v>
      </c>
      <c r="F221">
        <v>0</v>
      </c>
      <c r="G221">
        <v>4</v>
      </c>
      <c r="H221">
        <f>IFERROR(VLOOKUP(CENTRAL[[#This Row],[Cód]],SUB[#All],4,0),0) + CENTRAL[[#This Row],[CMM]]</f>
        <v>0.32</v>
      </c>
    </row>
    <row r="222" spans="1:8" x14ac:dyDescent="0.25">
      <c r="A222">
        <v>200007177</v>
      </c>
      <c r="B222" t="s">
        <v>222</v>
      </c>
      <c r="C222" t="s">
        <v>9</v>
      </c>
      <c r="D222">
        <v>0</v>
      </c>
      <c r="E222" s="15">
        <v>21</v>
      </c>
      <c r="F222">
        <v>0</v>
      </c>
      <c r="G222">
        <v>2</v>
      </c>
      <c r="H222">
        <f>IFERROR(VLOOKUP(CENTRAL[[#This Row],[Cód]],SUB[#All],4,0),0) + CENTRAL[[#This Row],[CMM]]</f>
        <v>0</v>
      </c>
    </row>
    <row r="223" spans="1:8" x14ac:dyDescent="0.25">
      <c r="A223">
        <v>200001931</v>
      </c>
      <c r="B223" t="s">
        <v>223</v>
      </c>
      <c r="C223" t="s">
        <v>9</v>
      </c>
      <c r="D223">
        <v>2.33</v>
      </c>
      <c r="E223" s="15">
        <v>6.9</v>
      </c>
      <c r="F223">
        <v>0</v>
      </c>
      <c r="G223">
        <v>11</v>
      </c>
      <c r="H223">
        <f>IFERROR(VLOOKUP(CENTRAL[[#This Row],[Cód]],SUB[#All],4,0),0) + CENTRAL[[#This Row],[CMM]]</f>
        <v>2.4900000000000002</v>
      </c>
    </row>
    <row r="224" spans="1:8" x14ac:dyDescent="0.25">
      <c r="A224">
        <v>200001014</v>
      </c>
      <c r="B224" t="s">
        <v>224</v>
      </c>
      <c r="C224" t="s">
        <v>9</v>
      </c>
      <c r="D224">
        <v>0</v>
      </c>
      <c r="E224" s="15">
        <v>0</v>
      </c>
      <c r="F224">
        <v>0</v>
      </c>
      <c r="G224">
        <v>0</v>
      </c>
      <c r="H224">
        <f>IFERROR(VLOOKUP(CENTRAL[[#This Row],[Cód]],SUB[#All],4,0),0) + CENTRAL[[#This Row],[CMM]]</f>
        <v>0</v>
      </c>
    </row>
    <row r="225" spans="1:8" x14ac:dyDescent="0.25">
      <c r="A225">
        <v>200001930</v>
      </c>
      <c r="B225" t="s">
        <v>225</v>
      </c>
      <c r="C225" t="s">
        <v>9</v>
      </c>
      <c r="D225">
        <v>0.41</v>
      </c>
      <c r="E225" s="15">
        <v>5.0599999999999996</v>
      </c>
      <c r="F225">
        <v>0</v>
      </c>
      <c r="G225">
        <v>37</v>
      </c>
      <c r="H225">
        <f>IFERROR(VLOOKUP(CENTRAL[[#This Row],[Cód]],SUB[#All],4,0),0) + CENTRAL[[#This Row],[CMM]]</f>
        <v>0.49</v>
      </c>
    </row>
    <row r="226" spans="1:8" x14ac:dyDescent="0.25">
      <c r="A226">
        <v>200001929</v>
      </c>
      <c r="B226" t="s">
        <v>226</v>
      </c>
      <c r="C226" t="s">
        <v>9</v>
      </c>
      <c r="D226">
        <v>4.5</v>
      </c>
      <c r="E226" s="15">
        <v>1.1499999999999999</v>
      </c>
      <c r="F226">
        <v>0</v>
      </c>
      <c r="G226">
        <v>15</v>
      </c>
      <c r="H226">
        <f>IFERROR(VLOOKUP(CENTRAL[[#This Row],[Cód]],SUB[#All],4,0),0) + CENTRAL[[#This Row],[CMM]]</f>
        <v>4.5</v>
      </c>
    </row>
    <row r="227" spans="1:8" x14ac:dyDescent="0.25">
      <c r="A227">
        <v>200001350</v>
      </c>
      <c r="B227" t="s">
        <v>227</v>
      </c>
      <c r="C227" t="s">
        <v>9</v>
      </c>
      <c r="D227">
        <v>1.41</v>
      </c>
      <c r="E227" s="15">
        <v>2.75</v>
      </c>
      <c r="F227">
        <v>0</v>
      </c>
      <c r="G227">
        <v>45</v>
      </c>
      <c r="H227">
        <f>IFERROR(VLOOKUP(CENTRAL[[#This Row],[Cód]],SUB[#All],4,0),0) + CENTRAL[[#This Row],[CMM]]</f>
        <v>1.91</v>
      </c>
    </row>
    <row r="228" spans="1:8" x14ac:dyDescent="0.25">
      <c r="A228">
        <v>200006210</v>
      </c>
      <c r="B228" t="s">
        <v>228</v>
      </c>
      <c r="C228" t="s">
        <v>144</v>
      </c>
      <c r="D228">
        <v>0.08</v>
      </c>
      <c r="E228" s="15">
        <v>40.01</v>
      </c>
      <c r="F228">
        <v>0</v>
      </c>
      <c r="G228">
        <v>29</v>
      </c>
      <c r="H228">
        <f>IFERROR(VLOOKUP(CENTRAL[[#This Row],[Cód]],SUB[#All],4,0),0) + CENTRAL[[#This Row],[CMM]]</f>
        <v>0.08</v>
      </c>
    </row>
    <row r="229" spans="1:8" x14ac:dyDescent="0.25">
      <c r="A229">
        <v>200001016</v>
      </c>
      <c r="B229" t="s">
        <v>229</v>
      </c>
      <c r="C229" t="s">
        <v>9</v>
      </c>
      <c r="D229">
        <v>0.75</v>
      </c>
      <c r="E229" s="15">
        <v>50.71</v>
      </c>
      <c r="F229">
        <v>0</v>
      </c>
      <c r="G229">
        <v>2</v>
      </c>
      <c r="H229">
        <f>IFERROR(VLOOKUP(CENTRAL[[#This Row],[Cód]],SUB[#All],4,0),0) + CENTRAL[[#This Row],[CMM]]</f>
        <v>0.75</v>
      </c>
    </row>
    <row r="230" spans="1:8" x14ac:dyDescent="0.25">
      <c r="A230">
        <v>200006042</v>
      </c>
      <c r="B230" t="s">
        <v>230</v>
      </c>
      <c r="C230" t="s">
        <v>9</v>
      </c>
      <c r="D230">
        <v>0</v>
      </c>
      <c r="E230" s="15">
        <v>0</v>
      </c>
      <c r="F230">
        <v>0</v>
      </c>
      <c r="G230">
        <v>0</v>
      </c>
      <c r="H230">
        <f>IFERROR(VLOOKUP(CENTRAL[[#This Row],[Cód]],SUB[#All],4,0),0) + CENTRAL[[#This Row],[CMM]]</f>
        <v>0</v>
      </c>
    </row>
    <row r="231" spans="1:8" x14ac:dyDescent="0.25">
      <c r="A231">
        <v>200001017</v>
      </c>
      <c r="B231" t="s">
        <v>231</v>
      </c>
      <c r="C231" t="s">
        <v>9</v>
      </c>
      <c r="D231">
        <v>0.16</v>
      </c>
      <c r="E231" s="15">
        <v>14.89</v>
      </c>
      <c r="F231">
        <v>0</v>
      </c>
      <c r="G231">
        <v>35</v>
      </c>
      <c r="H231">
        <f>IFERROR(VLOOKUP(CENTRAL[[#This Row],[Cód]],SUB[#All],4,0),0) + CENTRAL[[#This Row],[CMM]]</f>
        <v>0.24</v>
      </c>
    </row>
    <row r="232" spans="1:8" x14ac:dyDescent="0.25">
      <c r="A232">
        <v>200000230</v>
      </c>
      <c r="B232" t="s">
        <v>232</v>
      </c>
      <c r="C232" t="s">
        <v>9</v>
      </c>
      <c r="D232">
        <v>0</v>
      </c>
      <c r="E232" s="15">
        <v>0</v>
      </c>
      <c r="F232">
        <v>0</v>
      </c>
      <c r="G232">
        <v>0</v>
      </c>
      <c r="H232">
        <f>IFERROR(VLOOKUP(CENTRAL[[#This Row],[Cód]],SUB[#All],4,0),0) + CENTRAL[[#This Row],[CMM]]</f>
        <v>0</v>
      </c>
    </row>
    <row r="233" spans="1:8" x14ac:dyDescent="0.25">
      <c r="A233">
        <v>200002435</v>
      </c>
      <c r="B233" t="s">
        <v>233</v>
      </c>
      <c r="C233" t="s">
        <v>9</v>
      </c>
      <c r="D233">
        <v>1.25</v>
      </c>
      <c r="E233" s="15">
        <v>0</v>
      </c>
      <c r="F233">
        <v>0</v>
      </c>
      <c r="G233">
        <v>0</v>
      </c>
      <c r="H233">
        <f>IFERROR(VLOOKUP(CENTRAL[[#This Row],[Cód]],SUB[#All],4,0),0) + CENTRAL[[#This Row],[CMM]]</f>
        <v>1.25</v>
      </c>
    </row>
    <row r="234" spans="1:8" x14ac:dyDescent="0.25">
      <c r="A234">
        <v>200002435</v>
      </c>
      <c r="B234" t="s">
        <v>233</v>
      </c>
      <c r="C234" t="s">
        <v>9</v>
      </c>
      <c r="D234">
        <v>1.25</v>
      </c>
      <c r="E234" s="15">
        <v>0</v>
      </c>
      <c r="F234">
        <v>0</v>
      </c>
      <c r="G234">
        <v>0</v>
      </c>
      <c r="H234">
        <f>IFERROR(VLOOKUP(CENTRAL[[#This Row],[Cód]],SUB[#All],4,0),0) + CENTRAL[[#This Row],[CMM]]</f>
        <v>1.25</v>
      </c>
    </row>
    <row r="235" spans="1:8" x14ac:dyDescent="0.25">
      <c r="A235">
        <v>200002123</v>
      </c>
      <c r="B235" t="s">
        <v>234</v>
      </c>
      <c r="C235" t="s">
        <v>9</v>
      </c>
      <c r="D235">
        <v>3.16</v>
      </c>
      <c r="E235" s="15">
        <v>0</v>
      </c>
      <c r="F235">
        <v>0</v>
      </c>
      <c r="G235">
        <v>0</v>
      </c>
      <c r="H235">
        <f>IFERROR(VLOOKUP(CENTRAL[[#This Row],[Cód]],SUB[#All],4,0),0) + CENTRAL[[#This Row],[CMM]]</f>
        <v>3.16</v>
      </c>
    </row>
    <row r="236" spans="1:8" x14ac:dyDescent="0.25">
      <c r="A236">
        <v>200002124</v>
      </c>
      <c r="B236" t="s">
        <v>235</v>
      </c>
      <c r="C236" t="s">
        <v>9</v>
      </c>
      <c r="D236">
        <v>4.75</v>
      </c>
      <c r="E236" s="15">
        <v>0</v>
      </c>
      <c r="F236">
        <v>0</v>
      </c>
      <c r="G236">
        <v>0</v>
      </c>
      <c r="H236">
        <f>IFERROR(VLOOKUP(CENTRAL[[#This Row],[Cód]],SUB[#All],4,0),0) + CENTRAL[[#This Row],[CMM]]</f>
        <v>4.75</v>
      </c>
    </row>
    <row r="237" spans="1:8" x14ac:dyDescent="0.25">
      <c r="A237">
        <v>200002124</v>
      </c>
      <c r="B237" t="s">
        <v>235</v>
      </c>
      <c r="C237" t="s">
        <v>9</v>
      </c>
      <c r="D237">
        <v>4.75</v>
      </c>
      <c r="E237" s="15">
        <v>0</v>
      </c>
      <c r="F237">
        <v>0</v>
      </c>
      <c r="G237">
        <v>0</v>
      </c>
      <c r="H237">
        <f>IFERROR(VLOOKUP(CENTRAL[[#This Row],[Cód]],SUB[#All],4,0),0) + CENTRAL[[#This Row],[CMM]]</f>
        <v>4.75</v>
      </c>
    </row>
    <row r="238" spans="1:8" x14ac:dyDescent="0.25">
      <c r="A238">
        <v>200004313</v>
      </c>
      <c r="B238" t="s">
        <v>236</v>
      </c>
      <c r="C238" t="s">
        <v>9</v>
      </c>
      <c r="D238">
        <v>0</v>
      </c>
      <c r="E238" s="15">
        <v>0</v>
      </c>
      <c r="F238">
        <v>0</v>
      </c>
      <c r="G238">
        <v>0</v>
      </c>
      <c r="H238">
        <f>IFERROR(VLOOKUP(CENTRAL[[#This Row],[Cód]],SUB[#All],4,0),0) + CENTRAL[[#This Row],[CMM]]</f>
        <v>0</v>
      </c>
    </row>
    <row r="239" spans="1:8" x14ac:dyDescent="0.25">
      <c r="A239">
        <v>200005440</v>
      </c>
      <c r="B239" t="s">
        <v>237</v>
      </c>
      <c r="C239" t="s">
        <v>9</v>
      </c>
      <c r="D239">
        <v>0</v>
      </c>
      <c r="E239" s="15">
        <v>0</v>
      </c>
      <c r="F239">
        <v>0</v>
      </c>
      <c r="G239">
        <v>0</v>
      </c>
      <c r="H239">
        <f>IFERROR(VLOOKUP(CENTRAL[[#This Row],[Cód]],SUB[#All],4,0),0) + CENTRAL[[#This Row],[CMM]]</f>
        <v>0</v>
      </c>
    </row>
    <row r="240" spans="1:8" x14ac:dyDescent="0.25">
      <c r="A240">
        <v>200003886</v>
      </c>
      <c r="B240" t="s">
        <v>238</v>
      </c>
      <c r="C240" t="s">
        <v>9</v>
      </c>
      <c r="D240">
        <v>6.41</v>
      </c>
      <c r="E240" s="15">
        <v>0</v>
      </c>
      <c r="F240">
        <v>0</v>
      </c>
      <c r="G240">
        <v>0</v>
      </c>
      <c r="H240">
        <f>IFERROR(VLOOKUP(CENTRAL[[#This Row],[Cód]],SUB[#All],4,0),0) + CENTRAL[[#This Row],[CMM]]</f>
        <v>6.41</v>
      </c>
    </row>
    <row r="241" spans="1:8" x14ac:dyDescent="0.25">
      <c r="A241">
        <v>200006935</v>
      </c>
      <c r="B241" t="s">
        <v>239</v>
      </c>
      <c r="C241" t="s">
        <v>9</v>
      </c>
      <c r="D241">
        <v>2.91</v>
      </c>
      <c r="E241" s="15">
        <v>0</v>
      </c>
      <c r="F241">
        <v>0</v>
      </c>
      <c r="G241">
        <v>0</v>
      </c>
      <c r="H241">
        <f>IFERROR(VLOOKUP(CENTRAL[[#This Row],[Cód]],SUB[#All],4,0),0) + CENTRAL[[#This Row],[CMM]]</f>
        <v>2.91</v>
      </c>
    </row>
    <row r="242" spans="1:8" x14ac:dyDescent="0.25">
      <c r="A242">
        <v>200002125</v>
      </c>
      <c r="B242" t="s">
        <v>240</v>
      </c>
      <c r="C242" t="s">
        <v>9</v>
      </c>
      <c r="D242">
        <v>0</v>
      </c>
      <c r="E242" s="15">
        <v>0</v>
      </c>
      <c r="F242">
        <v>0</v>
      </c>
      <c r="G242">
        <v>0</v>
      </c>
      <c r="H242">
        <f>IFERROR(VLOOKUP(CENTRAL[[#This Row],[Cód]],SUB[#All],4,0),0) + CENTRAL[[#This Row],[CMM]]</f>
        <v>0</v>
      </c>
    </row>
    <row r="243" spans="1:8" x14ac:dyDescent="0.25">
      <c r="A243">
        <v>200000207</v>
      </c>
      <c r="B243" t="s">
        <v>241</v>
      </c>
      <c r="C243" t="s">
        <v>9</v>
      </c>
      <c r="D243">
        <v>0</v>
      </c>
      <c r="E243" s="15">
        <v>0</v>
      </c>
      <c r="F243">
        <v>0</v>
      </c>
      <c r="G243">
        <v>0</v>
      </c>
      <c r="H243">
        <f>IFERROR(VLOOKUP(CENTRAL[[#This Row],[Cód]],SUB[#All],4,0),0) + CENTRAL[[#This Row],[CMM]]</f>
        <v>0</v>
      </c>
    </row>
    <row r="244" spans="1:8" x14ac:dyDescent="0.25">
      <c r="A244">
        <v>200005723</v>
      </c>
      <c r="B244" t="s">
        <v>242</v>
      </c>
      <c r="C244" t="s">
        <v>9</v>
      </c>
      <c r="D244">
        <v>0</v>
      </c>
      <c r="E244" s="15">
        <v>0</v>
      </c>
      <c r="F244">
        <v>0</v>
      </c>
      <c r="G244">
        <v>0</v>
      </c>
      <c r="H244">
        <f>IFERROR(VLOOKUP(CENTRAL[[#This Row],[Cód]],SUB[#All],4,0),0) + CENTRAL[[#This Row],[CMM]]</f>
        <v>0</v>
      </c>
    </row>
    <row r="245" spans="1:8" x14ac:dyDescent="0.25">
      <c r="A245">
        <v>200006053</v>
      </c>
      <c r="B245" t="s">
        <v>243</v>
      </c>
      <c r="C245" t="s">
        <v>9</v>
      </c>
      <c r="D245">
        <v>0</v>
      </c>
      <c r="E245" s="15">
        <v>0</v>
      </c>
      <c r="F245">
        <v>0</v>
      </c>
      <c r="G245">
        <v>0</v>
      </c>
      <c r="H245">
        <f>IFERROR(VLOOKUP(CENTRAL[[#This Row],[Cód]],SUB[#All],4,0),0) + CENTRAL[[#This Row],[CMM]]</f>
        <v>0</v>
      </c>
    </row>
    <row r="246" spans="1:8" x14ac:dyDescent="0.25">
      <c r="A246">
        <v>200006055</v>
      </c>
      <c r="B246" t="s">
        <v>244</v>
      </c>
      <c r="C246" t="s">
        <v>9</v>
      </c>
      <c r="D246">
        <v>0</v>
      </c>
      <c r="E246" s="15">
        <v>0</v>
      </c>
      <c r="F246">
        <v>0</v>
      </c>
      <c r="G246">
        <v>0</v>
      </c>
      <c r="H246">
        <f>IFERROR(VLOOKUP(CENTRAL[[#This Row],[Cód]],SUB[#All],4,0),0) + CENTRAL[[#This Row],[CMM]]</f>
        <v>0</v>
      </c>
    </row>
    <row r="247" spans="1:8" x14ac:dyDescent="0.25">
      <c r="A247">
        <v>200006056</v>
      </c>
      <c r="B247" t="s">
        <v>245</v>
      </c>
      <c r="C247" t="s">
        <v>9</v>
      </c>
      <c r="D247">
        <v>0</v>
      </c>
      <c r="E247" s="15">
        <v>0</v>
      </c>
      <c r="F247">
        <v>0</v>
      </c>
      <c r="G247">
        <v>0</v>
      </c>
      <c r="H247">
        <f>IFERROR(VLOOKUP(CENTRAL[[#This Row],[Cód]],SUB[#All],4,0),0) + CENTRAL[[#This Row],[CMM]]</f>
        <v>0</v>
      </c>
    </row>
    <row r="248" spans="1:8" x14ac:dyDescent="0.25">
      <c r="A248">
        <v>200003814</v>
      </c>
      <c r="B248" t="s">
        <v>246</v>
      </c>
      <c r="C248" t="s">
        <v>9</v>
      </c>
      <c r="D248">
        <v>0</v>
      </c>
      <c r="E248" s="15">
        <v>0</v>
      </c>
      <c r="F248">
        <v>0</v>
      </c>
      <c r="G248">
        <v>0</v>
      </c>
      <c r="H248">
        <f>IFERROR(VLOOKUP(CENTRAL[[#This Row],[Cód]],SUB[#All],4,0),0) + CENTRAL[[#This Row],[CMM]]</f>
        <v>0</v>
      </c>
    </row>
    <row r="249" spans="1:8" x14ac:dyDescent="0.25">
      <c r="A249">
        <v>200006838</v>
      </c>
      <c r="B249" t="s">
        <v>247</v>
      </c>
      <c r="C249" t="s">
        <v>9</v>
      </c>
      <c r="D249">
        <v>0</v>
      </c>
      <c r="E249" s="15">
        <v>0</v>
      </c>
      <c r="F249">
        <v>0</v>
      </c>
      <c r="G249">
        <v>0</v>
      </c>
      <c r="H249">
        <f>IFERROR(VLOOKUP(CENTRAL[[#This Row],[Cód]],SUB[#All],4,0),0) + CENTRAL[[#This Row],[CMM]]</f>
        <v>0</v>
      </c>
    </row>
    <row r="250" spans="1:8" x14ac:dyDescent="0.25">
      <c r="A250">
        <v>200006407</v>
      </c>
      <c r="B250" t="s">
        <v>248</v>
      </c>
      <c r="C250" t="s">
        <v>9</v>
      </c>
      <c r="D250">
        <v>0</v>
      </c>
      <c r="E250" s="15">
        <v>0</v>
      </c>
      <c r="F250">
        <v>0</v>
      </c>
      <c r="G250">
        <v>0</v>
      </c>
      <c r="H250">
        <f>IFERROR(VLOOKUP(CENTRAL[[#This Row],[Cód]],SUB[#All],4,0),0) + CENTRAL[[#This Row],[CMM]]</f>
        <v>0</v>
      </c>
    </row>
    <row r="251" spans="1:8" x14ac:dyDescent="0.25">
      <c r="A251">
        <v>200006574</v>
      </c>
      <c r="B251" t="s">
        <v>249</v>
      </c>
      <c r="C251" t="s">
        <v>9</v>
      </c>
      <c r="D251">
        <v>0</v>
      </c>
      <c r="E251" s="15">
        <v>0</v>
      </c>
      <c r="F251">
        <v>0</v>
      </c>
      <c r="G251">
        <v>0</v>
      </c>
      <c r="H251">
        <f>IFERROR(VLOOKUP(CENTRAL[[#This Row],[Cód]],SUB[#All],4,0),0) + CENTRAL[[#This Row],[CMM]]</f>
        <v>0</v>
      </c>
    </row>
    <row r="252" spans="1:8" x14ac:dyDescent="0.25">
      <c r="A252">
        <v>200004628</v>
      </c>
      <c r="B252" t="s">
        <v>250</v>
      </c>
      <c r="C252" t="s">
        <v>108</v>
      </c>
      <c r="D252">
        <v>0</v>
      </c>
      <c r="E252" s="15">
        <v>0</v>
      </c>
      <c r="F252">
        <v>0</v>
      </c>
      <c r="G252">
        <v>0</v>
      </c>
      <c r="H252">
        <f>IFERROR(VLOOKUP(CENTRAL[[#This Row],[Cód]],SUB[#All],4,0),0) + CENTRAL[[#This Row],[CMM]]</f>
        <v>0</v>
      </c>
    </row>
    <row r="253" spans="1:8" x14ac:dyDescent="0.25">
      <c r="A253">
        <v>200006059</v>
      </c>
      <c r="B253" t="s">
        <v>251</v>
      </c>
      <c r="C253" t="s">
        <v>9</v>
      </c>
      <c r="D253">
        <v>0</v>
      </c>
      <c r="E253" s="15">
        <v>0</v>
      </c>
      <c r="F253">
        <v>0</v>
      </c>
      <c r="G253">
        <v>0</v>
      </c>
      <c r="H253">
        <f>IFERROR(VLOOKUP(CENTRAL[[#This Row],[Cód]],SUB[#All],4,0),0) + CENTRAL[[#This Row],[CMM]]</f>
        <v>0</v>
      </c>
    </row>
    <row r="254" spans="1:8" x14ac:dyDescent="0.25">
      <c r="A254">
        <v>200005795</v>
      </c>
      <c r="B254" t="s">
        <v>252</v>
      </c>
      <c r="C254" t="s">
        <v>9</v>
      </c>
      <c r="D254">
        <v>0</v>
      </c>
      <c r="E254" s="15">
        <v>0</v>
      </c>
      <c r="F254">
        <v>0</v>
      </c>
      <c r="G254">
        <v>0</v>
      </c>
      <c r="H254">
        <f>IFERROR(VLOOKUP(CENTRAL[[#This Row],[Cód]],SUB[#All],4,0),0) + CENTRAL[[#This Row],[CMM]]</f>
        <v>0</v>
      </c>
    </row>
    <row r="255" spans="1:8" x14ac:dyDescent="0.25">
      <c r="A255">
        <v>200001153</v>
      </c>
      <c r="B255" t="s">
        <v>253</v>
      </c>
      <c r="C255" t="s">
        <v>9</v>
      </c>
      <c r="D255">
        <v>0</v>
      </c>
      <c r="E255" s="15">
        <v>0</v>
      </c>
      <c r="F255">
        <v>0</v>
      </c>
      <c r="G255">
        <v>0</v>
      </c>
      <c r="H255">
        <f>IFERROR(VLOOKUP(CENTRAL[[#This Row],[Cód]],SUB[#All],4,0),0) + CENTRAL[[#This Row],[CMM]]</f>
        <v>5</v>
      </c>
    </row>
    <row r="256" spans="1:8" x14ac:dyDescent="0.25">
      <c r="A256">
        <v>200001153</v>
      </c>
      <c r="B256" t="s">
        <v>253</v>
      </c>
      <c r="C256" t="s">
        <v>9</v>
      </c>
      <c r="D256">
        <v>0</v>
      </c>
      <c r="E256" s="15">
        <v>0</v>
      </c>
      <c r="F256">
        <v>0</v>
      </c>
      <c r="G256">
        <v>0</v>
      </c>
      <c r="H256">
        <f>IFERROR(VLOOKUP(CENTRAL[[#This Row],[Cód]],SUB[#All],4,0),0) + CENTRAL[[#This Row],[CMM]]</f>
        <v>5</v>
      </c>
    </row>
    <row r="257" spans="1:8" x14ac:dyDescent="0.25">
      <c r="A257">
        <v>200001151</v>
      </c>
      <c r="B257" t="s">
        <v>254</v>
      </c>
      <c r="C257" t="s">
        <v>9</v>
      </c>
      <c r="D257">
        <v>0</v>
      </c>
      <c r="E257" s="15">
        <v>0</v>
      </c>
      <c r="F257">
        <v>0</v>
      </c>
      <c r="G257">
        <v>0</v>
      </c>
      <c r="H257">
        <f>IFERROR(VLOOKUP(CENTRAL[[#This Row],[Cód]],SUB[#All],4,0),0) + CENTRAL[[#This Row],[CMM]]</f>
        <v>9.58</v>
      </c>
    </row>
    <row r="258" spans="1:8" x14ac:dyDescent="0.25">
      <c r="A258">
        <v>200001151</v>
      </c>
      <c r="B258" t="s">
        <v>254</v>
      </c>
      <c r="C258" t="s">
        <v>9</v>
      </c>
      <c r="D258">
        <v>0</v>
      </c>
      <c r="E258" s="15">
        <v>0</v>
      </c>
      <c r="F258">
        <v>0</v>
      </c>
      <c r="G258">
        <v>0</v>
      </c>
      <c r="H258">
        <f>IFERROR(VLOOKUP(CENTRAL[[#This Row],[Cód]],SUB[#All],4,0),0) + CENTRAL[[#This Row],[CMM]]</f>
        <v>9.58</v>
      </c>
    </row>
    <row r="259" spans="1:8" x14ac:dyDescent="0.25">
      <c r="A259">
        <v>200001156</v>
      </c>
      <c r="B259" t="s">
        <v>255</v>
      </c>
      <c r="C259" t="s">
        <v>9</v>
      </c>
      <c r="D259">
        <v>0</v>
      </c>
      <c r="E259" s="15">
        <v>0</v>
      </c>
      <c r="F259">
        <v>0</v>
      </c>
      <c r="G259">
        <v>0</v>
      </c>
      <c r="H259">
        <f>IFERROR(VLOOKUP(CENTRAL[[#This Row],[Cód]],SUB[#All],4,0),0) + CENTRAL[[#This Row],[CMM]]</f>
        <v>1.66</v>
      </c>
    </row>
    <row r="260" spans="1:8" x14ac:dyDescent="0.25">
      <c r="A260">
        <v>200001156</v>
      </c>
      <c r="B260" t="s">
        <v>255</v>
      </c>
      <c r="C260" t="s">
        <v>9</v>
      </c>
      <c r="D260">
        <v>0</v>
      </c>
      <c r="E260" s="15">
        <v>0</v>
      </c>
      <c r="F260">
        <v>0</v>
      </c>
      <c r="G260">
        <v>0</v>
      </c>
      <c r="H260">
        <f>IFERROR(VLOOKUP(CENTRAL[[#This Row],[Cód]],SUB[#All],4,0),0) + CENTRAL[[#This Row],[CMM]]</f>
        <v>1.66</v>
      </c>
    </row>
    <row r="261" spans="1:8" x14ac:dyDescent="0.25">
      <c r="A261">
        <v>200001164</v>
      </c>
      <c r="B261" t="s">
        <v>256</v>
      </c>
      <c r="C261" t="s">
        <v>9</v>
      </c>
      <c r="D261">
        <v>0</v>
      </c>
      <c r="E261" s="15">
        <v>0</v>
      </c>
      <c r="F261">
        <v>0</v>
      </c>
      <c r="G261">
        <v>0</v>
      </c>
      <c r="H261">
        <f>IFERROR(VLOOKUP(CENTRAL[[#This Row],[Cód]],SUB[#All],4,0),0) + CENTRAL[[#This Row],[CMM]]</f>
        <v>7.91</v>
      </c>
    </row>
    <row r="262" spans="1:8" x14ac:dyDescent="0.25">
      <c r="A262">
        <v>200001164</v>
      </c>
      <c r="B262" t="s">
        <v>256</v>
      </c>
      <c r="C262" t="s">
        <v>9</v>
      </c>
      <c r="D262">
        <v>0</v>
      </c>
      <c r="E262" s="15">
        <v>0</v>
      </c>
      <c r="F262">
        <v>0</v>
      </c>
      <c r="G262">
        <v>0</v>
      </c>
      <c r="H262">
        <f>IFERROR(VLOOKUP(CENTRAL[[#This Row],[Cód]],SUB[#All],4,0),0) + CENTRAL[[#This Row],[CMM]]</f>
        <v>7.91</v>
      </c>
    </row>
    <row r="263" spans="1:8" x14ac:dyDescent="0.25">
      <c r="A263">
        <v>200002760</v>
      </c>
      <c r="B263" t="s">
        <v>257</v>
      </c>
      <c r="C263" t="s">
        <v>9</v>
      </c>
      <c r="D263">
        <v>0</v>
      </c>
      <c r="E263" s="15">
        <v>0</v>
      </c>
      <c r="F263">
        <v>0</v>
      </c>
      <c r="G263">
        <v>0</v>
      </c>
      <c r="H263">
        <f>IFERROR(VLOOKUP(CENTRAL[[#This Row],[Cód]],SUB[#All],4,0),0) + CENTRAL[[#This Row],[CMM]]</f>
        <v>0</v>
      </c>
    </row>
    <row r="264" spans="1:8" x14ac:dyDescent="0.25">
      <c r="A264">
        <v>200002760</v>
      </c>
      <c r="B264" t="s">
        <v>257</v>
      </c>
      <c r="C264" t="s">
        <v>9</v>
      </c>
      <c r="D264">
        <v>0</v>
      </c>
      <c r="E264" s="15">
        <v>0</v>
      </c>
      <c r="F264">
        <v>0</v>
      </c>
      <c r="G264">
        <v>0</v>
      </c>
      <c r="H264">
        <f>IFERROR(VLOOKUP(CENTRAL[[#This Row],[Cód]],SUB[#All],4,0),0) + CENTRAL[[#This Row],[CMM]]</f>
        <v>0</v>
      </c>
    </row>
    <row r="265" spans="1:8" x14ac:dyDescent="0.25">
      <c r="A265">
        <v>200001165</v>
      </c>
      <c r="B265" t="s">
        <v>258</v>
      </c>
      <c r="C265" t="s">
        <v>9</v>
      </c>
      <c r="D265">
        <v>0</v>
      </c>
      <c r="E265" s="15">
        <v>0</v>
      </c>
      <c r="F265">
        <v>0</v>
      </c>
      <c r="G265">
        <v>0</v>
      </c>
      <c r="H265">
        <f>IFERROR(VLOOKUP(CENTRAL[[#This Row],[Cód]],SUB[#All],4,0),0) + CENTRAL[[#This Row],[CMM]]</f>
        <v>0</v>
      </c>
    </row>
    <row r="266" spans="1:8" x14ac:dyDescent="0.25">
      <c r="A266">
        <v>200001165</v>
      </c>
      <c r="B266" t="s">
        <v>258</v>
      </c>
      <c r="C266" t="s">
        <v>9</v>
      </c>
      <c r="D266">
        <v>0</v>
      </c>
      <c r="E266" s="15">
        <v>0</v>
      </c>
      <c r="F266">
        <v>0</v>
      </c>
      <c r="G266">
        <v>0</v>
      </c>
      <c r="H266">
        <f>IFERROR(VLOOKUP(CENTRAL[[#This Row],[Cód]],SUB[#All],4,0),0) + CENTRAL[[#This Row],[CMM]]</f>
        <v>0</v>
      </c>
    </row>
    <row r="267" spans="1:8" x14ac:dyDescent="0.25">
      <c r="A267">
        <v>200002766</v>
      </c>
      <c r="B267" t="s">
        <v>259</v>
      </c>
      <c r="C267" t="s">
        <v>9</v>
      </c>
      <c r="D267">
        <v>0</v>
      </c>
      <c r="E267" s="15">
        <v>0</v>
      </c>
      <c r="F267">
        <v>0</v>
      </c>
      <c r="G267">
        <v>0</v>
      </c>
      <c r="H267">
        <f>IFERROR(VLOOKUP(CENTRAL[[#This Row],[Cód]],SUB[#All],4,0),0) + CENTRAL[[#This Row],[CMM]]</f>
        <v>17.91</v>
      </c>
    </row>
    <row r="268" spans="1:8" x14ac:dyDescent="0.25">
      <c r="A268">
        <v>200002766</v>
      </c>
      <c r="B268" t="s">
        <v>259</v>
      </c>
      <c r="C268" t="s">
        <v>9</v>
      </c>
      <c r="D268">
        <v>0</v>
      </c>
      <c r="E268" s="15">
        <v>0</v>
      </c>
      <c r="F268">
        <v>0</v>
      </c>
      <c r="G268">
        <v>0</v>
      </c>
      <c r="H268">
        <f>IFERROR(VLOOKUP(CENTRAL[[#This Row],[Cód]],SUB[#All],4,0),0) + CENTRAL[[#This Row],[CMM]]</f>
        <v>17.91</v>
      </c>
    </row>
    <row r="269" spans="1:8" x14ac:dyDescent="0.25">
      <c r="A269">
        <v>200002768</v>
      </c>
      <c r="B269" t="s">
        <v>260</v>
      </c>
      <c r="C269" t="s">
        <v>9</v>
      </c>
      <c r="D269">
        <v>0</v>
      </c>
      <c r="E269" s="15">
        <v>0</v>
      </c>
      <c r="F269">
        <v>0</v>
      </c>
      <c r="G269">
        <v>0</v>
      </c>
      <c r="H269">
        <f>IFERROR(VLOOKUP(CENTRAL[[#This Row],[Cód]],SUB[#All],4,0),0) + CENTRAL[[#This Row],[CMM]]</f>
        <v>3.33</v>
      </c>
    </row>
    <row r="270" spans="1:8" x14ac:dyDescent="0.25">
      <c r="A270">
        <v>200002768</v>
      </c>
      <c r="B270" t="s">
        <v>260</v>
      </c>
      <c r="C270" t="s">
        <v>9</v>
      </c>
      <c r="D270">
        <v>0</v>
      </c>
      <c r="E270" s="15">
        <v>0</v>
      </c>
      <c r="F270">
        <v>0</v>
      </c>
      <c r="G270">
        <v>0</v>
      </c>
      <c r="H270">
        <f>IFERROR(VLOOKUP(CENTRAL[[#This Row],[Cód]],SUB[#All],4,0),0) + CENTRAL[[#This Row],[CMM]]</f>
        <v>3.33</v>
      </c>
    </row>
    <row r="271" spans="1:8" x14ac:dyDescent="0.25">
      <c r="A271">
        <v>200001148</v>
      </c>
      <c r="B271" t="s">
        <v>261</v>
      </c>
      <c r="C271" t="s">
        <v>9</v>
      </c>
      <c r="D271">
        <v>0</v>
      </c>
      <c r="E271" s="15">
        <v>0</v>
      </c>
      <c r="F271">
        <v>0</v>
      </c>
      <c r="G271">
        <v>0</v>
      </c>
      <c r="H271">
        <f>IFERROR(VLOOKUP(CENTRAL[[#This Row],[Cód]],SUB[#All],4,0),0) + CENTRAL[[#This Row],[CMM]]</f>
        <v>12.5</v>
      </c>
    </row>
    <row r="272" spans="1:8" x14ac:dyDescent="0.25">
      <c r="A272">
        <v>200001148</v>
      </c>
      <c r="B272" s="17" t="s">
        <v>261</v>
      </c>
      <c r="C272" t="s">
        <v>9</v>
      </c>
      <c r="D272">
        <v>0</v>
      </c>
      <c r="E272" s="15">
        <v>0</v>
      </c>
      <c r="F272">
        <v>0</v>
      </c>
      <c r="G272">
        <v>0</v>
      </c>
      <c r="H272">
        <f>IFERROR(VLOOKUP(CENTRAL[[#This Row],[Cód]],SUB[#All],4,0),0) + CENTRAL[[#This Row],[CMM]]</f>
        <v>12.5</v>
      </c>
    </row>
    <row r="273" spans="1:8" x14ac:dyDescent="0.25">
      <c r="A273">
        <v>200000962</v>
      </c>
      <c r="B273" t="s">
        <v>262</v>
      </c>
      <c r="C273" t="s">
        <v>9</v>
      </c>
      <c r="D273">
        <v>0</v>
      </c>
      <c r="E273" s="15">
        <v>0</v>
      </c>
      <c r="F273">
        <v>0</v>
      </c>
      <c r="G273">
        <v>0</v>
      </c>
      <c r="H273">
        <f>IFERROR(VLOOKUP(CENTRAL[[#This Row],[Cód]],SUB[#All],4,0),0) + CENTRAL[[#This Row],[CMM]]</f>
        <v>0</v>
      </c>
    </row>
    <row r="274" spans="1:8" x14ac:dyDescent="0.25">
      <c r="A274">
        <v>200000962</v>
      </c>
      <c r="B274" t="s">
        <v>262</v>
      </c>
      <c r="C274" t="s">
        <v>9</v>
      </c>
      <c r="D274">
        <v>0</v>
      </c>
      <c r="E274" s="15">
        <v>0</v>
      </c>
      <c r="F274">
        <v>0</v>
      </c>
      <c r="G274">
        <v>0</v>
      </c>
      <c r="H274">
        <f>IFERROR(VLOOKUP(CENTRAL[[#This Row],[Cód]],SUB[#All],4,0),0) + CENTRAL[[#This Row],[CMM]]</f>
        <v>0</v>
      </c>
    </row>
    <row r="275" spans="1:8" x14ac:dyDescent="0.25">
      <c r="A275">
        <v>200002728</v>
      </c>
      <c r="B275" t="s">
        <v>263</v>
      </c>
      <c r="C275" t="s">
        <v>9</v>
      </c>
      <c r="D275">
        <v>0</v>
      </c>
      <c r="E275" s="15">
        <v>0</v>
      </c>
      <c r="F275">
        <v>0</v>
      </c>
      <c r="G275">
        <v>0</v>
      </c>
      <c r="H275">
        <f>IFERROR(VLOOKUP(CENTRAL[[#This Row],[Cód]],SUB[#All],4,0),0) + CENTRAL[[#This Row],[CMM]]</f>
        <v>7.91</v>
      </c>
    </row>
    <row r="276" spans="1:8" x14ac:dyDescent="0.25">
      <c r="A276">
        <v>200002728</v>
      </c>
      <c r="B276" t="s">
        <v>263</v>
      </c>
      <c r="C276" t="s">
        <v>9</v>
      </c>
      <c r="D276">
        <v>0</v>
      </c>
      <c r="E276" s="15">
        <v>0</v>
      </c>
      <c r="F276">
        <v>0</v>
      </c>
      <c r="G276">
        <v>0</v>
      </c>
      <c r="H276">
        <f>IFERROR(VLOOKUP(CENTRAL[[#This Row],[Cód]],SUB[#All],4,0),0) + CENTRAL[[#This Row],[CMM]]</f>
        <v>7.91</v>
      </c>
    </row>
    <row r="277" spans="1:8" x14ac:dyDescent="0.25">
      <c r="A277">
        <v>200000967</v>
      </c>
      <c r="B277" t="s">
        <v>264</v>
      </c>
      <c r="C277" t="s">
        <v>9</v>
      </c>
      <c r="D277">
        <v>0</v>
      </c>
      <c r="E277" s="15">
        <v>0</v>
      </c>
      <c r="F277">
        <v>0</v>
      </c>
      <c r="G277">
        <v>0</v>
      </c>
      <c r="H277">
        <f>IFERROR(VLOOKUP(CENTRAL[[#This Row],[Cód]],SUB[#All],4,0),0) + CENTRAL[[#This Row],[CMM]]</f>
        <v>0.91</v>
      </c>
    </row>
    <row r="278" spans="1:8" x14ac:dyDescent="0.25">
      <c r="A278">
        <v>200000967</v>
      </c>
      <c r="B278" t="s">
        <v>264</v>
      </c>
      <c r="C278" t="s">
        <v>9</v>
      </c>
      <c r="D278">
        <v>0</v>
      </c>
      <c r="E278" s="15">
        <v>0</v>
      </c>
      <c r="F278">
        <v>0</v>
      </c>
      <c r="G278">
        <v>0</v>
      </c>
      <c r="H278">
        <f>IFERROR(VLOOKUP(CENTRAL[[#This Row],[Cód]],SUB[#All],4,0),0) + CENTRAL[[#This Row],[CMM]]</f>
        <v>0.91</v>
      </c>
    </row>
    <row r="279" spans="1:8" x14ac:dyDescent="0.25">
      <c r="A279">
        <v>200001157</v>
      </c>
      <c r="B279" t="s">
        <v>265</v>
      </c>
      <c r="C279" t="s">
        <v>9</v>
      </c>
      <c r="D279">
        <v>0</v>
      </c>
      <c r="E279" s="15">
        <v>0</v>
      </c>
      <c r="F279">
        <v>0</v>
      </c>
      <c r="G279">
        <v>0</v>
      </c>
      <c r="H279">
        <f>IFERROR(VLOOKUP(CENTRAL[[#This Row],[Cód]],SUB[#All],4,0),0) + CENTRAL[[#This Row],[CMM]]</f>
        <v>5</v>
      </c>
    </row>
    <row r="280" spans="1:8" x14ac:dyDescent="0.25">
      <c r="A280">
        <v>200001157</v>
      </c>
      <c r="B280" t="s">
        <v>265</v>
      </c>
      <c r="C280" t="s">
        <v>9</v>
      </c>
      <c r="D280">
        <v>0</v>
      </c>
      <c r="E280" s="15">
        <v>0</v>
      </c>
      <c r="F280">
        <v>0</v>
      </c>
      <c r="G280">
        <v>0</v>
      </c>
      <c r="H280">
        <f>IFERROR(VLOOKUP(CENTRAL[[#This Row],[Cód]],SUB[#All],4,0),0) + CENTRAL[[#This Row],[CMM]]</f>
        <v>5</v>
      </c>
    </row>
    <row r="281" spans="1:8" x14ac:dyDescent="0.25">
      <c r="A281">
        <v>200001158</v>
      </c>
      <c r="B281" t="s">
        <v>266</v>
      </c>
      <c r="C281" t="s">
        <v>9</v>
      </c>
      <c r="D281">
        <v>0</v>
      </c>
      <c r="E281" s="15">
        <v>0</v>
      </c>
      <c r="F281">
        <v>0</v>
      </c>
      <c r="G281">
        <v>0</v>
      </c>
      <c r="H281">
        <f>IFERROR(VLOOKUP(CENTRAL[[#This Row],[Cód]],SUB[#All],4,0),0) + CENTRAL[[#This Row],[CMM]]</f>
        <v>3.33</v>
      </c>
    </row>
    <row r="282" spans="1:8" x14ac:dyDescent="0.25">
      <c r="A282">
        <v>200001158</v>
      </c>
      <c r="B282" t="s">
        <v>266</v>
      </c>
      <c r="C282" t="s">
        <v>9</v>
      </c>
      <c r="D282">
        <v>0</v>
      </c>
      <c r="E282" s="15">
        <v>0</v>
      </c>
      <c r="F282">
        <v>0</v>
      </c>
      <c r="G282">
        <v>0</v>
      </c>
      <c r="H282">
        <f>IFERROR(VLOOKUP(CENTRAL[[#This Row],[Cód]],SUB[#All],4,0),0) + CENTRAL[[#This Row],[CMM]]</f>
        <v>3.33</v>
      </c>
    </row>
    <row r="283" spans="1:8" x14ac:dyDescent="0.25">
      <c r="A283">
        <v>200002731</v>
      </c>
      <c r="B283" t="s">
        <v>267</v>
      </c>
      <c r="C283" t="s">
        <v>9</v>
      </c>
      <c r="D283">
        <v>0</v>
      </c>
      <c r="E283" s="15">
        <v>0</v>
      </c>
      <c r="F283">
        <v>0</v>
      </c>
      <c r="G283">
        <v>0</v>
      </c>
      <c r="H283">
        <f>IFERROR(VLOOKUP(CENTRAL[[#This Row],[Cód]],SUB[#All],4,0),0) + CENTRAL[[#This Row],[CMM]]</f>
        <v>2.5</v>
      </c>
    </row>
    <row r="284" spans="1:8" x14ac:dyDescent="0.25">
      <c r="A284">
        <v>200002731</v>
      </c>
      <c r="B284" t="s">
        <v>267</v>
      </c>
      <c r="C284" t="s">
        <v>9</v>
      </c>
      <c r="D284">
        <v>0</v>
      </c>
      <c r="E284" s="15">
        <v>0</v>
      </c>
      <c r="F284">
        <v>0</v>
      </c>
      <c r="G284">
        <v>0</v>
      </c>
      <c r="H284">
        <f>IFERROR(VLOOKUP(CENTRAL[[#This Row],[Cód]],SUB[#All],4,0),0) + CENTRAL[[#This Row],[CMM]]</f>
        <v>2.5</v>
      </c>
    </row>
    <row r="285" spans="1:8" x14ac:dyDescent="0.25">
      <c r="A285">
        <v>200001160</v>
      </c>
      <c r="B285" t="s">
        <v>268</v>
      </c>
      <c r="C285" t="s">
        <v>9</v>
      </c>
      <c r="D285">
        <v>0</v>
      </c>
      <c r="E285" s="15">
        <v>0</v>
      </c>
      <c r="F285">
        <v>0</v>
      </c>
      <c r="G285">
        <v>0</v>
      </c>
      <c r="H285">
        <f>IFERROR(VLOOKUP(CENTRAL[[#This Row],[Cód]],SUB[#All],4,0),0) + CENTRAL[[#This Row],[CMM]]</f>
        <v>0</v>
      </c>
    </row>
    <row r="286" spans="1:8" x14ac:dyDescent="0.25">
      <c r="A286">
        <v>200001160</v>
      </c>
      <c r="B286" t="s">
        <v>268</v>
      </c>
      <c r="C286" t="s">
        <v>9</v>
      </c>
      <c r="D286">
        <v>0</v>
      </c>
      <c r="E286" s="15">
        <v>0</v>
      </c>
      <c r="F286">
        <v>0</v>
      </c>
      <c r="G286">
        <v>0</v>
      </c>
      <c r="H286">
        <f>IFERROR(VLOOKUP(CENTRAL[[#This Row],[Cód]],SUB[#All],4,0),0) + CENTRAL[[#This Row],[CMM]]</f>
        <v>0</v>
      </c>
    </row>
    <row r="287" spans="1:8" x14ac:dyDescent="0.25">
      <c r="A287">
        <v>200000974</v>
      </c>
      <c r="B287" t="s">
        <v>269</v>
      </c>
      <c r="C287" t="s">
        <v>9</v>
      </c>
      <c r="D287">
        <v>0</v>
      </c>
      <c r="E287" s="15">
        <v>0</v>
      </c>
      <c r="F287">
        <v>0</v>
      </c>
      <c r="G287">
        <v>0</v>
      </c>
      <c r="H287">
        <f>IFERROR(VLOOKUP(CENTRAL[[#This Row],[Cód]],SUB[#All],4,0),0) + CENTRAL[[#This Row],[CMM]]</f>
        <v>2.91</v>
      </c>
    </row>
    <row r="288" spans="1:8" x14ac:dyDescent="0.25">
      <c r="A288">
        <v>200000974</v>
      </c>
      <c r="B288" t="s">
        <v>269</v>
      </c>
      <c r="C288" t="s">
        <v>9</v>
      </c>
      <c r="D288">
        <v>0</v>
      </c>
      <c r="E288" s="15">
        <v>0</v>
      </c>
      <c r="F288">
        <v>0</v>
      </c>
      <c r="G288">
        <v>0</v>
      </c>
      <c r="H288">
        <f>IFERROR(VLOOKUP(CENTRAL[[#This Row],[Cód]],SUB[#All],4,0),0) + CENTRAL[[#This Row],[CMM]]</f>
        <v>2.91</v>
      </c>
    </row>
    <row r="289" spans="1:8" x14ac:dyDescent="0.25">
      <c r="A289">
        <v>200002743</v>
      </c>
      <c r="B289" t="s">
        <v>270</v>
      </c>
      <c r="C289" t="s">
        <v>9</v>
      </c>
      <c r="D289">
        <v>0</v>
      </c>
      <c r="E289" s="15">
        <v>0</v>
      </c>
      <c r="F289">
        <v>0</v>
      </c>
      <c r="G289">
        <v>0</v>
      </c>
      <c r="H289">
        <f>IFERROR(VLOOKUP(CENTRAL[[#This Row],[Cód]],SUB[#All],4,0),0) + CENTRAL[[#This Row],[CMM]]</f>
        <v>4.16</v>
      </c>
    </row>
    <row r="290" spans="1:8" x14ac:dyDescent="0.25">
      <c r="A290">
        <v>200002743</v>
      </c>
      <c r="B290" t="s">
        <v>270</v>
      </c>
      <c r="C290" t="s">
        <v>9</v>
      </c>
      <c r="D290">
        <v>0</v>
      </c>
      <c r="E290" s="15">
        <v>0</v>
      </c>
      <c r="F290">
        <v>0</v>
      </c>
      <c r="G290">
        <v>0</v>
      </c>
      <c r="H290">
        <f>IFERROR(VLOOKUP(CENTRAL[[#This Row],[Cód]],SUB[#All],4,0),0) + CENTRAL[[#This Row],[CMM]]</f>
        <v>4.16</v>
      </c>
    </row>
    <row r="291" spans="1:8" x14ac:dyDescent="0.25">
      <c r="A291">
        <v>200006061</v>
      </c>
      <c r="B291" t="s">
        <v>271</v>
      </c>
      <c r="C291" t="s">
        <v>9</v>
      </c>
      <c r="D291">
        <v>0</v>
      </c>
      <c r="E291" s="15">
        <v>0</v>
      </c>
      <c r="F291">
        <v>0</v>
      </c>
      <c r="G291">
        <v>0</v>
      </c>
      <c r="H291">
        <f>IFERROR(VLOOKUP(CENTRAL[[#This Row],[Cód]],SUB[#All],4,0),0) + CENTRAL[[#This Row],[CMM]]</f>
        <v>4</v>
      </c>
    </row>
    <row r="292" spans="1:8" x14ac:dyDescent="0.25">
      <c r="A292">
        <v>200002747</v>
      </c>
      <c r="B292" t="s">
        <v>272</v>
      </c>
      <c r="C292" t="s">
        <v>9</v>
      </c>
      <c r="D292">
        <v>0</v>
      </c>
      <c r="E292" s="15">
        <v>0</v>
      </c>
      <c r="F292">
        <v>0</v>
      </c>
      <c r="G292">
        <v>0</v>
      </c>
      <c r="H292">
        <f>IFERROR(VLOOKUP(CENTRAL[[#This Row],[Cód]],SUB[#All],4,0),0) + CENTRAL[[#This Row],[CMM]]</f>
        <v>7.5</v>
      </c>
    </row>
    <row r="293" spans="1:8" x14ac:dyDescent="0.25">
      <c r="A293">
        <v>200002747</v>
      </c>
      <c r="B293" t="s">
        <v>272</v>
      </c>
      <c r="C293" t="s">
        <v>9</v>
      </c>
      <c r="D293">
        <v>0</v>
      </c>
      <c r="E293" s="15">
        <v>0</v>
      </c>
      <c r="F293">
        <v>0</v>
      </c>
      <c r="G293">
        <v>0</v>
      </c>
      <c r="H293">
        <f>IFERROR(VLOOKUP(CENTRAL[[#This Row],[Cód]],SUB[#All],4,0),0) + CENTRAL[[#This Row],[CMM]]</f>
        <v>7.5</v>
      </c>
    </row>
    <row r="294" spans="1:8" x14ac:dyDescent="0.25">
      <c r="A294">
        <v>200002753</v>
      </c>
      <c r="B294" t="s">
        <v>273</v>
      </c>
      <c r="C294" t="s">
        <v>9</v>
      </c>
      <c r="D294">
        <v>0</v>
      </c>
      <c r="E294" s="15">
        <v>0</v>
      </c>
      <c r="F294">
        <v>0</v>
      </c>
      <c r="G294">
        <v>0</v>
      </c>
      <c r="H294">
        <f>IFERROR(VLOOKUP(CENTRAL[[#This Row],[Cód]],SUB[#All],4,0),0) + CENTRAL[[#This Row],[CMM]]</f>
        <v>1.66</v>
      </c>
    </row>
    <row r="295" spans="1:8" x14ac:dyDescent="0.25">
      <c r="A295">
        <v>200002753</v>
      </c>
      <c r="B295" t="s">
        <v>273</v>
      </c>
      <c r="C295" t="s">
        <v>9</v>
      </c>
      <c r="D295">
        <v>0</v>
      </c>
      <c r="E295" s="15">
        <v>0</v>
      </c>
      <c r="F295">
        <v>0</v>
      </c>
      <c r="G295">
        <v>0</v>
      </c>
      <c r="H295">
        <f>IFERROR(VLOOKUP(CENTRAL[[#This Row],[Cód]],SUB[#All],4,0),0) + CENTRAL[[#This Row],[CMM]]</f>
        <v>1.66</v>
      </c>
    </row>
    <row r="296" spans="1:8" x14ac:dyDescent="0.25">
      <c r="A296">
        <v>200000977</v>
      </c>
      <c r="B296" t="s">
        <v>274</v>
      </c>
      <c r="C296" t="s">
        <v>9</v>
      </c>
      <c r="D296">
        <v>0</v>
      </c>
      <c r="E296" s="15">
        <v>0</v>
      </c>
      <c r="F296">
        <v>0</v>
      </c>
      <c r="G296">
        <v>0</v>
      </c>
      <c r="H296">
        <f>IFERROR(VLOOKUP(CENTRAL[[#This Row],[Cód]],SUB[#All],4,0),0) + CENTRAL[[#This Row],[CMM]]</f>
        <v>3.58</v>
      </c>
    </row>
    <row r="297" spans="1:8" x14ac:dyDescent="0.25">
      <c r="A297">
        <v>200000977</v>
      </c>
      <c r="B297" t="s">
        <v>274</v>
      </c>
      <c r="C297" t="s">
        <v>9</v>
      </c>
      <c r="D297">
        <v>0</v>
      </c>
      <c r="E297" s="15">
        <v>0</v>
      </c>
      <c r="F297">
        <v>0</v>
      </c>
      <c r="G297">
        <v>0</v>
      </c>
      <c r="H297">
        <f>IFERROR(VLOOKUP(CENTRAL[[#This Row],[Cód]],SUB[#All],4,0),0) + CENTRAL[[#This Row],[CMM]]</f>
        <v>3.58</v>
      </c>
    </row>
    <row r="298" spans="1:8" x14ac:dyDescent="0.25">
      <c r="A298">
        <v>200004640</v>
      </c>
      <c r="B298" t="s">
        <v>275</v>
      </c>
      <c r="C298" t="s">
        <v>9</v>
      </c>
      <c r="D298">
        <v>0</v>
      </c>
      <c r="E298" s="15">
        <v>0</v>
      </c>
      <c r="F298">
        <v>0</v>
      </c>
      <c r="G298">
        <v>0</v>
      </c>
      <c r="H298">
        <f>IFERROR(VLOOKUP(CENTRAL[[#This Row],[Cód]],SUB[#All],4,0),0) + CENTRAL[[#This Row],[CMM]]</f>
        <v>7.08</v>
      </c>
    </row>
    <row r="299" spans="1:8" x14ac:dyDescent="0.25">
      <c r="A299">
        <v>200004576</v>
      </c>
      <c r="B299" t="s">
        <v>276</v>
      </c>
      <c r="C299" t="s">
        <v>9</v>
      </c>
      <c r="D299">
        <v>0</v>
      </c>
      <c r="E299" s="15">
        <v>0</v>
      </c>
      <c r="F299">
        <v>0</v>
      </c>
      <c r="G299">
        <v>0</v>
      </c>
      <c r="H299">
        <f>IFERROR(VLOOKUP(CENTRAL[[#This Row],[Cód]],SUB[#All],4,0),0) + CENTRAL[[#This Row],[CMM]]</f>
        <v>3.33</v>
      </c>
    </row>
    <row r="300" spans="1:8" x14ac:dyDescent="0.25">
      <c r="A300">
        <v>200000836</v>
      </c>
      <c r="B300" t="s">
        <v>277</v>
      </c>
      <c r="C300" t="s">
        <v>9</v>
      </c>
      <c r="D300">
        <v>0</v>
      </c>
      <c r="E300" s="15">
        <v>0</v>
      </c>
      <c r="F300">
        <v>0</v>
      </c>
      <c r="G300">
        <v>0</v>
      </c>
      <c r="H300">
        <f>IFERROR(VLOOKUP(CENTRAL[[#This Row],[Cód]],SUB[#All],4,0),0) + CENTRAL[[#This Row],[CMM]]</f>
        <v>0</v>
      </c>
    </row>
    <row r="301" spans="1:8" x14ac:dyDescent="0.25">
      <c r="A301">
        <v>200000836</v>
      </c>
      <c r="B301" t="s">
        <v>277</v>
      </c>
      <c r="C301" t="s">
        <v>9</v>
      </c>
      <c r="D301">
        <v>0</v>
      </c>
      <c r="E301" s="15">
        <v>0</v>
      </c>
      <c r="F301">
        <v>0</v>
      </c>
      <c r="G301">
        <v>0</v>
      </c>
      <c r="H301">
        <f>IFERROR(VLOOKUP(CENTRAL[[#This Row],[Cód]],SUB[#All],4,0),0) + CENTRAL[[#This Row],[CMM]]</f>
        <v>0</v>
      </c>
    </row>
    <row r="302" spans="1:8" x14ac:dyDescent="0.25">
      <c r="A302">
        <v>200004575</v>
      </c>
      <c r="B302" t="s">
        <v>278</v>
      </c>
      <c r="C302" t="s">
        <v>9</v>
      </c>
      <c r="D302">
        <v>0</v>
      </c>
      <c r="E302" s="15">
        <v>0</v>
      </c>
      <c r="F302">
        <v>0</v>
      </c>
      <c r="G302">
        <v>0</v>
      </c>
      <c r="H302">
        <f>IFERROR(VLOOKUP(CENTRAL[[#This Row],[Cód]],SUB[#All],4,0),0) + CENTRAL[[#This Row],[CMM]]</f>
        <v>1.66</v>
      </c>
    </row>
    <row r="303" spans="1:8" x14ac:dyDescent="0.25">
      <c r="A303">
        <v>200004574</v>
      </c>
      <c r="B303" t="s">
        <v>279</v>
      </c>
      <c r="C303" t="s">
        <v>9</v>
      </c>
      <c r="D303">
        <v>0</v>
      </c>
      <c r="E303" s="15">
        <v>0</v>
      </c>
      <c r="F303">
        <v>0</v>
      </c>
      <c r="G303">
        <v>0</v>
      </c>
      <c r="H303">
        <f>IFERROR(VLOOKUP(CENTRAL[[#This Row],[Cód]],SUB[#All],4,0),0) + CENTRAL[[#This Row],[CMM]]</f>
        <v>5.83</v>
      </c>
    </row>
    <row r="304" spans="1:8" x14ac:dyDescent="0.25">
      <c r="A304">
        <v>200004573</v>
      </c>
      <c r="B304" t="s">
        <v>280</v>
      </c>
      <c r="C304" t="s">
        <v>9</v>
      </c>
      <c r="D304">
        <v>0</v>
      </c>
      <c r="E304" s="15">
        <v>0</v>
      </c>
      <c r="F304">
        <v>0</v>
      </c>
      <c r="G304">
        <v>0</v>
      </c>
      <c r="H304">
        <f>IFERROR(VLOOKUP(CENTRAL[[#This Row],[Cód]],SUB[#All],4,0),0) + CENTRAL[[#This Row],[CMM]]</f>
        <v>4.16</v>
      </c>
    </row>
    <row r="305" spans="1:8" x14ac:dyDescent="0.25">
      <c r="A305">
        <v>200002168</v>
      </c>
      <c r="B305" t="s">
        <v>281</v>
      </c>
      <c r="C305" t="s">
        <v>9</v>
      </c>
      <c r="D305">
        <v>0</v>
      </c>
      <c r="E305" s="15">
        <v>0</v>
      </c>
      <c r="F305">
        <v>0</v>
      </c>
      <c r="G305">
        <v>0</v>
      </c>
      <c r="H305">
        <f>IFERROR(VLOOKUP(CENTRAL[[#This Row],[Cód]],SUB[#All],4,0),0) + CENTRAL[[#This Row],[CMM]]</f>
        <v>0</v>
      </c>
    </row>
    <row r="306" spans="1:8" x14ac:dyDescent="0.25">
      <c r="A306">
        <v>200000819</v>
      </c>
      <c r="B306" t="s">
        <v>282</v>
      </c>
      <c r="C306" t="s">
        <v>9</v>
      </c>
      <c r="D306">
        <v>0</v>
      </c>
      <c r="E306" s="15">
        <v>0</v>
      </c>
      <c r="F306">
        <v>0</v>
      </c>
      <c r="G306">
        <v>0</v>
      </c>
      <c r="H306">
        <f>IFERROR(VLOOKUP(CENTRAL[[#This Row],[Cód]],SUB[#All],4,0),0) + CENTRAL[[#This Row],[CMM]]</f>
        <v>0</v>
      </c>
    </row>
    <row r="307" spans="1:8" x14ac:dyDescent="0.25">
      <c r="A307">
        <v>200000819</v>
      </c>
      <c r="B307" t="s">
        <v>282</v>
      </c>
      <c r="C307" t="s">
        <v>9</v>
      </c>
      <c r="D307">
        <v>0</v>
      </c>
      <c r="E307" s="15">
        <v>0</v>
      </c>
      <c r="F307">
        <v>0</v>
      </c>
      <c r="G307">
        <v>0</v>
      </c>
      <c r="H307">
        <f>IFERROR(VLOOKUP(CENTRAL[[#This Row],[Cód]],SUB[#All],4,0),0) + CENTRAL[[#This Row],[CMM]]</f>
        <v>0</v>
      </c>
    </row>
    <row r="308" spans="1:8" x14ac:dyDescent="0.25">
      <c r="A308">
        <v>200004639</v>
      </c>
      <c r="B308" t="s">
        <v>283</v>
      </c>
      <c r="C308" t="s">
        <v>9</v>
      </c>
      <c r="D308">
        <v>0</v>
      </c>
      <c r="E308" s="15">
        <v>0</v>
      </c>
      <c r="F308">
        <v>0</v>
      </c>
      <c r="G308">
        <v>0</v>
      </c>
      <c r="H308">
        <f>IFERROR(VLOOKUP(CENTRAL[[#This Row],[Cód]],SUB[#All],4,0),0) + CENTRAL[[#This Row],[CMM]]</f>
        <v>2.91</v>
      </c>
    </row>
    <row r="309" spans="1:8" x14ac:dyDescent="0.25">
      <c r="A309">
        <v>200000215</v>
      </c>
      <c r="B309" t="s">
        <v>284</v>
      </c>
      <c r="C309" t="s">
        <v>82</v>
      </c>
      <c r="D309">
        <v>0</v>
      </c>
      <c r="E309" s="15">
        <v>0</v>
      </c>
      <c r="F309">
        <v>0</v>
      </c>
      <c r="G309">
        <v>0</v>
      </c>
      <c r="H309">
        <f>IFERROR(VLOOKUP(CENTRAL[[#This Row],[Cód]],SUB[#All],4,0),0) + CENTRAL[[#This Row],[CMM]]</f>
        <v>0</v>
      </c>
    </row>
    <row r="310" spans="1:8" x14ac:dyDescent="0.25">
      <c r="A310">
        <v>200002107</v>
      </c>
      <c r="B310" t="s">
        <v>285</v>
      </c>
      <c r="C310" t="s">
        <v>86</v>
      </c>
      <c r="D310">
        <v>26.75</v>
      </c>
      <c r="E310" s="15">
        <v>21.53</v>
      </c>
      <c r="F310">
        <v>0</v>
      </c>
      <c r="G310">
        <v>239</v>
      </c>
      <c r="H310">
        <f>IFERROR(VLOOKUP(CENTRAL[[#This Row],[Cód]],SUB[#All],4,0),0) + CENTRAL[[#This Row],[CMM]]</f>
        <v>26.75</v>
      </c>
    </row>
    <row r="311" spans="1:8" x14ac:dyDescent="0.25">
      <c r="A311">
        <v>200002107</v>
      </c>
      <c r="B311" t="s">
        <v>285</v>
      </c>
      <c r="C311" t="s">
        <v>86</v>
      </c>
      <c r="D311">
        <v>26.75</v>
      </c>
      <c r="E311" s="15">
        <v>0</v>
      </c>
      <c r="F311">
        <v>0</v>
      </c>
      <c r="G311">
        <v>0</v>
      </c>
      <c r="H311">
        <f>IFERROR(VLOOKUP(CENTRAL[[#This Row],[Cód]],SUB[#All],4,0),0) + CENTRAL[[#This Row],[CMM]]</f>
        <v>26.75</v>
      </c>
    </row>
    <row r="312" spans="1:8" x14ac:dyDescent="0.25">
      <c r="A312">
        <v>200001082</v>
      </c>
      <c r="B312" t="s">
        <v>286</v>
      </c>
      <c r="C312" t="s">
        <v>86</v>
      </c>
      <c r="D312">
        <v>0</v>
      </c>
      <c r="E312" s="15">
        <v>0</v>
      </c>
      <c r="F312">
        <v>0</v>
      </c>
      <c r="G312">
        <v>0</v>
      </c>
      <c r="H312">
        <f>IFERROR(VLOOKUP(CENTRAL[[#This Row],[Cód]],SUB[#All],4,0),0) + CENTRAL[[#This Row],[CMM]]</f>
        <v>0</v>
      </c>
    </row>
    <row r="313" spans="1:8" x14ac:dyDescent="0.25">
      <c r="A313">
        <v>200001082</v>
      </c>
      <c r="B313" t="s">
        <v>286</v>
      </c>
      <c r="C313" t="s">
        <v>86</v>
      </c>
      <c r="D313">
        <v>0</v>
      </c>
      <c r="E313" s="15">
        <v>0</v>
      </c>
      <c r="F313">
        <v>0</v>
      </c>
      <c r="G313">
        <v>0</v>
      </c>
      <c r="H313">
        <f>IFERROR(VLOOKUP(CENTRAL[[#This Row],[Cód]],SUB[#All],4,0),0) + CENTRAL[[#This Row],[CMM]]</f>
        <v>0</v>
      </c>
    </row>
    <row r="314" spans="1:8" x14ac:dyDescent="0.25">
      <c r="A314">
        <v>200000202</v>
      </c>
      <c r="B314" t="s">
        <v>287</v>
      </c>
      <c r="C314" t="s">
        <v>82</v>
      </c>
      <c r="D314">
        <v>1.91</v>
      </c>
      <c r="E314" s="15">
        <v>0</v>
      </c>
      <c r="F314">
        <v>0</v>
      </c>
      <c r="G314">
        <v>0</v>
      </c>
      <c r="H314">
        <f>IFERROR(VLOOKUP(CENTRAL[[#This Row],[Cód]],SUB[#All],4,0),0) + CENTRAL[[#This Row],[CMM]]</f>
        <v>2.57</v>
      </c>
    </row>
    <row r="315" spans="1:8" x14ac:dyDescent="0.25">
      <c r="A315">
        <v>200002254</v>
      </c>
      <c r="B315" t="s">
        <v>288</v>
      </c>
      <c r="C315" t="s">
        <v>96</v>
      </c>
      <c r="D315">
        <v>0</v>
      </c>
      <c r="E315" s="15">
        <v>0</v>
      </c>
      <c r="F315">
        <v>0</v>
      </c>
      <c r="G315">
        <v>0</v>
      </c>
      <c r="H315">
        <f>IFERROR(VLOOKUP(CENTRAL[[#This Row],[Cód]],SUB[#All],4,0),0) + CENTRAL[[#This Row],[CMM]]</f>
        <v>0</v>
      </c>
    </row>
    <row r="316" spans="1:8" x14ac:dyDescent="0.25">
      <c r="A316">
        <v>200002109</v>
      </c>
      <c r="B316" t="s">
        <v>289</v>
      </c>
      <c r="C316" t="s">
        <v>96</v>
      </c>
      <c r="D316">
        <v>2.16</v>
      </c>
      <c r="E316" s="15">
        <v>0</v>
      </c>
      <c r="F316">
        <v>0</v>
      </c>
      <c r="G316">
        <v>0</v>
      </c>
      <c r="H316">
        <f>IFERROR(VLOOKUP(CENTRAL[[#This Row],[Cód]],SUB[#All],4,0),0) + CENTRAL[[#This Row],[CMM]]</f>
        <v>2.16</v>
      </c>
    </row>
    <row r="317" spans="1:8" x14ac:dyDescent="0.25">
      <c r="A317">
        <v>200002109</v>
      </c>
      <c r="B317" t="s">
        <v>289</v>
      </c>
      <c r="C317" t="s">
        <v>96</v>
      </c>
      <c r="D317">
        <v>2.16</v>
      </c>
      <c r="E317" s="15">
        <v>10.63</v>
      </c>
      <c r="F317">
        <v>0</v>
      </c>
      <c r="G317">
        <v>51</v>
      </c>
      <c r="H317">
        <f>IFERROR(VLOOKUP(CENTRAL[[#This Row],[Cód]],SUB[#All],4,0),0) + CENTRAL[[#This Row],[CMM]]</f>
        <v>2.16</v>
      </c>
    </row>
    <row r="318" spans="1:8" x14ac:dyDescent="0.25">
      <c r="A318">
        <v>200002834</v>
      </c>
      <c r="B318" t="s">
        <v>290</v>
      </c>
      <c r="C318" t="s">
        <v>63</v>
      </c>
      <c r="D318">
        <v>0</v>
      </c>
      <c r="E318" s="15">
        <v>0</v>
      </c>
      <c r="F318">
        <v>0</v>
      </c>
      <c r="G318">
        <v>0</v>
      </c>
      <c r="H318">
        <f>IFERROR(VLOOKUP(CENTRAL[[#This Row],[Cód]],SUB[#All],4,0),0) + CENTRAL[[#This Row],[CMM]]</f>
        <v>0</v>
      </c>
    </row>
    <row r="319" spans="1:8" x14ac:dyDescent="0.25">
      <c r="A319">
        <v>200004182</v>
      </c>
      <c r="B319" t="s">
        <v>291</v>
      </c>
      <c r="C319" t="s">
        <v>9</v>
      </c>
      <c r="D319">
        <v>0</v>
      </c>
      <c r="E319" s="15">
        <v>0</v>
      </c>
      <c r="F319">
        <v>0</v>
      </c>
      <c r="G319">
        <v>0</v>
      </c>
      <c r="H319">
        <f>IFERROR(VLOOKUP(CENTRAL[[#This Row],[Cód]],SUB[#All],4,0),0) + CENTRAL[[#This Row],[CMM]]</f>
        <v>0</v>
      </c>
    </row>
    <row r="320" spans="1:8" x14ac:dyDescent="0.25">
      <c r="A320">
        <v>200003819</v>
      </c>
      <c r="B320" t="s">
        <v>292</v>
      </c>
      <c r="C320" t="s">
        <v>63</v>
      </c>
      <c r="D320">
        <v>0</v>
      </c>
      <c r="E320" s="15">
        <v>0</v>
      </c>
      <c r="F320">
        <v>0</v>
      </c>
      <c r="G320">
        <v>0</v>
      </c>
      <c r="H320">
        <f>IFERROR(VLOOKUP(CENTRAL[[#This Row],[Cód]],SUB[#All],4,0),0) + CENTRAL[[#This Row],[CMM]]</f>
        <v>0</v>
      </c>
    </row>
    <row r="321" spans="1:8" x14ac:dyDescent="0.25">
      <c r="A321">
        <v>200005225</v>
      </c>
      <c r="B321" t="s">
        <v>293</v>
      </c>
      <c r="C321" t="s">
        <v>294</v>
      </c>
      <c r="D321">
        <v>0</v>
      </c>
      <c r="E321" s="15">
        <v>0</v>
      </c>
      <c r="F321">
        <v>0</v>
      </c>
      <c r="G321">
        <v>0</v>
      </c>
      <c r="H321">
        <f>IFERROR(VLOOKUP(CENTRAL[[#This Row],[Cód]],SUB[#All],4,0),0) + CENTRAL[[#This Row],[CMM]]</f>
        <v>0</v>
      </c>
    </row>
    <row r="322" spans="1:8" x14ac:dyDescent="0.25">
      <c r="A322">
        <v>200003538</v>
      </c>
      <c r="B322" t="s">
        <v>295</v>
      </c>
      <c r="C322" t="s">
        <v>9</v>
      </c>
      <c r="D322">
        <v>0</v>
      </c>
      <c r="E322" s="15">
        <v>0</v>
      </c>
      <c r="F322">
        <v>0</v>
      </c>
      <c r="G322">
        <v>0</v>
      </c>
      <c r="H322">
        <f>IFERROR(VLOOKUP(CENTRAL[[#This Row],[Cód]],SUB[#All],4,0),0) + CENTRAL[[#This Row],[CMM]]</f>
        <v>0</v>
      </c>
    </row>
    <row r="323" spans="1:8" x14ac:dyDescent="0.25">
      <c r="A323">
        <v>200003536</v>
      </c>
      <c r="B323" t="s">
        <v>296</v>
      </c>
      <c r="C323" t="s">
        <v>9</v>
      </c>
      <c r="D323">
        <v>0</v>
      </c>
      <c r="E323" s="15">
        <v>0</v>
      </c>
      <c r="F323">
        <v>0</v>
      </c>
      <c r="G323">
        <v>0</v>
      </c>
      <c r="H323">
        <f>IFERROR(VLOOKUP(CENTRAL[[#This Row],[Cód]],SUB[#All],4,0),0) + CENTRAL[[#This Row],[CMM]]</f>
        <v>0</v>
      </c>
    </row>
    <row r="324" spans="1:8" x14ac:dyDescent="0.25">
      <c r="A324">
        <v>200003537</v>
      </c>
      <c r="B324" t="s">
        <v>297</v>
      </c>
      <c r="C324" t="s">
        <v>9</v>
      </c>
      <c r="D324">
        <v>0</v>
      </c>
      <c r="E324" s="15">
        <v>0</v>
      </c>
      <c r="F324">
        <v>0</v>
      </c>
      <c r="G324">
        <v>0</v>
      </c>
      <c r="H324">
        <f>IFERROR(VLOOKUP(CENTRAL[[#This Row],[Cód]],SUB[#All],4,0),0) + CENTRAL[[#This Row],[CMM]]</f>
        <v>0</v>
      </c>
    </row>
    <row r="325" spans="1:8" x14ac:dyDescent="0.25">
      <c r="A325">
        <v>200004226</v>
      </c>
      <c r="B325" t="s">
        <v>298</v>
      </c>
      <c r="C325" t="s">
        <v>9</v>
      </c>
      <c r="D325">
        <v>0</v>
      </c>
      <c r="E325" s="15">
        <v>0</v>
      </c>
      <c r="F325">
        <v>0</v>
      </c>
      <c r="G325">
        <v>0</v>
      </c>
      <c r="H325">
        <f>IFERROR(VLOOKUP(CENTRAL[[#This Row],[Cód]],SUB[#All],4,0),0) + CENTRAL[[#This Row],[CMM]]</f>
        <v>0</v>
      </c>
    </row>
    <row r="326" spans="1:8" x14ac:dyDescent="0.25">
      <c r="A326">
        <v>200004010</v>
      </c>
      <c r="B326" t="s">
        <v>299</v>
      </c>
      <c r="C326" t="s">
        <v>9</v>
      </c>
      <c r="D326">
        <v>2.16</v>
      </c>
      <c r="E326" s="15">
        <v>33.83</v>
      </c>
      <c r="F326">
        <v>0</v>
      </c>
      <c r="G326">
        <v>65</v>
      </c>
      <c r="H326">
        <f>IFERROR(VLOOKUP(CENTRAL[[#This Row],[Cód]],SUB[#All],4,0),0) + CENTRAL[[#This Row],[CMM]]</f>
        <v>2.66</v>
      </c>
    </row>
    <row r="327" spans="1:8" x14ac:dyDescent="0.25">
      <c r="A327">
        <v>200004192</v>
      </c>
      <c r="B327" t="s">
        <v>300</v>
      </c>
      <c r="C327" t="s">
        <v>9</v>
      </c>
      <c r="D327">
        <v>0</v>
      </c>
      <c r="E327" s="15">
        <v>0</v>
      </c>
      <c r="F327">
        <v>0</v>
      </c>
      <c r="G327">
        <v>0</v>
      </c>
      <c r="H327">
        <f>IFERROR(VLOOKUP(CENTRAL[[#This Row],[Cód]],SUB[#All],4,0),0) + CENTRAL[[#This Row],[CMM]]</f>
        <v>0</v>
      </c>
    </row>
    <row r="328" spans="1:8" x14ac:dyDescent="0.25">
      <c r="A328">
        <v>200005784</v>
      </c>
      <c r="B328" t="s">
        <v>301</v>
      </c>
      <c r="C328" t="s">
        <v>9</v>
      </c>
      <c r="D328">
        <v>0</v>
      </c>
      <c r="E328" s="15">
        <v>0</v>
      </c>
      <c r="F328">
        <v>0</v>
      </c>
      <c r="G328">
        <v>0</v>
      </c>
      <c r="H328">
        <f>IFERROR(VLOOKUP(CENTRAL[[#This Row],[Cód]],SUB[#All],4,0),0) + CENTRAL[[#This Row],[CMM]]</f>
        <v>0</v>
      </c>
    </row>
    <row r="329" spans="1:8" x14ac:dyDescent="0.25">
      <c r="A329">
        <v>200006271</v>
      </c>
      <c r="B329" t="s">
        <v>302</v>
      </c>
      <c r="C329" t="s">
        <v>9</v>
      </c>
      <c r="D329">
        <v>2</v>
      </c>
      <c r="E329" s="15">
        <v>0</v>
      </c>
      <c r="F329">
        <v>0</v>
      </c>
      <c r="G329">
        <v>0</v>
      </c>
      <c r="H329">
        <f>IFERROR(VLOOKUP(CENTRAL[[#This Row],[Cód]],SUB[#All],4,0),0) + CENTRAL[[#This Row],[CMM]]</f>
        <v>2</v>
      </c>
    </row>
    <row r="330" spans="1:8" x14ac:dyDescent="0.25">
      <c r="A330">
        <v>200003627</v>
      </c>
      <c r="B330" t="s">
        <v>303</v>
      </c>
      <c r="C330" t="s">
        <v>9</v>
      </c>
      <c r="D330">
        <v>0</v>
      </c>
      <c r="E330" s="15">
        <v>0</v>
      </c>
      <c r="F330">
        <v>0</v>
      </c>
      <c r="G330">
        <v>0</v>
      </c>
      <c r="H330">
        <f>IFERROR(VLOOKUP(CENTRAL[[#This Row],[Cód]],SUB[#All],4,0),0) + CENTRAL[[#This Row],[CMM]]</f>
        <v>0</v>
      </c>
    </row>
    <row r="331" spans="1:8" x14ac:dyDescent="0.25">
      <c r="A331">
        <v>200003619</v>
      </c>
      <c r="B331" t="s">
        <v>304</v>
      </c>
      <c r="C331" t="s">
        <v>9</v>
      </c>
      <c r="D331">
        <v>1.25</v>
      </c>
      <c r="E331" s="15">
        <v>0</v>
      </c>
      <c r="F331">
        <v>0</v>
      </c>
      <c r="G331">
        <v>0</v>
      </c>
      <c r="H331">
        <f>IFERROR(VLOOKUP(CENTRAL[[#This Row],[Cód]],SUB[#All],4,0),0) + CENTRAL[[#This Row],[CMM]]</f>
        <v>2.75</v>
      </c>
    </row>
    <row r="332" spans="1:8" x14ac:dyDescent="0.25">
      <c r="A332">
        <v>200002214</v>
      </c>
      <c r="B332" t="s">
        <v>305</v>
      </c>
      <c r="C332" t="s">
        <v>9</v>
      </c>
      <c r="D332">
        <v>5.66</v>
      </c>
      <c r="E332" s="15">
        <v>16.3</v>
      </c>
      <c r="F332">
        <v>0</v>
      </c>
      <c r="G332">
        <v>12</v>
      </c>
      <c r="H332">
        <f>IFERROR(VLOOKUP(CENTRAL[[#This Row],[Cód]],SUB[#All],4,0),0) + CENTRAL[[#This Row],[CMM]]</f>
        <v>7.74</v>
      </c>
    </row>
    <row r="333" spans="1:8" x14ac:dyDescent="0.25">
      <c r="A333">
        <v>200007238</v>
      </c>
      <c r="B333" t="s">
        <v>306</v>
      </c>
      <c r="C333" t="s">
        <v>9</v>
      </c>
      <c r="D333">
        <v>0</v>
      </c>
      <c r="E333" s="15">
        <v>31.07</v>
      </c>
      <c r="F333">
        <v>0</v>
      </c>
      <c r="G333">
        <v>1</v>
      </c>
      <c r="H333">
        <f>IFERROR(VLOOKUP(CENTRAL[[#This Row],[Cód]],SUB[#All],4,0),0) + CENTRAL[[#This Row],[CMM]]</f>
        <v>0</v>
      </c>
    </row>
    <row r="334" spans="1:8" x14ac:dyDescent="0.25">
      <c r="A334">
        <v>200000241</v>
      </c>
      <c r="B334" t="s">
        <v>307</v>
      </c>
      <c r="C334" t="s">
        <v>9</v>
      </c>
      <c r="D334">
        <v>0.16</v>
      </c>
      <c r="E334" s="15">
        <v>29.37</v>
      </c>
      <c r="F334">
        <v>0</v>
      </c>
      <c r="G334">
        <v>34</v>
      </c>
      <c r="H334">
        <f>IFERROR(VLOOKUP(CENTRAL[[#This Row],[Cód]],SUB[#All],4,0),0) + CENTRAL[[#This Row],[CMM]]</f>
        <v>0.24</v>
      </c>
    </row>
    <row r="335" spans="1:8" x14ac:dyDescent="0.25">
      <c r="A335">
        <v>200001018</v>
      </c>
      <c r="B335" t="s">
        <v>308</v>
      </c>
      <c r="C335" t="s">
        <v>9</v>
      </c>
      <c r="D335">
        <v>0</v>
      </c>
      <c r="E335" s="15">
        <v>1.41</v>
      </c>
      <c r="F335">
        <v>0</v>
      </c>
      <c r="G335">
        <v>142</v>
      </c>
      <c r="H335">
        <f>IFERROR(VLOOKUP(CENTRAL[[#This Row],[Cód]],SUB[#All],4,0),0) + CENTRAL[[#This Row],[CMM]]</f>
        <v>0.41</v>
      </c>
    </row>
    <row r="336" spans="1:8" x14ac:dyDescent="0.25">
      <c r="A336">
        <v>200002710</v>
      </c>
      <c r="B336" t="s">
        <v>309</v>
      </c>
      <c r="C336" t="s">
        <v>9</v>
      </c>
      <c r="D336">
        <v>0</v>
      </c>
      <c r="E336" s="15">
        <v>0</v>
      </c>
      <c r="F336">
        <v>0</v>
      </c>
      <c r="G336">
        <v>0</v>
      </c>
      <c r="H336">
        <f>IFERROR(VLOOKUP(CENTRAL[[#This Row],[Cód]],SUB[#All],4,0),0) + CENTRAL[[#This Row],[CMM]]</f>
        <v>0</v>
      </c>
    </row>
    <row r="337" spans="1:8" x14ac:dyDescent="0.25">
      <c r="A337">
        <v>200003598</v>
      </c>
      <c r="B337" t="s">
        <v>310</v>
      </c>
      <c r="C337" t="s">
        <v>9</v>
      </c>
      <c r="D337">
        <v>0</v>
      </c>
      <c r="E337" s="15">
        <v>3.31</v>
      </c>
      <c r="F337">
        <v>0</v>
      </c>
      <c r="G337">
        <v>6</v>
      </c>
      <c r="H337">
        <f>IFERROR(VLOOKUP(CENTRAL[[#This Row],[Cód]],SUB[#All],4,0),0) + CENTRAL[[#This Row],[CMM]]</f>
        <v>0</v>
      </c>
    </row>
    <row r="338" spans="1:8" x14ac:dyDescent="0.25">
      <c r="A338">
        <v>200003599</v>
      </c>
      <c r="B338" t="s">
        <v>311</v>
      </c>
      <c r="C338" t="s">
        <v>9</v>
      </c>
      <c r="D338">
        <v>0</v>
      </c>
      <c r="E338" s="15">
        <v>11.01</v>
      </c>
      <c r="F338">
        <v>0</v>
      </c>
      <c r="G338">
        <v>5</v>
      </c>
      <c r="H338">
        <f>IFERROR(VLOOKUP(CENTRAL[[#This Row],[Cód]],SUB[#All],4,0),0) + CENTRAL[[#This Row],[CMM]]</f>
        <v>0</v>
      </c>
    </row>
    <row r="339" spans="1:8" x14ac:dyDescent="0.25">
      <c r="A339">
        <v>200002470</v>
      </c>
      <c r="B339" t="s">
        <v>312</v>
      </c>
      <c r="C339" t="s">
        <v>9</v>
      </c>
      <c r="D339">
        <v>1</v>
      </c>
      <c r="E339" s="15">
        <v>144.37</v>
      </c>
      <c r="F339">
        <v>0</v>
      </c>
      <c r="G339">
        <v>7</v>
      </c>
      <c r="H339">
        <f>IFERROR(VLOOKUP(CENTRAL[[#This Row],[Cód]],SUB[#All],4,0),0) + CENTRAL[[#This Row],[CMM]]</f>
        <v>1.25</v>
      </c>
    </row>
    <row r="340" spans="1:8" x14ac:dyDescent="0.25">
      <c r="A340">
        <v>200002470</v>
      </c>
      <c r="B340" t="s">
        <v>312</v>
      </c>
      <c r="C340" t="s">
        <v>9</v>
      </c>
      <c r="D340">
        <v>1</v>
      </c>
      <c r="E340" s="15">
        <v>0</v>
      </c>
      <c r="F340">
        <v>0</v>
      </c>
      <c r="G340">
        <v>0</v>
      </c>
      <c r="H340">
        <f>IFERROR(VLOOKUP(CENTRAL[[#This Row],[Cód]],SUB[#All],4,0),0) + CENTRAL[[#This Row],[CMM]]</f>
        <v>1.25</v>
      </c>
    </row>
    <row r="341" spans="1:8" x14ac:dyDescent="0.25">
      <c r="A341">
        <v>200001939</v>
      </c>
      <c r="B341" t="s">
        <v>313</v>
      </c>
      <c r="C341" t="s">
        <v>9</v>
      </c>
      <c r="D341">
        <v>0</v>
      </c>
      <c r="E341" s="15">
        <v>0</v>
      </c>
      <c r="F341">
        <v>0</v>
      </c>
      <c r="G341">
        <v>0</v>
      </c>
      <c r="H341">
        <f>IFERROR(VLOOKUP(CENTRAL[[#This Row],[Cód]],SUB[#All],4,0),0) + CENTRAL[[#This Row],[CMM]]</f>
        <v>0</v>
      </c>
    </row>
    <row r="342" spans="1:8" x14ac:dyDescent="0.25">
      <c r="A342">
        <v>200001937</v>
      </c>
      <c r="B342" t="s">
        <v>314</v>
      </c>
      <c r="C342" t="s">
        <v>9</v>
      </c>
      <c r="D342">
        <v>0</v>
      </c>
      <c r="E342" s="15">
        <v>0</v>
      </c>
      <c r="F342">
        <v>0</v>
      </c>
      <c r="G342">
        <v>0</v>
      </c>
      <c r="H342">
        <f>IFERROR(VLOOKUP(CENTRAL[[#This Row],[Cód]],SUB[#All],4,0),0) + CENTRAL[[#This Row],[CMM]]</f>
        <v>0</v>
      </c>
    </row>
    <row r="343" spans="1:8" x14ac:dyDescent="0.25">
      <c r="A343">
        <v>200001936</v>
      </c>
      <c r="B343" t="s">
        <v>315</v>
      </c>
      <c r="C343" t="s">
        <v>9</v>
      </c>
      <c r="D343">
        <v>0</v>
      </c>
      <c r="E343" s="15">
        <v>0</v>
      </c>
      <c r="F343">
        <v>0</v>
      </c>
      <c r="G343">
        <v>0</v>
      </c>
      <c r="H343">
        <f>IFERROR(VLOOKUP(CENTRAL[[#This Row],[Cód]],SUB[#All],4,0),0) + CENTRAL[[#This Row],[CMM]]</f>
        <v>0.16</v>
      </c>
    </row>
    <row r="344" spans="1:8" x14ac:dyDescent="0.25">
      <c r="A344">
        <v>200002347</v>
      </c>
      <c r="B344" t="s">
        <v>316</v>
      </c>
      <c r="C344" t="s">
        <v>9</v>
      </c>
      <c r="D344">
        <v>0</v>
      </c>
      <c r="E344" s="15">
        <v>0</v>
      </c>
      <c r="F344">
        <v>0</v>
      </c>
      <c r="G344">
        <v>0</v>
      </c>
      <c r="H344">
        <f>IFERROR(VLOOKUP(CENTRAL[[#This Row],[Cód]],SUB[#All],4,0),0) + CENTRAL[[#This Row],[CMM]]</f>
        <v>0</v>
      </c>
    </row>
    <row r="345" spans="1:8" x14ac:dyDescent="0.25">
      <c r="A345">
        <v>200001938</v>
      </c>
      <c r="B345" t="s">
        <v>317</v>
      </c>
      <c r="C345" t="s">
        <v>9</v>
      </c>
      <c r="D345">
        <v>0.41</v>
      </c>
      <c r="E345" s="15">
        <v>14.81</v>
      </c>
      <c r="F345">
        <v>0</v>
      </c>
      <c r="G345">
        <v>63</v>
      </c>
      <c r="H345">
        <f>IFERROR(VLOOKUP(CENTRAL[[#This Row],[Cód]],SUB[#All],4,0),0) + CENTRAL[[#This Row],[CMM]]</f>
        <v>0.41</v>
      </c>
    </row>
    <row r="346" spans="1:8" x14ac:dyDescent="0.25">
      <c r="A346">
        <v>200003677</v>
      </c>
      <c r="B346" t="s">
        <v>318</v>
      </c>
      <c r="C346" t="s">
        <v>9</v>
      </c>
      <c r="D346">
        <v>0.28000000000000003</v>
      </c>
      <c r="E346" s="15">
        <v>4.29</v>
      </c>
      <c r="F346">
        <v>0</v>
      </c>
      <c r="G346">
        <v>38</v>
      </c>
      <c r="H346">
        <f>IFERROR(VLOOKUP(CENTRAL[[#This Row],[Cód]],SUB[#All],4,0),0) + CENTRAL[[#This Row],[CMM]]</f>
        <v>0.28000000000000003</v>
      </c>
    </row>
    <row r="347" spans="1:8" x14ac:dyDescent="0.25">
      <c r="A347">
        <v>200003678</v>
      </c>
      <c r="B347" t="s">
        <v>319</v>
      </c>
      <c r="C347" t="s">
        <v>9</v>
      </c>
      <c r="D347">
        <v>0.66</v>
      </c>
      <c r="E347" s="15">
        <v>6.6</v>
      </c>
      <c r="F347">
        <v>0</v>
      </c>
      <c r="G347">
        <v>31</v>
      </c>
      <c r="H347">
        <f>IFERROR(VLOOKUP(CENTRAL[[#This Row],[Cód]],SUB[#All],4,0),0) + CENTRAL[[#This Row],[CMM]]</f>
        <v>0.66</v>
      </c>
    </row>
    <row r="348" spans="1:8" x14ac:dyDescent="0.25">
      <c r="A348">
        <v>200003679</v>
      </c>
      <c r="B348" t="s">
        <v>320</v>
      </c>
      <c r="C348" t="s">
        <v>9</v>
      </c>
      <c r="D348">
        <v>1.66</v>
      </c>
      <c r="E348" s="15">
        <v>8.09</v>
      </c>
      <c r="F348">
        <v>0</v>
      </c>
      <c r="G348">
        <v>14</v>
      </c>
      <c r="H348">
        <f>IFERROR(VLOOKUP(CENTRAL[[#This Row],[Cód]],SUB[#All],4,0),0) + CENTRAL[[#This Row],[CMM]]</f>
        <v>1.66</v>
      </c>
    </row>
    <row r="349" spans="1:8" x14ac:dyDescent="0.25">
      <c r="A349">
        <v>200003680</v>
      </c>
      <c r="B349" t="s">
        <v>321</v>
      </c>
      <c r="C349" t="s">
        <v>9</v>
      </c>
      <c r="D349">
        <v>0</v>
      </c>
      <c r="E349" s="15">
        <v>0</v>
      </c>
      <c r="F349">
        <v>0</v>
      </c>
      <c r="G349">
        <v>0</v>
      </c>
      <c r="H349">
        <f>IFERROR(VLOOKUP(CENTRAL[[#This Row],[Cód]],SUB[#All],4,0),0) + CENTRAL[[#This Row],[CMM]]</f>
        <v>0</v>
      </c>
    </row>
    <row r="350" spans="1:8" x14ac:dyDescent="0.25">
      <c r="A350">
        <v>200002348</v>
      </c>
      <c r="B350" t="s">
        <v>322</v>
      </c>
      <c r="C350" t="s">
        <v>9</v>
      </c>
      <c r="D350">
        <v>0</v>
      </c>
      <c r="E350" s="15">
        <v>63.06</v>
      </c>
      <c r="F350">
        <v>0</v>
      </c>
      <c r="G350">
        <v>5</v>
      </c>
      <c r="H350">
        <f>IFERROR(VLOOKUP(CENTRAL[[#This Row],[Cód]],SUB[#All],4,0),0) + CENTRAL[[#This Row],[CMM]]</f>
        <v>0</v>
      </c>
    </row>
    <row r="351" spans="1:8" x14ac:dyDescent="0.25">
      <c r="A351">
        <v>200001943</v>
      </c>
      <c r="B351" t="s">
        <v>323</v>
      </c>
      <c r="C351" t="s">
        <v>9</v>
      </c>
      <c r="D351">
        <v>0</v>
      </c>
      <c r="E351" s="15">
        <v>0</v>
      </c>
      <c r="F351">
        <v>0</v>
      </c>
      <c r="G351">
        <v>0</v>
      </c>
      <c r="H351">
        <f>IFERROR(VLOOKUP(CENTRAL[[#This Row],[Cód]],SUB[#All],4,0),0) + CENTRAL[[#This Row],[CMM]]</f>
        <v>0</v>
      </c>
    </row>
    <row r="352" spans="1:8" x14ac:dyDescent="0.25">
      <c r="A352">
        <v>200001940</v>
      </c>
      <c r="B352" t="s">
        <v>324</v>
      </c>
      <c r="C352" t="s">
        <v>9</v>
      </c>
      <c r="D352">
        <v>0.16</v>
      </c>
      <c r="E352" s="15">
        <v>5.7</v>
      </c>
      <c r="F352">
        <v>0</v>
      </c>
      <c r="G352">
        <v>4</v>
      </c>
      <c r="H352">
        <f>IFERROR(VLOOKUP(CENTRAL[[#This Row],[Cód]],SUB[#All],4,0),0) + CENTRAL[[#This Row],[CMM]]</f>
        <v>0.41000000000000003</v>
      </c>
    </row>
    <row r="353" spans="1:8" x14ac:dyDescent="0.25">
      <c r="A353">
        <v>200001941</v>
      </c>
      <c r="B353" t="s">
        <v>325</v>
      </c>
      <c r="C353" t="s">
        <v>9</v>
      </c>
      <c r="D353">
        <v>0.91</v>
      </c>
      <c r="E353" s="15">
        <v>12.62</v>
      </c>
      <c r="F353">
        <v>0</v>
      </c>
      <c r="G353">
        <v>24</v>
      </c>
      <c r="H353">
        <f>IFERROR(VLOOKUP(CENTRAL[[#This Row],[Cód]],SUB[#All],4,0),0) + CENTRAL[[#This Row],[CMM]]</f>
        <v>1.1600000000000001</v>
      </c>
    </row>
    <row r="354" spans="1:8" x14ac:dyDescent="0.25">
      <c r="A354">
        <v>200001942</v>
      </c>
      <c r="B354" t="s">
        <v>326</v>
      </c>
      <c r="C354" t="s">
        <v>9</v>
      </c>
      <c r="D354">
        <v>0.41</v>
      </c>
      <c r="E354" s="15">
        <v>30.9</v>
      </c>
      <c r="F354">
        <v>0</v>
      </c>
      <c r="G354">
        <v>38</v>
      </c>
      <c r="H354">
        <f>IFERROR(VLOOKUP(CENTRAL[[#This Row],[Cód]],SUB[#All],4,0),0) + CENTRAL[[#This Row],[CMM]]</f>
        <v>0.56999999999999995</v>
      </c>
    </row>
    <row r="355" spans="1:8" x14ac:dyDescent="0.25">
      <c r="A355">
        <v>200000256</v>
      </c>
      <c r="B355" t="s">
        <v>327</v>
      </c>
      <c r="C355" t="s">
        <v>9</v>
      </c>
      <c r="D355">
        <v>1.25</v>
      </c>
      <c r="E355" s="15">
        <v>2.1</v>
      </c>
      <c r="F355">
        <v>0</v>
      </c>
      <c r="G355">
        <v>5</v>
      </c>
      <c r="H355">
        <f>IFERROR(VLOOKUP(CENTRAL[[#This Row],[Cód]],SUB[#All],4,0),0) + CENTRAL[[#This Row],[CMM]]</f>
        <v>1.25</v>
      </c>
    </row>
    <row r="356" spans="1:8" x14ac:dyDescent="0.25">
      <c r="A356">
        <v>200001945</v>
      </c>
      <c r="B356" t="s">
        <v>328</v>
      </c>
      <c r="C356" t="s">
        <v>9</v>
      </c>
      <c r="D356">
        <v>3.33</v>
      </c>
      <c r="E356" s="15">
        <v>0</v>
      </c>
      <c r="F356">
        <v>0</v>
      </c>
      <c r="G356">
        <v>0</v>
      </c>
      <c r="H356">
        <f>IFERROR(VLOOKUP(CENTRAL[[#This Row],[Cód]],SUB[#All],4,0),0) + CENTRAL[[#This Row],[CMM]]</f>
        <v>3.33</v>
      </c>
    </row>
    <row r="357" spans="1:8" x14ac:dyDescent="0.25">
      <c r="A357">
        <v>200001946</v>
      </c>
      <c r="B357" t="s">
        <v>329</v>
      </c>
      <c r="C357" t="s">
        <v>9</v>
      </c>
      <c r="D357">
        <v>2.33</v>
      </c>
      <c r="E357" s="15">
        <v>4.58</v>
      </c>
      <c r="F357">
        <v>0</v>
      </c>
      <c r="G357">
        <v>8</v>
      </c>
      <c r="H357">
        <f>IFERROR(VLOOKUP(CENTRAL[[#This Row],[Cód]],SUB[#All],4,0),0) + CENTRAL[[#This Row],[CMM]]</f>
        <v>2.66</v>
      </c>
    </row>
    <row r="358" spans="1:8" x14ac:dyDescent="0.25">
      <c r="A358">
        <v>200001019</v>
      </c>
      <c r="B358" t="s">
        <v>330</v>
      </c>
      <c r="C358" t="s">
        <v>9</v>
      </c>
      <c r="D358">
        <v>0</v>
      </c>
      <c r="E358" s="15">
        <v>0</v>
      </c>
      <c r="F358">
        <v>0</v>
      </c>
      <c r="G358">
        <v>0</v>
      </c>
      <c r="H358">
        <f>IFERROR(VLOOKUP(CENTRAL[[#This Row],[Cód]],SUB[#All],4,0),0) + CENTRAL[[#This Row],[CMM]]</f>
        <v>0</v>
      </c>
    </row>
    <row r="359" spans="1:8" x14ac:dyDescent="0.25">
      <c r="A359">
        <v>200001020</v>
      </c>
      <c r="B359" t="s">
        <v>331</v>
      </c>
      <c r="C359" t="s">
        <v>9</v>
      </c>
      <c r="D359">
        <v>0.33</v>
      </c>
      <c r="E359" s="15">
        <v>9.36</v>
      </c>
      <c r="F359">
        <v>0</v>
      </c>
      <c r="G359">
        <v>32</v>
      </c>
      <c r="H359">
        <f>IFERROR(VLOOKUP(CENTRAL[[#This Row],[Cód]],SUB[#All],4,0),0) + CENTRAL[[#This Row],[CMM]]</f>
        <v>0.33</v>
      </c>
    </row>
    <row r="360" spans="1:8" x14ac:dyDescent="0.25">
      <c r="A360">
        <v>200000255</v>
      </c>
      <c r="B360" t="s">
        <v>332</v>
      </c>
      <c r="C360" t="s">
        <v>9</v>
      </c>
      <c r="D360">
        <v>0.16</v>
      </c>
      <c r="E360" s="15">
        <v>11.3</v>
      </c>
      <c r="F360">
        <v>0</v>
      </c>
      <c r="G360">
        <v>6</v>
      </c>
      <c r="H360">
        <f>IFERROR(VLOOKUP(CENTRAL[[#This Row],[Cód]],SUB[#All],4,0),0) + CENTRAL[[#This Row],[CMM]]</f>
        <v>0.32</v>
      </c>
    </row>
    <row r="361" spans="1:8" x14ac:dyDescent="0.25">
      <c r="A361">
        <v>200000258</v>
      </c>
      <c r="B361" t="s">
        <v>333</v>
      </c>
      <c r="C361" t="s">
        <v>9</v>
      </c>
      <c r="D361">
        <v>0.16</v>
      </c>
      <c r="E361" s="15">
        <v>19.98</v>
      </c>
      <c r="F361">
        <v>0</v>
      </c>
      <c r="G361">
        <v>5</v>
      </c>
      <c r="H361">
        <f>IFERROR(VLOOKUP(CENTRAL[[#This Row],[Cód]],SUB[#All],4,0),0) + CENTRAL[[#This Row],[CMM]]</f>
        <v>0.32</v>
      </c>
    </row>
    <row r="362" spans="1:8" x14ac:dyDescent="0.25">
      <c r="A362">
        <v>200005797</v>
      </c>
      <c r="B362" t="s">
        <v>334</v>
      </c>
      <c r="C362" t="s">
        <v>9</v>
      </c>
      <c r="D362">
        <v>0</v>
      </c>
      <c r="E362" s="15">
        <v>0</v>
      </c>
      <c r="F362">
        <v>0</v>
      </c>
      <c r="G362">
        <v>0</v>
      </c>
      <c r="H362">
        <f>IFERROR(VLOOKUP(CENTRAL[[#This Row],[Cód]],SUB[#All],4,0),0) + CENTRAL[[#This Row],[CMM]]</f>
        <v>0</v>
      </c>
    </row>
    <row r="363" spans="1:8" x14ac:dyDescent="0.25">
      <c r="A363">
        <v>200004948</v>
      </c>
      <c r="B363" t="s">
        <v>335</v>
      </c>
      <c r="C363" t="s">
        <v>9</v>
      </c>
      <c r="D363">
        <v>0</v>
      </c>
      <c r="E363" s="15">
        <v>0</v>
      </c>
      <c r="F363">
        <v>0</v>
      </c>
      <c r="G363">
        <v>0</v>
      </c>
      <c r="H363">
        <f>IFERROR(VLOOKUP(CENTRAL[[#This Row],[Cód]],SUB[#All],4,0),0) + CENTRAL[[#This Row],[CMM]]</f>
        <v>0</v>
      </c>
    </row>
    <row r="364" spans="1:8" x14ac:dyDescent="0.25">
      <c r="A364">
        <v>200004948</v>
      </c>
      <c r="B364" t="s">
        <v>335</v>
      </c>
      <c r="C364" t="s">
        <v>9</v>
      </c>
      <c r="D364">
        <v>0</v>
      </c>
      <c r="E364" s="15">
        <v>0</v>
      </c>
      <c r="F364">
        <v>0</v>
      </c>
      <c r="G364">
        <v>0</v>
      </c>
      <c r="H364">
        <f>IFERROR(VLOOKUP(CENTRAL[[#This Row],[Cód]],SUB[#All],4,0),0) + CENTRAL[[#This Row],[CMM]]</f>
        <v>0</v>
      </c>
    </row>
    <row r="365" spans="1:8" x14ac:dyDescent="0.25">
      <c r="A365">
        <v>200005800</v>
      </c>
      <c r="B365" t="s">
        <v>336</v>
      </c>
      <c r="C365" t="s">
        <v>9</v>
      </c>
      <c r="D365">
        <v>0</v>
      </c>
      <c r="E365" s="15">
        <v>0</v>
      </c>
      <c r="F365">
        <v>0</v>
      </c>
      <c r="G365">
        <v>0</v>
      </c>
      <c r="H365">
        <f>IFERROR(VLOOKUP(CENTRAL[[#This Row],[Cód]],SUB[#All],4,0),0) + CENTRAL[[#This Row],[CMM]]</f>
        <v>0</v>
      </c>
    </row>
    <row r="366" spans="1:8" x14ac:dyDescent="0.25">
      <c r="A366">
        <v>200006408</v>
      </c>
      <c r="B366" t="s">
        <v>337</v>
      </c>
      <c r="C366" t="s">
        <v>9</v>
      </c>
      <c r="D366">
        <v>0</v>
      </c>
      <c r="E366" s="15">
        <v>0</v>
      </c>
      <c r="F366">
        <v>0</v>
      </c>
      <c r="G366">
        <v>0</v>
      </c>
      <c r="H366">
        <f>IFERROR(VLOOKUP(CENTRAL[[#This Row],[Cód]],SUB[#All],4,0),0) + CENTRAL[[#This Row],[CMM]]</f>
        <v>0</v>
      </c>
    </row>
    <row r="367" spans="1:8" x14ac:dyDescent="0.25">
      <c r="A367">
        <v>200005799</v>
      </c>
      <c r="B367" t="s">
        <v>338</v>
      </c>
      <c r="C367" t="s">
        <v>9</v>
      </c>
      <c r="D367">
        <v>0.08</v>
      </c>
      <c r="E367" s="15">
        <v>10.86</v>
      </c>
      <c r="F367">
        <v>0</v>
      </c>
      <c r="G367">
        <v>41</v>
      </c>
      <c r="H367">
        <f>IFERROR(VLOOKUP(CENTRAL[[#This Row],[Cód]],SUB[#All],4,0),0) + CENTRAL[[#This Row],[CMM]]</f>
        <v>0.08</v>
      </c>
    </row>
    <row r="368" spans="1:8" x14ac:dyDescent="0.25">
      <c r="A368">
        <v>200006409</v>
      </c>
      <c r="B368" t="s">
        <v>339</v>
      </c>
      <c r="C368" t="s">
        <v>9</v>
      </c>
      <c r="D368">
        <v>0</v>
      </c>
      <c r="E368" s="15">
        <v>15.5</v>
      </c>
      <c r="F368">
        <v>0</v>
      </c>
      <c r="G368">
        <v>2</v>
      </c>
      <c r="H368">
        <f>IFERROR(VLOOKUP(CENTRAL[[#This Row],[Cód]],SUB[#All],4,0),0) + CENTRAL[[#This Row],[CMM]]</f>
        <v>0</v>
      </c>
    </row>
    <row r="369" spans="1:8" x14ac:dyDescent="0.25">
      <c r="A369">
        <v>200002126</v>
      </c>
      <c r="B369" t="s">
        <v>340</v>
      </c>
      <c r="C369" t="s">
        <v>9</v>
      </c>
      <c r="D369">
        <v>0</v>
      </c>
      <c r="E369" s="15">
        <v>0</v>
      </c>
      <c r="F369">
        <v>0</v>
      </c>
      <c r="G369">
        <v>0</v>
      </c>
      <c r="H369">
        <f>IFERROR(VLOOKUP(CENTRAL[[#This Row],[Cód]],SUB[#All],4,0),0) + CENTRAL[[#This Row],[CMM]]</f>
        <v>0</v>
      </c>
    </row>
    <row r="370" spans="1:8" x14ac:dyDescent="0.25">
      <c r="A370">
        <v>200004014</v>
      </c>
      <c r="B370" t="s">
        <v>341</v>
      </c>
      <c r="C370" t="s">
        <v>9</v>
      </c>
      <c r="D370">
        <v>0</v>
      </c>
      <c r="E370" s="15">
        <v>0</v>
      </c>
      <c r="F370">
        <v>0</v>
      </c>
      <c r="G370">
        <v>0</v>
      </c>
      <c r="H370">
        <f>IFERROR(VLOOKUP(CENTRAL[[#This Row],[Cód]],SUB[#All],4,0),0) + CENTRAL[[#This Row],[CMM]]</f>
        <v>0</v>
      </c>
    </row>
    <row r="371" spans="1:8" x14ac:dyDescent="0.25">
      <c r="A371">
        <v>200004014</v>
      </c>
      <c r="B371" s="18" t="s">
        <v>341</v>
      </c>
      <c r="C371" t="s">
        <v>9</v>
      </c>
      <c r="D371">
        <v>0</v>
      </c>
      <c r="E371" s="15">
        <v>0</v>
      </c>
      <c r="F371">
        <v>0</v>
      </c>
      <c r="G371">
        <v>0</v>
      </c>
      <c r="H371">
        <f>IFERROR(VLOOKUP(CENTRAL[[#This Row],[Cód]],SUB[#All],4,0),0) + CENTRAL[[#This Row],[CMM]]</f>
        <v>0</v>
      </c>
    </row>
    <row r="372" spans="1:8" x14ac:dyDescent="0.25">
      <c r="A372">
        <v>200004672</v>
      </c>
      <c r="B372" s="17" t="s">
        <v>342</v>
      </c>
      <c r="C372" t="s">
        <v>9</v>
      </c>
      <c r="D372">
        <v>0</v>
      </c>
      <c r="E372" s="15">
        <v>0</v>
      </c>
      <c r="F372">
        <v>0</v>
      </c>
      <c r="G372">
        <v>0</v>
      </c>
      <c r="H372">
        <f>IFERROR(VLOOKUP(CENTRAL[[#This Row],[Cód]],SUB[#All],4,0),0) + CENTRAL[[#This Row],[CMM]]</f>
        <v>0</v>
      </c>
    </row>
    <row r="373" spans="1:8" x14ac:dyDescent="0.25">
      <c r="A373">
        <v>200004670</v>
      </c>
      <c r="B373" t="s">
        <v>343</v>
      </c>
      <c r="C373" t="s">
        <v>9</v>
      </c>
      <c r="D373">
        <v>0</v>
      </c>
      <c r="E373" s="15">
        <v>0</v>
      </c>
      <c r="F373">
        <v>0</v>
      </c>
      <c r="G373">
        <v>0</v>
      </c>
      <c r="H373">
        <f>IFERROR(VLOOKUP(CENTRAL[[#This Row],[Cód]],SUB[#All],4,0),0) + CENTRAL[[#This Row],[CMM]]</f>
        <v>0</v>
      </c>
    </row>
    <row r="374" spans="1:8" x14ac:dyDescent="0.25">
      <c r="A374">
        <v>200005812</v>
      </c>
      <c r="B374" t="s">
        <v>344</v>
      </c>
      <c r="C374" t="s">
        <v>9</v>
      </c>
      <c r="D374">
        <v>75.58</v>
      </c>
      <c r="E374" s="15">
        <v>6.99</v>
      </c>
      <c r="F374">
        <v>0</v>
      </c>
      <c r="G374">
        <v>3146</v>
      </c>
      <c r="H374">
        <f>IFERROR(VLOOKUP(CENTRAL[[#This Row],[Cód]],SUB[#All],4,0),0) + CENTRAL[[#This Row],[CMM]]</f>
        <v>75.58</v>
      </c>
    </row>
    <row r="375" spans="1:8" x14ac:dyDescent="0.25">
      <c r="A375">
        <v>200000287</v>
      </c>
      <c r="B375" t="s">
        <v>345</v>
      </c>
      <c r="C375" t="s">
        <v>9</v>
      </c>
      <c r="D375">
        <v>2.91</v>
      </c>
      <c r="E375" s="15">
        <v>0</v>
      </c>
      <c r="F375">
        <v>0</v>
      </c>
      <c r="G375">
        <v>0</v>
      </c>
      <c r="H375">
        <f>IFERROR(VLOOKUP(CENTRAL[[#This Row],[Cód]],SUB[#All],4,0),0) + CENTRAL[[#This Row],[CMM]]</f>
        <v>3.74</v>
      </c>
    </row>
    <row r="376" spans="1:8" x14ac:dyDescent="0.25">
      <c r="A376">
        <v>200000284</v>
      </c>
      <c r="B376" t="s">
        <v>346</v>
      </c>
      <c r="C376" t="s">
        <v>9</v>
      </c>
      <c r="D376">
        <v>0</v>
      </c>
      <c r="E376" s="15">
        <v>0</v>
      </c>
      <c r="F376">
        <v>0</v>
      </c>
      <c r="G376">
        <v>0</v>
      </c>
      <c r="H376">
        <f>IFERROR(VLOOKUP(CENTRAL[[#This Row],[Cód]],SUB[#All],4,0),0) + CENTRAL[[#This Row],[CMM]]</f>
        <v>0</v>
      </c>
    </row>
    <row r="377" spans="1:8" x14ac:dyDescent="0.25">
      <c r="A377">
        <v>200005320</v>
      </c>
      <c r="B377" t="s">
        <v>347</v>
      </c>
      <c r="C377" t="s">
        <v>9</v>
      </c>
      <c r="D377">
        <v>0</v>
      </c>
      <c r="E377" s="15">
        <v>8.35</v>
      </c>
      <c r="F377">
        <v>0</v>
      </c>
      <c r="G377">
        <v>304</v>
      </c>
      <c r="H377">
        <f>IFERROR(VLOOKUP(CENTRAL[[#This Row],[Cód]],SUB[#All],4,0),0) + CENTRAL[[#This Row],[CMM]]</f>
        <v>0</v>
      </c>
    </row>
    <row r="378" spans="1:8" x14ac:dyDescent="0.25">
      <c r="A378">
        <v>200006221</v>
      </c>
      <c r="B378" t="s">
        <v>348</v>
      </c>
      <c r="C378" t="s">
        <v>9</v>
      </c>
      <c r="D378">
        <v>0</v>
      </c>
      <c r="E378" s="15">
        <v>11.99</v>
      </c>
      <c r="F378">
        <v>0</v>
      </c>
      <c r="G378">
        <v>53</v>
      </c>
      <c r="H378">
        <f>IFERROR(VLOOKUP(CENTRAL[[#This Row],[Cód]],SUB[#All],4,0),0) + CENTRAL[[#This Row],[CMM]]</f>
        <v>0</v>
      </c>
    </row>
    <row r="379" spans="1:8" x14ac:dyDescent="0.25">
      <c r="A379">
        <v>200000285</v>
      </c>
      <c r="B379" t="s">
        <v>349</v>
      </c>
      <c r="C379" t="s">
        <v>9</v>
      </c>
      <c r="D379">
        <v>0</v>
      </c>
      <c r="E379" s="15">
        <v>0</v>
      </c>
      <c r="F379">
        <v>0</v>
      </c>
      <c r="G379">
        <v>0</v>
      </c>
      <c r="H379">
        <f>IFERROR(VLOOKUP(CENTRAL[[#This Row],[Cód]],SUB[#All],4,0),0) + CENTRAL[[#This Row],[CMM]]</f>
        <v>0</v>
      </c>
    </row>
    <row r="380" spans="1:8" x14ac:dyDescent="0.25">
      <c r="A380">
        <v>200000286</v>
      </c>
      <c r="B380" t="s">
        <v>350</v>
      </c>
      <c r="C380" t="s">
        <v>9</v>
      </c>
      <c r="D380">
        <v>0</v>
      </c>
      <c r="E380" s="15">
        <v>0</v>
      </c>
      <c r="F380">
        <v>0</v>
      </c>
      <c r="G380">
        <v>0</v>
      </c>
      <c r="H380">
        <f>IFERROR(VLOOKUP(CENTRAL[[#This Row],[Cód]],SUB[#All],4,0),0) + CENTRAL[[#This Row],[CMM]]</f>
        <v>0</v>
      </c>
    </row>
    <row r="381" spans="1:8" x14ac:dyDescent="0.25">
      <c r="A381">
        <v>200006220</v>
      </c>
      <c r="B381" t="s">
        <v>351</v>
      </c>
      <c r="C381" t="s">
        <v>9</v>
      </c>
      <c r="D381">
        <v>4.41</v>
      </c>
      <c r="E381" s="15">
        <v>112.07</v>
      </c>
      <c r="F381">
        <v>0</v>
      </c>
      <c r="G381">
        <v>20</v>
      </c>
      <c r="H381">
        <f>IFERROR(VLOOKUP(CENTRAL[[#This Row],[Cód]],SUB[#All],4,0),0) + CENTRAL[[#This Row],[CMM]]</f>
        <v>5.74</v>
      </c>
    </row>
    <row r="382" spans="1:8" x14ac:dyDescent="0.25">
      <c r="A382">
        <v>200000289</v>
      </c>
      <c r="B382" t="s">
        <v>352</v>
      </c>
      <c r="C382" t="s">
        <v>9</v>
      </c>
      <c r="D382">
        <v>3.91</v>
      </c>
      <c r="E382" s="15">
        <v>0</v>
      </c>
      <c r="F382">
        <v>0</v>
      </c>
      <c r="G382">
        <v>0</v>
      </c>
      <c r="H382">
        <f>IFERROR(VLOOKUP(CENTRAL[[#This Row],[Cód]],SUB[#All],4,0),0) + CENTRAL[[#This Row],[CMM]]</f>
        <v>5.16</v>
      </c>
    </row>
    <row r="383" spans="1:8" x14ac:dyDescent="0.25">
      <c r="A383">
        <v>200000290</v>
      </c>
      <c r="B383" t="s">
        <v>353</v>
      </c>
      <c r="C383" t="s">
        <v>9</v>
      </c>
      <c r="D383">
        <v>0</v>
      </c>
      <c r="E383" s="15">
        <v>0</v>
      </c>
      <c r="F383">
        <v>0</v>
      </c>
      <c r="G383">
        <v>0</v>
      </c>
      <c r="H383">
        <f>IFERROR(VLOOKUP(CENTRAL[[#This Row],[Cód]],SUB[#All],4,0),0) + CENTRAL[[#This Row],[CMM]]</f>
        <v>0</v>
      </c>
    </row>
    <row r="384" spans="1:8" x14ac:dyDescent="0.25">
      <c r="A384">
        <v>200000288</v>
      </c>
      <c r="B384" t="s">
        <v>354</v>
      </c>
      <c r="C384" t="s">
        <v>9</v>
      </c>
      <c r="D384">
        <v>40.33</v>
      </c>
      <c r="E384" s="15">
        <v>7.63</v>
      </c>
      <c r="F384">
        <v>418</v>
      </c>
      <c r="G384">
        <v>324</v>
      </c>
      <c r="H384">
        <f>IFERROR(VLOOKUP(CENTRAL[[#This Row],[Cód]],SUB[#All],4,0),0) + CENTRAL[[#This Row],[CMM]]</f>
        <v>49.489999999999995</v>
      </c>
    </row>
    <row r="385" spans="1:8" x14ac:dyDescent="0.25">
      <c r="A385">
        <v>200000890</v>
      </c>
      <c r="B385" t="s">
        <v>354</v>
      </c>
      <c r="C385" t="s">
        <v>9</v>
      </c>
      <c r="D385">
        <v>0</v>
      </c>
      <c r="E385" s="15">
        <v>0</v>
      </c>
      <c r="F385">
        <v>0</v>
      </c>
      <c r="G385">
        <v>0</v>
      </c>
      <c r="H385">
        <f>IFERROR(VLOOKUP(CENTRAL[[#This Row],[Cód]],SUB[#All],4,0),0) + CENTRAL[[#This Row],[CMM]]</f>
        <v>0</v>
      </c>
    </row>
    <row r="386" spans="1:8" x14ac:dyDescent="0.25">
      <c r="A386">
        <v>200000292</v>
      </c>
      <c r="B386" t="s">
        <v>355</v>
      </c>
      <c r="C386" t="s">
        <v>9</v>
      </c>
      <c r="D386">
        <v>0</v>
      </c>
      <c r="E386" s="15">
        <v>78.66</v>
      </c>
      <c r="F386">
        <v>0</v>
      </c>
      <c r="G386">
        <v>19</v>
      </c>
      <c r="H386">
        <f>IFERROR(VLOOKUP(CENTRAL[[#This Row],[Cód]],SUB[#All],4,0),0) + CENTRAL[[#This Row],[CMM]]</f>
        <v>0</v>
      </c>
    </row>
    <row r="387" spans="1:8" x14ac:dyDescent="0.25">
      <c r="A387">
        <v>200001021</v>
      </c>
      <c r="B387" t="s">
        <v>356</v>
      </c>
      <c r="C387" t="s">
        <v>9</v>
      </c>
      <c r="D387">
        <v>30.75</v>
      </c>
      <c r="E387" s="15">
        <v>0</v>
      </c>
      <c r="F387">
        <v>0</v>
      </c>
      <c r="G387">
        <v>0</v>
      </c>
      <c r="H387">
        <f>IFERROR(VLOOKUP(CENTRAL[[#This Row],[Cód]],SUB[#All],4,0),0) + CENTRAL[[#This Row],[CMM]]</f>
        <v>42.33</v>
      </c>
    </row>
    <row r="388" spans="1:8" x14ac:dyDescent="0.25">
      <c r="A388">
        <v>200001021</v>
      </c>
      <c r="B388" t="s">
        <v>356</v>
      </c>
      <c r="C388" t="s">
        <v>9</v>
      </c>
      <c r="D388">
        <v>30.75</v>
      </c>
      <c r="E388" s="15">
        <v>96.76</v>
      </c>
      <c r="F388">
        <v>0</v>
      </c>
      <c r="G388">
        <v>340</v>
      </c>
      <c r="H388">
        <f>IFERROR(VLOOKUP(CENTRAL[[#This Row],[Cód]],SUB[#All],4,0),0) + CENTRAL[[#This Row],[CMM]]</f>
        <v>42.33</v>
      </c>
    </row>
    <row r="389" spans="1:8" x14ac:dyDescent="0.25">
      <c r="A389">
        <v>200005798</v>
      </c>
      <c r="B389" t="s">
        <v>357</v>
      </c>
      <c r="C389" t="s">
        <v>82</v>
      </c>
      <c r="D389">
        <v>0.25</v>
      </c>
      <c r="E389" s="15">
        <v>76.02</v>
      </c>
      <c r="F389">
        <v>0</v>
      </c>
      <c r="G389">
        <v>2</v>
      </c>
      <c r="H389">
        <f>IFERROR(VLOOKUP(CENTRAL[[#This Row],[Cód]],SUB[#All],4,0),0) + CENTRAL[[#This Row],[CMM]]</f>
        <v>0.25</v>
      </c>
    </row>
    <row r="390" spans="1:8" x14ac:dyDescent="0.25">
      <c r="A390">
        <v>200000309</v>
      </c>
      <c r="B390" t="s">
        <v>358</v>
      </c>
      <c r="C390" t="s">
        <v>9</v>
      </c>
      <c r="D390">
        <v>1.75</v>
      </c>
      <c r="E390" s="15">
        <v>13.78</v>
      </c>
      <c r="F390">
        <v>0</v>
      </c>
      <c r="G390">
        <v>14</v>
      </c>
      <c r="H390">
        <f>IFERROR(VLOOKUP(CENTRAL[[#This Row],[Cód]],SUB[#All],4,0),0) + CENTRAL[[#This Row],[CMM]]</f>
        <v>2.16</v>
      </c>
    </row>
    <row r="391" spans="1:8" x14ac:dyDescent="0.25">
      <c r="A391">
        <v>200000310</v>
      </c>
      <c r="B391" t="s">
        <v>359</v>
      </c>
      <c r="C391" t="s">
        <v>9</v>
      </c>
      <c r="D391">
        <v>4.08</v>
      </c>
      <c r="E391" s="15">
        <v>15</v>
      </c>
      <c r="F391">
        <v>0</v>
      </c>
      <c r="G391">
        <v>40</v>
      </c>
      <c r="H391">
        <f>IFERROR(VLOOKUP(CENTRAL[[#This Row],[Cód]],SUB[#All],4,0),0) + CENTRAL[[#This Row],[CMM]]</f>
        <v>4.83</v>
      </c>
    </row>
    <row r="392" spans="1:8" x14ac:dyDescent="0.25">
      <c r="A392">
        <v>200000308</v>
      </c>
      <c r="B392" t="s">
        <v>360</v>
      </c>
      <c r="C392" t="s">
        <v>9</v>
      </c>
      <c r="D392">
        <v>5.91</v>
      </c>
      <c r="E392" s="15">
        <v>4.03</v>
      </c>
      <c r="F392">
        <v>0</v>
      </c>
      <c r="G392">
        <v>26</v>
      </c>
      <c r="H392">
        <f>IFERROR(VLOOKUP(CENTRAL[[#This Row],[Cód]],SUB[#All],4,0),0) + CENTRAL[[#This Row],[CMM]]</f>
        <v>7.74</v>
      </c>
    </row>
    <row r="393" spans="1:8" x14ac:dyDescent="0.25">
      <c r="A393">
        <v>200000308</v>
      </c>
      <c r="B393" t="s">
        <v>360</v>
      </c>
      <c r="C393" t="s">
        <v>9</v>
      </c>
      <c r="D393">
        <v>5.91</v>
      </c>
      <c r="E393" s="15">
        <v>0</v>
      </c>
      <c r="F393">
        <v>0</v>
      </c>
      <c r="G393">
        <v>0</v>
      </c>
      <c r="H393">
        <f>IFERROR(VLOOKUP(CENTRAL[[#This Row],[Cód]],SUB[#All],4,0),0) + CENTRAL[[#This Row],[CMM]]</f>
        <v>7.74</v>
      </c>
    </row>
    <row r="394" spans="1:8" x14ac:dyDescent="0.25">
      <c r="A394">
        <v>200001338</v>
      </c>
      <c r="B394" t="s">
        <v>361</v>
      </c>
      <c r="C394" t="s">
        <v>9</v>
      </c>
      <c r="D394">
        <v>8.5</v>
      </c>
      <c r="E394" s="15">
        <v>4.2699999999999996</v>
      </c>
      <c r="F394">
        <v>0</v>
      </c>
      <c r="G394">
        <v>56</v>
      </c>
      <c r="H394">
        <f>IFERROR(VLOOKUP(CENTRAL[[#This Row],[Cód]],SUB[#All],4,0),0) + CENTRAL[[#This Row],[CMM]]</f>
        <v>10.83</v>
      </c>
    </row>
    <row r="395" spans="1:8" x14ac:dyDescent="0.25">
      <c r="A395">
        <v>200006352</v>
      </c>
      <c r="B395" t="s">
        <v>362</v>
      </c>
      <c r="C395" t="s">
        <v>9</v>
      </c>
      <c r="D395">
        <v>0</v>
      </c>
      <c r="E395" s="15">
        <v>0</v>
      </c>
      <c r="F395">
        <v>0</v>
      </c>
      <c r="G395">
        <v>0</v>
      </c>
      <c r="H395">
        <f>IFERROR(VLOOKUP(CENTRAL[[#This Row],[Cód]],SUB[#All],4,0),0) + CENTRAL[[#This Row],[CMM]]</f>
        <v>0</v>
      </c>
    </row>
    <row r="396" spans="1:8" x14ac:dyDescent="0.25">
      <c r="A396">
        <v>200006343</v>
      </c>
      <c r="B396" t="s">
        <v>363</v>
      </c>
      <c r="C396" t="s">
        <v>9</v>
      </c>
      <c r="D396">
        <v>0</v>
      </c>
      <c r="E396" s="15">
        <v>0</v>
      </c>
      <c r="F396">
        <v>0</v>
      </c>
      <c r="G396">
        <v>0</v>
      </c>
      <c r="H396">
        <f>IFERROR(VLOOKUP(CENTRAL[[#This Row],[Cód]],SUB[#All],4,0),0) + CENTRAL[[#This Row],[CMM]]</f>
        <v>0</v>
      </c>
    </row>
    <row r="397" spans="1:8" x14ac:dyDescent="0.25">
      <c r="A397">
        <v>200003177</v>
      </c>
      <c r="B397" t="s">
        <v>364</v>
      </c>
      <c r="C397" t="s">
        <v>9</v>
      </c>
      <c r="D397">
        <v>0.66</v>
      </c>
      <c r="E397" s="15">
        <v>0</v>
      </c>
      <c r="F397">
        <v>0</v>
      </c>
      <c r="G397">
        <v>0</v>
      </c>
      <c r="H397">
        <f>IFERROR(VLOOKUP(CENTRAL[[#This Row],[Cód]],SUB[#All],4,0),0) + CENTRAL[[#This Row],[CMM]]</f>
        <v>0.82000000000000006</v>
      </c>
    </row>
    <row r="398" spans="1:8" x14ac:dyDescent="0.25">
      <c r="A398">
        <v>200007114</v>
      </c>
      <c r="B398" t="s">
        <v>365</v>
      </c>
      <c r="C398" t="s">
        <v>9</v>
      </c>
      <c r="D398">
        <v>0</v>
      </c>
      <c r="E398" s="15">
        <v>1.58</v>
      </c>
      <c r="F398">
        <v>0</v>
      </c>
      <c r="G398">
        <v>9</v>
      </c>
      <c r="H398">
        <f>IFERROR(VLOOKUP(CENTRAL[[#This Row],[Cód]],SUB[#All],4,0),0) + CENTRAL[[#This Row],[CMM]]</f>
        <v>0</v>
      </c>
    </row>
    <row r="399" spans="1:8" x14ac:dyDescent="0.25">
      <c r="A399">
        <v>200006856</v>
      </c>
      <c r="B399" t="s">
        <v>366</v>
      </c>
      <c r="C399" t="s">
        <v>9</v>
      </c>
      <c r="D399">
        <v>0</v>
      </c>
      <c r="E399" s="15">
        <v>2.16</v>
      </c>
      <c r="F399">
        <v>0</v>
      </c>
      <c r="G399">
        <v>6</v>
      </c>
      <c r="H399">
        <f>IFERROR(VLOOKUP(CENTRAL[[#This Row],[Cód]],SUB[#All],4,0),0) + CENTRAL[[#This Row],[CMM]]</f>
        <v>0</v>
      </c>
    </row>
    <row r="400" spans="1:8" x14ac:dyDescent="0.25">
      <c r="A400">
        <v>200006857</v>
      </c>
      <c r="B400" t="s">
        <v>367</v>
      </c>
      <c r="C400" t="s">
        <v>9</v>
      </c>
      <c r="D400">
        <v>0</v>
      </c>
      <c r="E400" s="15">
        <v>575.20000000000005</v>
      </c>
      <c r="F400">
        <v>0</v>
      </c>
      <c r="G400">
        <v>5</v>
      </c>
      <c r="H400">
        <f>IFERROR(VLOOKUP(CENTRAL[[#This Row],[Cód]],SUB[#All],4,0),0) + CENTRAL[[#This Row],[CMM]]</f>
        <v>0</v>
      </c>
    </row>
    <row r="401" spans="1:8" x14ac:dyDescent="0.25">
      <c r="A401">
        <v>200006863</v>
      </c>
      <c r="B401" t="s">
        <v>368</v>
      </c>
      <c r="C401" t="s">
        <v>9</v>
      </c>
      <c r="D401">
        <v>0</v>
      </c>
      <c r="E401" s="15">
        <v>18.600000000000001</v>
      </c>
      <c r="F401">
        <v>0</v>
      </c>
      <c r="G401">
        <v>8</v>
      </c>
      <c r="H401">
        <f>IFERROR(VLOOKUP(CENTRAL[[#This Row],[Cód]],SUB[#All],4,0),0) + CENTRAL[[#This Row],[CMM]]</f>
        <v>0</v>
      </c>
    </row>
    <row r="402" spans="1:8" x14ac:dyDescent="0.25">
      <c r="A402">
        <v>200005789</v>
      </c>
      <c r="B402" t="s">
        <v>369</v>
      </c>
      <c r="C402" t="s">
        <v>9</v>
      </c>
      <c r="D402">
        <v>0</v>
      </c>
      <c r="E402" s="15">
        <v>0</v>
      </c>
      <c r="F402">
        <v>0</v>
      </c>
      <c r="G402">
        <v>0</v>
      </c>
      <c r="H402">
        <f>IFERROR(VLOOKUP(CENTRAL[[#This Row],[Cód]],SUB[#All],4,0),0) + CENTRAL[[#This Row],[CMM]]</f>
        <v>0</v>
      </c>
    </row>
    <row r="403" spans="1:8" x14ac:dyDescent="0.25">
      <c r="A403">
        <v>200002421</v>
      </c>
      <c r="B403" t="s">
        <v>370</v>
      </c>
      <c r="C403" t="s">
        <v>9</v>
      </c>
      <c r="D403">
        <v>0</v>
      </c>
      <c r="E403" s="15">
        <v>0</v>
      </c>
      <c r="F403">
        <v>0</v>
      </c>
      <c r="G403">
        <v>0</v>
      </c>
      <c r="H403">
        <f>IFERROR(VLOOKUP(CENTRAL[[#This Row],[Cód]],SUB[#All],4,0),0) + CENTRAL[[#This Row],[CMM]]</f>
        <v>0</v>
      </c>
    </row>
    <row r="404" spans="1:8" x14ac:dyDescent="0.25">
      <c r="A404">
        <v>200003686</v>
      </c>
      <c r="B404" t="s">
        <v>371</v>
      </c>
      <c r="C404" t="s">
        <v>86</v>
      </c>
      <c r="D404">
        <v>6.41</v>
      </c>
      <c r="E404" s="15">
        <v>7.92</v>
      </c>
      <c r="F404">
        <v>18</v>
      </c>
      <c r="G404">
        <v>43</v>
      </c>
      <c r="H404">
        <f>IFERROR(VLOOKUP(CENTRAL[[#This Row],[Cód]],SUB[#All],4,0),0) + CENTRAL[[#This Row],[CMM]]</f>
        <v>6.82</v>
      </c>
    </row>
    <row r="405" spans="1:8" x14ac:dyDescent="0.25">
      <c r="A405">
        <v>200002170</v>
      </c>
      <c r="B405" t="s">
        <v>372</v>
      </c>
      <c r="C405" t="s">
        <v>86</v>
      </c>
      <c r="D405">
        <v>0</v>
      </c>
      <c r="E405" s="15">
        <v>0</v>
      </c>
      <c r="F405">
        <v>0</v>
      </c>
      <c r="G405">
        <v>0</v>
      </c>
      <c r="H405">
        <f>IFERROR(VLOOKUP(CENTRAL[[#This Row],[Cód]],SUB[#All],4,0),0) + CENTRAL[[#This Row],[CMM]]</f>
        <v>0</v>
      </c>
    </row>
    <row r="406" spans="1:8" x14ac:dyDescent="0.25">
      <c r="A406">
        <v>200005782</v>
      </c>
      <c r="B406" t="s">
        <v>373</v>
      </c>
      <c r="C406" t="s">
        <v>9</v>
      </c>
      <c r="D406">
        <v>0</v>
      </c>
      <c r="E406" s="15">
        <v>0</v>
      </c>
      <c r="F406">
        <v>0</v>
      </c>
      <c r="G406">
        <v>0</v>
      </c>
      <c r="H406">
        <f>IFERROR(VLOOKUP(CENTRAL[[#This Row],[Cód]],SUB[#All],4,0),0) + CENTRAL[[#This Row],[CMM]]</f>
        <v>0</v>
      </c>
    </row>
    <row r="407" spans="1:8" x14ac:dyDescent="0.25">
      <c r="A407">
        <v>200005991</v>
      </c>
      <c r="B407" t="s">
        <v>374</v>
      </c>
      <c r="C407" t="s">
        <v>9</v>
      </c>
      <c r="D407">
        <v>11.5</v>
      </c>
      <c r="E407" s="15">
        <v>129.18</v>
      </c>
      <c r="F407">
        <v>54</v>
      </c>
      <c r="G407">
        <v>31</v>
      </c>
      <c r="H407">
        <f>IFERROR(VLOOKUP(CENTRAL[[#This Row],[Cód]],SUB[#All],4,0),0) + CENTRAL[[#This Row],[CMM]]</f>
        <v>11.5</v>
      </c>
    </row>
    <row r="408" spans="1:8" x14ac:dyDescent="0.25">
      <c r="A408">
        <v>200002127</v>
      </c>
      <c r="B408" t="s">
        <v>375</v>
      </c>
      <c r="C408" t="s">
        <v>9</v>
      </c>
      <c r="D408">
        <v>0</v>
      </c>
      <c r="E408" s="15">
        <v>0</v>
      </c>
      <c r="F408">
        <v>0</v>
      </c>
      <c r="G408">
        <v>0</v>
      </c>
      <c r="H408">
        <f>IFERROR(VLOOKUP(CENTRAL[[#This Row],[Cód]],SUB[#All],4,0),0) + CENTRAL[[#This Row],[CMM]]</f>
        <v>0</v>
      </c>
    </row>
    <row r="409" spans="1:8" x14ac:dyDescent="0.25">
      <c r="A409">
        <v>200000346</v>
      </c>
      <c r="B409" t="s">
        <v>376</v>
      </c>
      <c r="C409" t="s">
        <v>9</v>
      </c>
      <c r="D409">
        <v>0</v>
      </c>
      <c r="E409" s="15">
        <v>0</v>
      </c>
      <c r="F409">
        <v>0</v>
      </c>
      <c r="G409">
        <v>0</v>
      </c>
      <c r="H409">
        <f>IFERROR(VLOOKUP(CENTRAL[[#This Row],[Cód]],SUB[#All],4,0),0) + CENTRAL[[#This Row],[CMM]]</f>
        <v>0</v>
      </c>
    </row>
    <row r="410" spans="1:8" x14ac:dyDescent="0.25">
      <c r="A410">
        <v>200002128</v>
      </c>
      <c r="B410" t="s">
        <v>377</v>
      </c>
      <c r="C410" t="s">
        <v>9</v>
      </c>
      <c r="D410">
        <v>0</v>
      </c>
      <c r="E410" s="15">
        <v>0</v>
      </c>
      <c r="F410">
        <v>0</v>
      </c>
      <c r="G410">
        <v>0</v>
      </c>
      <c r="H410">
        <f>IFERROR(VLOOKUP(CENTRAL[[#This Row],[Cód]],SUB[#All],4,0),0) + CENTRAL[[#This Row],[CMM]]</f>
        <v>0</v>
      </c>
    </row>
    <row r="411" spans="1:8" x14ac:dyDescent="0.25">
      <c r="A411">
        <v>200003393</v>
      </c>
      <c r="B411" t="s">
        <v>378</v>
      </c>
      <c r="C411" t="s">
        <v>9</v>
      </c>
      <c r="D411">
        <v>0</v>
      </c>
      <c r="E411" s="15">
        <v>17.97</v>
      </c>
      <c r="F411">
        <v>0</v>
      </c>
      <c r="G411">
        <v>14</v>
      </c>
      <c r="H411">
        <f>IFERROR(VLOOKUP(CENTRAL[[#This Row],[Cód]],SUB[#All],4,0),0) + CENTRAL[[#This Row],[CMM]]</f>
        <v>0</v>
      </c>
    </row>
    <row r="412" spans="1:8" x14ac:dyDescent="0.25">
      <c r="A412">
        <v>200003394</v>
      </c>
      <c r="B412" t="s">
        <v>379</v>
      </c>
      <c r="C412" t="s">
        <v>9</v>
      </c>
      <c r="D412">
        <v>0</v>
      </c>
      <c r="E412" s="15">
        <v>18.29</v>
      </c>
      <c r="F412">
        <v>0</v>
      </c>
      <c r="G412">
        <v>10</v>
      </c>
      <c r="H412">
        <f>IFERROR(VLOOKUP(CENTRAL[[#This Row],[Cód]],SUB[#All],4,0),0) + CENTRAL[[#This Row],[CMM]]</f>
        <v>0</v>
      </c>
    </row>
    <row r="413" spans="1:8" x14ac:dyDescent="0.25">
      <c r="A413">
        <v>200003395</v>
      </c>
      <c r="B413" t="s">
        <v>380</v>
      </c>
      <c r="C413" t="s">
        <v>9</v>
      </c>
      <c r="D413">
        <v>0.16</v>
      </c>
      <c r="E413" s="15">
        <v>53.27</v>
      </c>
      <c r="F413">
        <v>0</v>
      </c>
      <c r="G413">
        <v>11</v>
      </c>
      <c r="H413">
        <f>IFERROR(VLOOKUP(CENTRAL[[#This Row],[Cód]],SUB[#All],4,0),0) + CENTRAL[[#This Row],[CMM]]</f>
        <v>0.16</v>
      </c>
    </row>
    <row r="414" spans="1:8" x14ac:dyDescent="0.25">
      <c r="A414">
        <v>200003396</v>
      </c>
      <c r="B414" t="s">
        <v>381</v>
      </c>
      <c r="C414" t="s">
        <v>9</v>
      </c>
      <c r="D414">
        <v>0.66</v>
      </c>
      <c r="E414" s="15">
        <v>76.75</v>
      </c>
      <c r="F414">
        <v>0</v>
      </c>
      <c r="G414">
        <v>10</v>
      </c>
      <c r="H414">
        <f>IFERROR(VLOOKUP(CENTRAL[[#This Row],[Cód]],SUB[#All],4,0),0) + CENTRAL[[#This Row],[CMM]]</f>
        <v>0.91</v>
      </c>
    </row>
    <row r="415" spans="1:8" x14ac:dyDescent="0.25">
      <c r="A415">
        <v>200005813</v>
      </c>
      <c r="B415" t="s">
        <v>382</v>
      </c>
      <c r="C415" t="s">
        <v>9</v>
      </c>
      <c r="D415">
        <v>24.5</v>
      </c>
      <c r="E415" s="15">
        <v>88.8</v>
      </c>
      <c r="F415">
        <v>0</v>
      </c>
      <c r="G415">
        <v>1025</v>
      </c>
      <c r="H415">
        <f>IFERROR(VLOOKUP(CENTRAL[[#This Row],[Cód]],SUB[#All],4,0),0) + CENTRAL[[#This Row],[CMM]]</f>
        <v>24.5</v>
      </c>
    </row>
    <row r="416" spans="1:8" x14ac:dyDescent="0.25">
      <c r="A416">
        <v>200001206</v>
      </c>
      <c r="B416" t="s">
        <v>383</v>
      </c>
      <c r="C416" t="s">
        <v>9</v>
      </c>
      <c r="D416">
        <v>10.58</v>
      </c>
      <c r="E416" s="15">
        <v>0</v>
      </c>
      <c r="F416">
        <v>1</v>
      </c>
      <c r="G416">
        <v>-1</v>
      </c>
      <c r="H416">
        <f>IFERROR(VLOOKUP(CENTRAL[[#This Row],[Cód]],SUB[#All],4,0),0) + CENTRAL[[#This Row],[CMM]]</f>
        <v>14.83</v>
      </c>
    </row>
    <row r="417" spans="1:8" x14ac:dyDescent="0.25">
      <c r="A417">
        <v>200001206</v>
      </c>
      <c r="B417" t="s">
        <v>383</v>
      </c>
      <c r="C417" t="s">
        <v>9</v>
      </c>
      <c r="D417">
        <v>10.58</v>
      </c>
      <c r="E417" s="15">
        <v>94.24</v>
      </c>
      <c r="F417">
        <v>1</v>
      </c>
      <c r="G417">
        <v>316</v>
      </c>
      <c r="H417">
        <f>IFERROR(VLOOKUP(CENTRAL[[#This Row],[Cód]],SUB[#All],4,0),0) + CENTRAL[[#This Row],[CMM]]</f>
        <v>14.83</v>
      </c>
    </row>
    <row r="418" spans="1:8" x14ac:dyDescent="0.25">
      <c r="A418">
        <v>200000347</v>
      </c>
      <c r="B418" t="s">
        <v>384</v>
      </c>
      <c r="C418" t="s">
        <v>9</v>
      </c>
      <c r="D418">
        <v>0</v>
      </c>
      <c r="E418" s="15">
        <v>0</v>
      </c>
      <c r="F418">
        <v>0</v>
      </c>
      <c r="G418">
        <v>0</v>
      </c>
      <c r="H418">
        <f>IFERROR(VLOOKUP(CENTRAL[[#This Row],[Cód]],SUB[#All],4,0),0) + CENTRAL[[#This Row],[CMM]]</f>
        <v>0</v>
      </c>
    </row>
    <row r="419" spans="1:8" x14ac:dyDescent="0.25">
      <c r="A419">
        <v>200001205</v>
      </c>
      <c r="B419" t="s">
        <v>385</v>
      </c>
      <c r="C419" t="s">
        <v>9</v>
      </c>
      <c r="D419">
        <v>0.08</v>
      </c>
      <c r="E419" s="15">
        <v>0</v>
      </c>
      <c r="F419">
        <v>0</v>
      </c>
      <c r="G419">
        <v>0</v>
      </c>
      <c r="H419">
        <f>IFERROR(VLOOKUP(CENTRAL[[#This Row],[Cód]],SUB[#All],4,0),0) + CENTRAL[[#This Row],[CMM]]</f>
        <v>0.08</v>
      </c>
    </row>
    <row r="420" spans="1:8" x14ac:dyDescent="0.25">
      <c r="A420">
        <v>200001205</v>
      </c>
      <c r="B420" t="s">
        <v>385</v>
      </c>
      <c r="C420" t="s">
        <v>9</v>
      </c>
      <c r="D420">
        <v>0.08</v>
      </c>
      <c r="E420" s="15">
        <v>0</v>
      </c>
      <c r="F420">
        <v>0</v>
      </c>
      <c r="G420">
        <v>0</v>
      </c>
      <c r="H420">
        <f>IFERROR(VLOOKUP(CENTRAL[[#This Row],[Cód]],SUB[#All],4,0),0) + CENTRAL[[#This Row],[CMM]]</f>
        <v>0.08</v>
      </c>
    </row>
    <row r="421" spans="1:8" x14ac:dyDescent="0.25">
      <c r="A421">
        <v>200005988</v>
      </c>
      <c r="B421" t="s">
        <v>386</v>
      </c>
      <c r="C421" t="s">
        <v>9</v>
      </c>
      <c r="D421">
        <v>1</v>
      </c>
      <c r="E421" s="15">
        <v>0</v>
      </c>
      <c r="F421">
        <v>0</v>
      </c>
      <c r="G421">
        <v>0</v>
      </c>
      <c r="H421">
        <f>IFERROR(VLOOKUP(CENTRAL[[#This Row],[Cód]],SUB[#All],4,0),0) + CENTRAL[[#This Row],[CMM]]</f>
        <v>1</v>
      </c>
    </row>
    <row r="422" spans="1:8" x14ac:dyDescent="0.25">
      <c r="A422">
        <v>200003397</v>
      </c>
      <c r="B422" t="s">
        <v>387</v>
      </c>
      <c r="C422" t="s">
        <v>9</v>
      </c>
      <c r="D422">
        <v>0.16</v>
      </c>
      <c r="E422" s="15">
        <v>0</v>
      </c>
      <c r="F422">
        <v>0</v>
      </c>
      <c r="G422">
        <v>0</v>
      </c>
      <c r="H422">
        <f>IFERROR(VLOOKUP(CENTRAL[[#This Row],[Cód]],SUB[#All],4,0),0) + CENTRAL[[#This Row],[CMM]]</f>
        <v>0.16</v>
      </c>
    </row>
    <row r="423" spans="1:8" x14ac:dyDescent="0.25">
      <c r="A423">
        <v>200005989</v>
      </c>
      <c r="B423" t="s">
        <v>388</v>
      </c>
      <c r="C423" t="s">
        <v>9</v>
      </c>
      <c r="D423">
        <v>0</v>
      </c>
      <c r="E423" s="15">
        <v>20</v>
      </c>
      <c r="F423">
        <v>0</v>
      </c>
      <c r="G423">
        <v>29</v>
      </c>
      <c r="H423">
        <f>IFERROR(VLOOKUP(CENTRAL[[#This Row],[Cód]],SUB[#All],4,0),0) + CENTRAL[[#This Row],[CMM]]</f>
        <v>0</v>
      </c>
    </row>
    <row r="424" spans="1:8" x14ac:dyDescent="0.25">
      <c r="A424">
        <v>200004986</v>
      </c>
      <c r="B424" t="s">
        <v>389</v>
      </c>
      <c r="C424" t="s">
        <v>9</v>
      </c>
      <c r="D424">
        <v>0</v>
      </c>
      <c r="E424" s="15">
        <v>0</v>
      </c>
      <c r="F424">
        <v>0</v>
      </c>
      <c r="G424">
        <v>0</v>
      </c>
      <c r="H424">
        <f>IFERROR(VLOOKUP(CENTRAL[[#This Row],[Cód]],SUB[#All],4,0),0) + CENTRAL[[#This Row],[CMM]]</f>
        <v>0</v>
      </c>
    </row>
    <row r="425" spans="1:8" x14ac:dyDescent="0.25">
      <c r="A425">
        <v>200002129</v>
      </c>
      <c r="B425" t="s">
        <v>390</v>
      </c>
      <c r="C425" t="s">
        <v>9</v>
      </c>
      <c r="D425">
        <v>3.75</v>
      </c>
      <c r="E425" s="15">
        <v>85</v>
      </c>
      <c r="F425">
        <v>0</v>
      </c>
      <c r="G425">
        <v>46</v>
      </c>
      <c r="H425">
        <f>IFERROR(VLOOKUP(CENTRAL[[#This Row],[Cód]],SUB[#All],4,0),0) + CENTRAL[[#This Row],[CMM]]</f>
        <v>4.25</v>
      </c>
    </row>
    <row r="426" spans="1:8" x14ac:dyDescent="0.25">
      <c r="A426">
        <v>200003398</v>
      </c>
      <c r="B426" t="s">
        <v>391</v>
      </c>
      <c r="C426" t="s">
        <v>9</v>
      </c>
      <c r="D426">
        <v>0.83</v>
      </c>
      <c r="E426" s="15">
        <v>60</v>
      </c>
      <c r="F426">
        <v>0</v>
      </c>
      <c r="G426">
        <v>26</v>
      </c>
      <c r="H426">
        <f>IFERROR(VLOOKUP(CENTRAL[[#This Row],[Cód]],SUB[#All],4,0),0) + CENTRAL[[#This Row],[CMM]]</f>
        <v>0.99</v>
      </c>
    </row>
    <row r="427" spans="1:8" x14ac:dyDescent="0.25">
      <c r="A427">
        <v>200003399</v>
      </c>
      <c r="B427" t="s">
        <v>392</v>
      </c>
      <c r="C427" t="s">
        <v>9</v>
      </c>
      <c r="D427">
        <v>2</v>
      </c>
      <c r="E427" s="15">
        <v>66</v>
      </c>
      <c r="F427">
        <v>0</v>
      </c>
      <c r="G427">
        <v>35</v>
      </c>
      <c r="H427">
        <f>IFERROR(VLOOKUP(CENTRAL[[#This Row],[Cód]],SUB[#All],4,0),0) + CENTRAL[[#This Row],[CMM]]</f>
        <v>2.25</v>
      </c>
    </row>
    <row r="428" spans="1:8" x14ac:dyDescent="0.25">
      <c r="A428">
        <v>200006183</v>
      </c>
      <c r="B428" t="s">
        <v>393</v>
      </c>
      <c r="C428" t="s">
        <v>9</v>
      </c>
      <c r="D428">
        <v>9.08</v>
      </c>
      <c r="E428" s="15">
        <v>185.75</v>
      </c>
      <c r="F428">
        <v>0</v>
      </c>
      <c r="G428">
        <v>181</v>
      </c>
      <c r="H428">
        <f>IFERROR(VLOOKUP(CENTRAL[[#This Row],[Cód]],SUB[#All],4,0),0) + CENTRAL[[#This Row],[CMM]]</f>
        <v>9.08</v>
      </c>
    </row>
    <row r="429" spans="1:8" x14ac:dyDescent="0.25">
      <c r="A429">
        <v>200002712</v>
      </c>
      <c r="B429" t="s">
        <v>394</v>
      </c>
      <c r="C429" t="s">
        <v>9</v>
      </c>
      <c r="D429">
        <v>0</v>
      </c>
      <c r="E429" s="15">
        <v>0</v>
      </c>
      <c r="F429">
        <v>0</v>
      </c>
      <c r="G429">
        <v>0</v>
      </c>
      <c r="H429">
        <f>IFERROR(VLOOKUP(CENTRAL[[#This Row],[Cód]],SUB[#All],4,0),0) + CENTRAL[[#This Row],[CMM]]</f>
        <v>0</v>
      </c>
    </row>
    <row r="430" spans="1:8" x14ac:dyDescent="0.25">
      <c r="A430">
        <v>200005990</v>
      </c>
      <c r="B430" t="s">
        <v>395</v>
      </c>
      <c r="C430" t="s">
        <v>9</v>
      </c>
      <c r="D430">
        <v>0.16</v>
      </c>
      <c r="E430" s="15">
        <v>0</v>
      </c>
      <c r="F430">
        <v>0</v>
      </c>
      <c r="G430">
        <v>0</v>
      </c>
      <c r="H430">
        <f>IFERROR(VLOOKUP(CENTRAL[[#This Row],[Cód]],SUB[#All],4,0),0) + CENTRAL[[#This Row],[CMM]]</f>
        <v>0.16</v>
      </c>
    </row>
    <row r="431" spans="1:8" x14ac:dyDescent="0.25">
      <c r="A431">
        <v>200000349</v>
      </c>
      <c r="B431" t="s">
        <v>396</v>
      </c>
      <c r="C431" t="s">
        <v>9</v>
      </c>
      <c r="D431">
        <v>0</v>
      </c>
      <c r="E431" s="15">
        <v>0</v>
      </c>
      <c r="F431">
        <v>0</v>
      </c>
      <c r="G431">
        <v>0</v>
      </c>
      <c r="H431">
        <f>IFERROR(VLOOKUP(CENTRAL[[#This Row],[Cód]],SUB[#All],4,0),0) + CENTRAL[[#This Row],[CMM]]</f>
        <v>0</v>
      </c>
    </row>
    <row r="432" spans="1:8" x14ac:dyDescent="0.25">
      <c r="A432">
        <v>200000349</v>
      </c>
      <c r="B432" t="s">
        <v>396</v>
      </c>
      <c r="C432" t="s">
        <v>9</v>
      </c>
      <c r="D432">
        <v>0</v>
      </c>
      <c r="E432" s="15">
        <v>0</v>
      </c>
      <c r="F432">
        <v>0</v>
      </c>
      <c r="G432">
        <v>0</v>
      </c>
      <c r="H432">
        <f>IFERROR(VLOOKUP(CENTRAL[[#This Row],[Cód]],SUB[#All],4,0),0) + CENTRAL[[#This Row],[CMM]]</f>
        <v>0</v>
      </c>
    </row>
    <row r="433" spans="1:8" x14ac:dyDescent="0.25">
      <c r="A433">
        <v>200006397</v>
      </c>
      <c r="B433" t="s">
        <v>397</v>
      </c>
      <c r="C433" t="s">
        <v>9</v>
      </c>
      <c r="D433">
        <v>0.6</v>
      </c>
      <c r="E433" s="15">
        <v>10</v>
      </c>
      <c r="F433">
        <v>0</v>
      </c>
      <c r="G433">
        <v>30</v>
      </c>
      <c r="H433">
        <f>IFERROR(VLOOKUP(CENTRAL[[#This Row],[Cód]],SUB[#All],4,0),0) + CENTRAL[[#This Row],[CMM]]</f>
        <v>0.6</v>
      </c>
    </row>
    <row r="434" spans="1:8" x14ac:dyDescent="0.25">
      <c r="A434">
        <v>200006398</v>
      </c>
      <c r="B434" t="s">
        <v>398</v>
      </c>
      <c r="C434" t="s">
        <v>9</v>
      </c>
      <c r="D434">
        <v>0</v>
      </c>
      <c r="E434" s="15">
        <v>12</v>
      </c>
      <c r="F434">
        <v>0</v>
      </c>
      <c r="G434">
        <v>36</v>
      </c>
      <c r="H434">
        <f>IFERROR(VLOOKUP(CENTRAL[[#This Row],[Cód]],SUB[#All],4,0),0) + CENTRAL[[#This Row],[CMM]]</f>
        <v>0</v>
      </c>
    </row>
    <row r="435" spans="1:8" x14ac:dyDescent="0.25">
      <c r="A435">
        <v>200003400</v>
      </c>
      <c r="B435" t="s">
        <v>399</v>
      </c>
      <c r="C435" t="s">
        <v>9</v>
      </c>
      <c r="D435">
        <v>0</v>
      </c>
      <c r="E435" s="15">
        <v>0</v>
      </c>
      <c r="F435">
        <v>0</v>
      </c>
      <c r="G435">
        <v>0</v>
      </c>
      <c r="H435">
        <f>IFERROR(VLOOKUP(CENTRAL[[#This Row],[Cód]],SUB[#All],4,0),0) + CENTRAL[[#This Row],[CMM]]</f>
        <v>0.25</v>
      </c>
    </row>
    <row r="436" spans="1:8" x14ac:dyDescent="0.25">
      <c r="A436">
        <v>200003079</v>
      </c>
      <c r="B436" t="s">
        <v>400</v>
      </c>
      <c r="C436" t="s">
        <v>9</v>
      </c>
      <c r="D436">
        <v>0</v>
      </c>
      <c r="E436" s="15">
        <v>0</v>
      </c>
      <c r="F436">
        <v>0</v>
      </c>
      <c r="G436">
        <v>0</v>
      </c>
      <c r="H436">
        <f>IFERROR(VLOOKUP(CENTRAL[[#This Row],[Cód]],SUB[#All],4,0),0) + CENTRAL[[#This Row],[CMM]]</f>
        <v>0.57999999999999996</v>
      </c>
    </row>
    <row r="437" spans="1:8" x14ac:dyDescent="0.25">
      <c r="A437">
        <v>200001006</v>
      </c>
      <c r="B437" t="s">
        <v>401</v>
      </c>
      <c r="C437" t="s">
        <v>9</v>
      </c>
      <c r="D437">
        <v>0</v>
      </c>
      <c r="E437" s="15">
        <v>0</v>
      </c>
      <c r="F437">
        <v>0</v>
      </c>
      <c r="G437">
        <v>0</v>
      </c>
      <c r="H437">
        <f>IFERROR(VLOOKUP(CENTRAL[[#This Row],[Cód]],SUB[#All],4,0),0) + CENTRAL[[#This Row],[CMM]]</f>
        <v>0</v>
      </c>
    </row>
    <row r="438" spans="1:8" x14ac:dyDescent="0.25">
      <c r="A438">
        <v>200004806</v>
      </c>
      <c r="B438" t="s">
        <v>402</v>
      </c>
      <c r="C438" t="s">
        <v>9</v>
      </c>
      <c r="D438">
        <v>0.25</v>
      </c>
      <c r="E438" s="15">
        <v>16</v>
      </c>
      <c r="F438">
        <v>0</v>
      </c>
      <c r="G438">
        <v>24</v>
      </c>
      <c r="H438">
        <f>IFERROR(VLOOKUP(CENTRAL[[#This Row],[Cód]],SUB[#All],4,0),0) + CENTRAL[[#This Row],[CMM]]</f>
        <v>0.25</v>
      </c>
    </row>
    <row r="439" spans="1:8" x14ac:dyDescent="0.25">
      <c r="A439">
        <v>200004807</v>
      </c>
      <c r="B439" t="s">
        <v>403</v>
      </c>
      <c r="C439" t="s">
        <v>9</v>
      </c>
      <c r="D439">
        <v>0.16</v>
      </c>
      <c r="E439" s="15">
        <v>20.65</v>
      </c>
      <c r="F439">
        <v>1</v>
      </c>
      <c r="G439">
        <v>24</v>
      </c>
      <c r="H439">
        <f>IFERROR(VLOOKUP(CENTRAL[[#This Row],[Cód]],SUB[#All],4,0),0) + CENTRAL[[#This Row],[CMM]]</f>
        <v>0.16</v>
      </c>
    </row>
    <row r="440" spans="1:8" x14ac:dyDescent="0.25">
      <c r="A440">
        <v>200000366</v>
      </c>
      <c r="B440" t="s">
        <v>404</v>
      </c>
      <c r="C440" t="s">
        <v>294</v>
      </c>
      <c r="D440">
        <v>0.08</v>
      </c>
      <c r="E440" s="15">
        <v>14.01</v>
      </c>
      <c r="F440">
        <v>0</v>
      </c>
      <c r="G440">
        <v>2</v>
      </c>
      <c r="H440">
        <f>IFERROR(VLOOKUP(CENTRAL[[#This Row],[Cód]],SUB[#All],4,0),0) + CENTRAL[[#This Row],[CMM]]</f>
        <v>0.08</v>
      </c>
    </row>
    <row r="441" spans="1:8" x14ac:dyDescent="0.25">
      <c r="A441">
        <v>200004106</v>
      </c>
      <c r="B441" t="s">
        <v>405</v>
      </c>
      <c r="C441" t="s">
        <v>9</v>
      </c>
      <c r="D441">
        <v>0</v>
      </c>
      <c r="E441" s="15">
        <v>0</v>
      </c>
      <c r="F441">
        <v>0</v>
      </c>
      <c r="G441">
        <v>0</v>
      </c>
      <c r="H441">
        <f>IFERROR(VLOOKUP(CENTRAL[[#This Row],[Cód]],SUB[#All],4,0),0) + CENTRAL[[#This Row],[CMM]]</f>
        <v>0</v>
      </c>
    </row>
    <row r="442" spans="1:8" x14ac:dyDescent="0.25">
      <c r="A442">
        <v>200005232</v>
      </c>
      <c r="B442" t="s">
        <v>406</v>
      </c>
      <c r="C442" t="s">
        <v>294</v>
      </c>
      <c r="D442">
        <v>0</v>
      </c>
      <c r="E442" s="15">
        <v>0</v>
      </c>
      <c r="F442">
        <v>0</v>
      </c>
      <c r="G442">
        <v>0</v>
      </c>
      <c r="H442">
        <f>IFERROR(VLOOKUP(CENTRAL[[#This Row],[Cód]],SUB[#All],4,0),0) + CENTRAL[[#This Row],[CMM]]</f>
        <v>0</v>
      </c>
    </row>
    <row r="443" spans="1:8" x14ac:dyDescent="0.25">
      <c r="A443">
        <v>200001084</v>
      </c>
      <c r="B443" t="s">
        <v>407</v>
      </c>
      <c r="C443" t="s">
        <v>9</v>
      </c>
      <c r="D443">
        <v>0</v>
      </c>
      <c r="E443" s="15">
        <v>0</v>
      </c>
      <c r="F443">
        <v>0</v>
      </c>
      <c r="G443">
        <v>0</v>
      </c>
      <c r="H443">
        <f>IFERROR(VLOOKUP(CENTRAL[[#This Row],[Cód]],SUB[#All],4,0),0) + CENTRAL[[#This Row],[CMM]]</f>
        <v>0</v>
      </c>
    </row>
    <row r="444" spans="1:8" x14ac:dyDescent="0.25">
      <c r="A444">
        <v>200004105</v>
      </c>
      <c r="B444" t="s">
        <v>408</v>
      </c>
      <c r="C444" t="s">
        <v>9</v>
      </c>
      <c r="D444">
        <v>0</v>
      </c>
      <c r="E444" s="15">
        <v>0</v>
      </c>
      <c r="F444">
        <v>0</v>
      </c>
      <c r="G444">
        <v>0</v>
      </c>
      <c r="H444">
        <f>IFERROR(VLOOKUP(CENTRAL[[#This Row],[Cód]],SUB[#All],4,0),0) + CENTRAL[[#This Row],[CMM]]</f>
        <v>0</v>
      </c>
    </row>
    <row r="445" spans="1:8" x14ac:dyDescent="0.25">
      <c r="A445">
        <v>200006002</v>
      </c>
      <c r="B445" t="s">
        <v>409</v>
      </c>
      <c r="C445" t="s">
        <v>294</v>
      </c>
      <c r="D445">
        <v>41.25</v>
      </c>
      <c r="E445" s="15">
        <v>6</v>
      </c>
      <c r="F445">
        <v>17</v>
      </c>
      <c r="G445">
        <v>450</v>
      </c>
      <c r="H445">
        <f>IFERROR(VLOOKUP(CENTRAL[[#This Row],[Cód]],SUB[#All],4,0),0) + CENTRAL[[#This Row],[CMM]]</f>
        <v>42.66</v>
      </c>
    </row>
    <row r="446" spans="1:8" x14ac:dyDescent="0.25">
      <c r="A446">
        <v>200006003</v>
      </c>
      <c r="B446" t="s">
        <v>410</v>
      </c>
      <c r="C446" t="s">
        <v>294</v>
      </c>
      <c r="D446">
        <v>21.91</v>
      </c>
      <c r="E446" s="15">
        <v>10.25</v>
      </c>
      <c r="F446">
        <v>0</v>
      </c>
      <c r="G446">
        <v>558</v>
      </c>
      <c r="H446">
        <f>IFERROR(VLOOKUP(CENTRAL[[#This Row],[Cód]],SUB[#All],4,0),0) + CENTRAL[[#This Row],[CMM]]</f>
        <v>22.74</v>
      </c>
    </row>
    <row r="447" spans="1:8" x14ac:dyDescent="0.25">
      <c r="A447">
        <v>200004119</v>
      </c>
      <c r="B447" t="s">
        <v>411</v>
      </c>
      <c r="C447" t="s">
        <v>294</v>
      </c>
      <c r="D447">
        <v>6.41</v>
      </c>
      <c r="E447" s="15">
        <v>22.81</v>
      </c>
      <c r="F447">
        <v>41</v>
      </c>
      <c r="G447">
        <v>0</v>
      </c>
      <c r="H447">
        <f>IFERROR(VLOOKUP(CENTRAL[[#This Row],[Cód]],SUB[#All],4,0),0) + CENTRAL[[#This Row],[CMM]]</f>
        <v>6.74</v>
      </c>
    </row>
    <row r="448" spans="1:8" x14ac:dyDescent="0.25">
      <c r="A448">
        <v>200004018</v>
      </c>
      <c r="B448" t="s">
        <v>412</v>
      </c>
      <c r="C448" t="s">
        <v>294</v>
      </c>
      <c r="D448">
        <v>0</v>
      </c>
      <c r="E448" s="15">
        <v>0</v>
      </c>
      <c r="F448">
        <v>0</v>
      </c>
      <c r="G448">
        <v>0</v>
      </c>
      <c r="H448">
        <f>IFERROR(VLOOKUP(CENTRAL[[#This Row],[Cód]],SUB[#All],4,0),0) + CENTRAL[[#This Row],[CMM]]</f>
        <v>0</v>
      </c>
    </row>
    <row r="449" spans="1:8" x14ac:dyDescent="0.25">
      <c r="A449">
        <v>200000365</v>
      </c>
      <c r="B449" t="s">
        <v>413</v>
      </c>
      <c r="C449" t="s">
        <v>294</v>
      </c>
      <c r="D449">
        <v>0</v>
      </c>
      <c r="E449" s="15">
        <v>0</v>
      </c>
      <c r="F449">
        <v>0</v>
      </c>
      <c r="G449">
        <v>0</v>
      </c>
      <c r="H449">
        <f>IFERROR(VLOOKUP(CENTRAL[[#This Row],[Cód]],SUB[#All],4,0),0) + CENTRAL[[#This Row],[CMM]]</f>
        <v>0</v>
      </c>
    </row>
    <row r="450" spans="1:8" x14ac:dyDescent="0.25">
      <c r="A450">
        <v>200002110</v>
      </c>
      <c r="B450" t="s">
        <v>414</v>
      </c>
      <c r="C450" t="s">
        <v>294</v>
      </c>
      <c r="D450">
        <v>0.5</v>
      </c>
      <c r="E450" s="15">
        <v>0</v>
      </c>
      <c r="F450">
        <v>0</v>
      </c>
      <c r="G450">
        <v>0</v>
      </c>
      <c r="H450">
        <f>IFERROR(VLOOKUP(CENTRAL[[#This Row],[Cód]],SUB[#All],4,0),0) + CENTRAL[[#This Row],[CMM]]</f>
        <v>0.83000000000000007</v>
      </c>
    </row>
    <row r="451" spans="1:8" x14ac:dyDescent="0.25">
      <c r="A451">
        <v>200002110</v>
      </c>
      <c r="B451" t="s">
        <v>414</v>
      </c>
      <c r="C451" t="s">
        <v>294</v>
      </c>
      <c r="D451">
        <v>0.5</v>
      </c>
      <c r="E451" s="15">
        <v>41.43</v>
      </c>
      <c r="F451">
        <v>0</v>
      </c>
      <c r="G451">
        <v>20</v>
      </c>
      <c r="H451">
        <f>IFERROR(VLOOKUP(CENTRAL[[#This Row],[Cód]],SUB[#All],4,0),0) + CENTRAL[[#This Row],[CMM]]</f>
        <v>0.83000000000000007</v>
      </c>
    </row>
    <row r="452" spans="1:8" x14ac:dyDescent="0.25">
      <c r="A452">
        <v>200003794</v>
      </c>
      <c r="B452" t="s">
        <v>415</v>
      </c>
      <c r="C452" t="s">
        <v>294</v>
      </c>
      <c r="D452">
        <v>0.16</v>
      </c>
      <c r="E452" s="15">
        <v>50.24</v>
      </c>
      <c r="F452">
        <v>0</v>
      </c>
      <c r="G452">
        <v>15</v>
      </c>
      <c r="H452">
        <f>IFERROR(VLOOKUP(CENTRAL[[#This Row],[Cód]],SUB[#All],4,0),0) + CENTRAL[[#This Row],[CMM]]</f>
        <v>0.16</v>
      </c>
    </row>
    <row r="453" spans="1:8" x14ac:dyDescent="0.25">
      <c r="A453">
        <v>200002111</v>
      </c>
      <c r="B453" t="s">
        <v>416</v>
      </c>
      <c r="C453" t="s">
        <v>294</v>
      </c>
      <c r="D453">
        <v>0</v>
      </c>
      <c r="E453" s="15">
        <v>33.520000000000003</v>
      </c>
      <c r="F453">
        <v>0</v>
      </c>
      <c r="G453">
        <v>26</v>
      </c>
      <c r="H453">
        <f>IFERROR(VLOOKUP(CENTRAL[[#This Row],[Cód]],SUB[#All],4,0),0) + CENTRAL[[#This Row],[CMM]]</f>
        <v>0.25</v>
      </c>
    </row>
    <row r="454" spans="1:8" x14ac:dyDescent="0.25">
      <c r="A454">
        <v>200003085</v>
      </c>
      <c r="B454" t="s">
        <v>417</v>
      </c>
      <c r="C454" t="s">
        <v>294</v>
      </c>
      <c r="D454">
        <v>0</v>
      </c>
      <c r="E454" s="15">
        <v>0</v>
      </c>
      <c r="F454">
        <v>0</v>
      </c>
      <c r="G454">
        <v>0</v>
      </c>
      <c r="H454">
        <f>IFERROR(VLOOKUP(CENTRAL[[#This Row],[Cód]],SUB[#All],4,0),0) + CENTRAL[[#This Row],[CMM]]</f>
        <v>0</v>
      </c>
    </row>
    <row r="455" spans="1:8" x14ac:dyDescent="0.25">
      <c r="A455">
        <v>200003085</v>
      </c>
      <c r="B455" t="s">
        <v>417</v>
      </c>
      <c r="C455" t="s">
        <v>294</v>
      </c>
      <c r="D455">
        <v>0</v>
      </c>
      <c r="E455" s="15">
        <v>0</v>
      </c>
      <c r="F455">
        <v>0</v>
      </c>
      <c r="G455">
        <v>0</v>
      </c>
      <c r="H455">
        <f>IFERROR(VLOOKUP(CENTRAL[[#This Row],[Cód]],SUB[#All],4,0),0) + CENTRAL[[#This Row],[CMM]]</f>
        <v>0</v>
      </c>
    </row>
    <row r="456" spans="1:8" x14ac:dyDescent="0.25">
      <c r="A456">
        <v>200002112</v>
      </c>
      <c r="B456" t="s">
        <v>418</v>
      </c>
      <c r="C456" t="s">
        <v>9</v>
      </c>
      <c r="D456">
        <v>5.41</v>
      </c>
      <c r="E456" s="15">
        <v>0</v>
      </c>
      <c r="F456">
        <v>0</v>
      </c>
      <c r="G456">
        <v>0</v>
      </c>
      <c r="H456">
        <f>IFERROR(VLOOKUP(CENTRAL[[#This Row],[Cód]],SUB[#All],4,0),0) + CENTRAL[[#This Row],[CMM]]</f>
        <v>7.91</v>
      </c>
    </row>
    <row r="457" spans="1:8" x14ac:dyDescent="0.25">
      <c r="A457">
        <v>200002112</v>
      </c>
      <c r="B457" t="s">
        <v>418</v>
      </c>
      <c r="C457" t="s">
        <v>9</v>
      </c>
      <c r="D457">
        <v>5.41</v>
      </c>
      <c r="E457" s="15">
        <v>0</v>
      </c>
      <c r="F457">
        <v>0</v>
      </c>
      <c r="G457">
        <v>0</v>
      </c>
      <c r="H457">
        <f>IFERROR(VLOOKUP(CENTRAL[[#This Row],[Cód]],SUB[#All],4,0),0) + CENTRAL[[#This Row],[CMM]]</f>
        <v>7.91</v>
      </c>
    </row>
    <row r="458" spans="1:8" x14ac:dyDescent="0.25">
      <c r="A458">
        <v>200000376</v>
      </c>
      <c r="B458" t="s">
        <v>419</v>
      </c>
      <c r="C458" t="s">
        <v>9</v>
      </c>
      <c r="D458">
        <v>8.41</v>
      </c>
      <c r="E458" s="15">
        <v>0</v>
      </c>
      <c r="F458">
        <v>0</v>
      </c>
      <c r="G458">
        <v>0</v>
      </c>
      <c r="H458">
        <f>IFERROR(VLOOKUP(CENTRAL[[#This Row],[Cód]],SUB[#All],4,0),0) + CENTRAL[[#This Row],[CMM]]</f>
        <v>9.57</v>
      </c>
    </row>
    <row r="459" spans="1:8" x14ac:dyDescent="0.25">
      <c r="A459">
        <v>200000376</v>
      </c>
      <c r="B459" t="s">
        <v>419</v>
      </c>
      <c r="C459" t="s">
        <v>9</v>
      </c>
      <c r="D459">
        <v>8.41</v>
      </c>
      <c r="E459" s="15">
        <v>8.11</v>
      </c>
      <c r="F459">
        <v>0</v>
      </c>
      <c r="G459">
        <v>116</v>
      </c>
      <c r="H459">
        <f>IFERROR(VLOOKUP(CENTRAL[[#This Row],[Cód]],SUB[#All],4,0),0) + CENTRAL[[#This Row],[CMM]]</f>
        <v>9.57</v>
      </c>
    </row>
    <row r="460" spans="1:8" x14ac:dyDescent="0.25">
      <c r="A460">
        <v>200003401</v>
      </c>
      <c r="B460" t="s">
        <v>420</v>
      </c>
      <c r="C460" t="s">
        <v>9</v>
      </c>
      <c r="D460">
        <v>0.16</v>
      </c>
      <c r="E460" s="15">
        <v>0</v>
      </c>
      <c r="F460">
        <v>0</v>
      </c>
      <c r="G460">
        <v>0</v>
      </c>
      <c r="H460">
        <f>IFERROR(VLOOKUP(CENTRAL[[#This Row],[Cód]],SUB[#All],4,0),0) + CENTRAL[[#This Row],[CMM]]</f>
        <v>0.16</v>
      </c>
    </row>
    <row r="461" spans="1:8" x14ac:dyDescent="0.25">
      <c r="A461">
        <v>200003402</v>
      </c>
      <c r="B461" t="s">
        <v>421</v>
      </c>
      <c r="C461" t="s">
        <v>9</v>
      </c>
      <c r="D461">
        <v>0.08</v>
      </c>
      <c r="E461" s="15">
        <v>0</v>
      </c>
      <c r="F461">
        <v>0</v>
      </c>
      <c r="G461">
        <v>0</v>
      </c>
      <c r="H461">
        <f>IFERROR(VLOOKUP(CENTRAL[[#This Row],[Cód]],SUB[#All],4,0),0) + CENTRAL[[#This Row],[CMM]]</f>
        <v>0.08</v>
      </c>
    </row>
    <row r="462" spans="1:8" x14ac:dyDescent="0.25">
      <c r="A462">
        <v>200006159</v>
      </c>
      <c r="B462" t="s">
        <v>422</v>
      </c>
      <c r="C462" t="s">
        <v>9</v>
      </c>
      <c r="D462">
        <v>0</v>
      </c>
      <c r="E462" s="15">
        <v>0</v>
      </c>
      <c r="F462">
        <v>0</v>
      </c>
      <c r="G462">
        <v>0</v>
      </c>
      <c r="H462">
        <f>IFERROR(VLOOKUP(CENTRAL[[#This Row],[Cód]],SUB[#All],4,0),0) + CENTRAL[[#This Row],[CMM]]</f>
        <v>0</v>
      </c>
    </row>
    <row r="463" spans="1:8" x14ac:dyDescent="0.25">
      <c r="A463">
        <v>200006373</v>
      </c>
      <c r="B463" t="s">
        <v>423</v>
      </c>
      <c r="C463" t="s">
        <v>96</v>
      </c>
      <c r="D463">
        <v>1.91</v>
      </c>
      <c r="E463" s="15">
        <v>513.12</v>
      </c>
      <c r="F463">
        <v>17</v>
      </c>
      <c r="G463">
        <v>17</v>
      </c>
      <c r="H463">
        <f>IFERROR(VLOOKUP(CENTRAL[[#This Row],[Cód]],SUB[#All],4,0),0) + CENTRAL[[#This Row],[CMM]]</f>
        <v>1.91</v>
      </c>
    </row>
    <row r="464" spans="1:8" x14ac:dyDescent="0.25">
      <c r="A464">
        <v>200002113</v>
      </c>
      <c r="B464" t="s">
        <v>424</v>
      </c>
      <c r="C464" t="s">
        <v>96</v>
      </c>
      <c r="D464">
        <v>0</v>
      </c>
      <c r="E464" s="15">
        <v>0</v>
      </c>
      <c r="F464">
        <v>0</v>
      </c>
      <c r="G464">
        <v>0</v>
      </c>
      <c r="H464">
        <f>IFERROR(VLOOKUP(CENTRAL[[#This Row],[Cód]],SUB[#All],4,0),0) + CENTRAL[[#This Row],[CMM]]</f>
        <v>0</v>
      </c>
    </row>
    <row r="465" spans="1:8" x14ac:dyDescent="0.25">
      <c r="A465">
        <v>200002113</v>
      </c>
      <c r="B465" t="s">
        <v>424</v>
      </c>
      <c r="C465" t="s">
        <v>96</v>
      </c>
      <c r="D465">
        <v>0</v>
      </c>
      <c r="E465" s="15">
        <v>0</v>
      </c>
      <c r="F465">
        <v>0</v>
      </c>
      <c r="G465">
        <v>0</v>
      </c>
      <c r="H465">
        <f>IFERROR(VLOOKUP(CENTRAL[[#This Row],[Cód]],SUB[#All],4,0),0) + CENTRAL[[#This Row],[CMM]]</f>
        <v>0</v>
      </c>
    </row>
    <row r="466" spans="1:8" x14ac:dyDescent="0.25">
      <c r="A466">
        <v>200006187</v>
      </c>
      <c r="B466" t="s">
        <v>425</v>
      </c>
      <c r="C466" t="s">
        <v>96</v>
      </c>
      <c r="D466">
        <v>21.41</v>
      </c>
      <c r="E466" s="15">
        <v>538.70000000000005</v>
      </c>
      <c r="F466">
        <v>0</v>
      </c>
      <c r="G466">
        <v>476</v>
      </c>
      <c r="H466">
        <f>IFERROR(VLOOKUP(CENTRAL[[#This Row],[Cód]],SUB[#All],4,0),0) + CENTRAL[[#This Row],[CMM]]</f>
        <v>23.32</v>
      </c>
    </row>
    <row r="467" spans="1:8" x14ac:dyDescent="0.25">
      <c r="A467">
        <v>200006001</v>
      </c>
      <c r="B467" t="s">
        <v>426</v>
      </c>
      <c r="C467" t="s">
        <v>9</v>
      </c>
      <c r="D467">
        <v>2.25</v>
      </c>
      <c r="E467" s="15">
        <v>6.2</v>
      </c>
      <c r="F467">
        <v>0</v>
      </c>
      <c r="G467">
        <v>50</v>
      </c>
      <c r="H467">
        <f>IFERROR(VLOOKUP(CENTRAL[[#This Row],[Cód]],SUB[#All],4,0),0) + CENTRAL[[#This Row],[CMM]]</f>
        <v>2.25</v>
      </c>
    </row>
    <row r="468" spans="1:8" x14ac:dyDescent="0.25">
      <c r="A468">
        <v>200006281</v>
      </c>
      <c r="B468" t="s">
        <v>427</v>
      </c>
      <c r="C468" t="s">
        <v>86</v>
      </c>
      <c r="D468">
        <v>0</v>
      </c>
      <c r="E468" s="15">
        <v>0</v>
      </c>
      <c r="F468">
        <v>0</v>
      </c>
      <c r="G468">
        <v>0</v>
      </c>
      <c r="H468">
        <f>IFERROR(VLOOKUP(CENTRAL[[#This Row],[Cód]],SUB[#All],4,0),0) + CENTRAL[[#This Row],[CMM]]</f>
        <v>0</v>
      </c>
    </row>
    <row r="469" spans="1:8" x14ac:dyDescent="0.25">
      <c r="A469">
        <v>200000390</v>
      </c>
      <c r="B469" t="s">
        <v>428</v>
      </c>
      <c r="C469" t="s">
        <v>82</v>
      </c>
      <c r="D469">
        <v>77</v>
      </c>
      <c r="E469" s="15">
        <v>3.03</v>
      </c>
      <c r="F469">
        <v>85</v>
      </c>
      <c r="G469">
        <v>1922</v>
      </c>
      <c r="H469">
        <f>IFERROR(VLOOKUP(CENTRAL[[#This Row],[Cód]],SUB[#All],4,0),0) + CENTRAL[[#This Row],[CMM]]</f>
        <v>90.91</v>
      </c>
    </row>
    <row r="470" spans="1:8" x14ac:dyDescent="0.25">
      <c r="A470">
        <v>200000390</v>
      </c>
      <c r="B470" t="s">
        <v>428</v>
      </c>
      <c r="C470" t="s">
        <v>82</v>
      </c>
      <c r="D470">
        <v>77</v>
      </c>
      <c r="E470" s="15">
        <v>0</v>
      </c>
      <c r="F470">
        <v>85</v>
      </c>
      <c r="G470">
        <v>-85</v>
      </c>
      <c r="H470">
        <f>IFERROR(VLOOKUP(CENTRAL[[#This Row],[Cód]],SUB[#All],4,0),0) + CENTRAL[[#This Row],[CMM]]</f>
        <v>90.91</v>
      </c>
    </row>
    <row r="471" spans="1:8" x14ac:dyDescent="0.25">
      <c r="A471">
        <v>200004632</v>
      </c>
      <c r="B471" t="s">
        <v>429</v>
      </c>
      <c r="C471" t="s">
        <v>108</v>
      </c>
      <c r="D471">
        <v>0</v>
      </c>
      <c r="E471" s="15">
        <v>2.6</v>
      </c>
      <c r="F471">
        <v>0</v>
      </c>
      <c r="G471">
        <v>1</v>
      </c>
      <c r="H471">
        <f>IFERROR(VLOOKUP(CENTRAL[[#This Row],[Cód]],SUB[#All],4,0),0) + CENTRAL[[#This Row],[CMM]]</f>
        <v>0</v>
      </c>
    </row>
    <row r="472" spans="1:8" x14ac:dyDescent="0.25">
      <c r="A472">
        <v>200004631</v>
      </c>
      <c r="B472" t="s">
        <v>430</v>
      </c>
      <c r="C472" t="s">
        <v>108</v>
      </c>
      <c r="D472">
        <v>0</v>
      </c>
      <c r="E472" s="15">
        <v>7.9</v>
      </c>
      <c r="F472">
        <v>0</v>
      </c>
      <c r="G472">
        <v>1</v>
      </c>
      <c r="H472">
        <f>IFERROR(VLOOKUP(CENTRAL[[#This Row],[Cód]],SUB[#All],4,0),0) + CENTRAL[[#This Row],[CMM]]</f>
        <v>0</v>
      </c>
    </row>
    <row r="473" spans="1:8" x14ac:dyDescent="0.25">
      <c r="A473">
        <v>200004609</v>
      </c>
      <c r="B473" t="s">
        <v>431</v>
      </c>
      <c r="C473" t="s">
        <v>9</v>
      </c>
      <c r="D473">
        <v>0.91</v>
      </c>
      <c r="E473" s="15">
        <v>4.8</v>
      </c>
      <c r="F473">
        <v>0</v>
      </c>
      <c r="G473">
        <v>29</v>
      </c>
      <c r="H473">
        <f>IFERROR(VLOOKUP(CENTRAL[[#This Row],[Cód]],SUB[#All],4,0),0) + CENTRAL[[#This Row],[CMM]]</f>
        <v>0.91</v>
      </c>
    </row>
    <row r="474" spans="1:8" x14ac:dyDescent="0.25">
      <c r="A474">
        <v>200005802</v>
      </c>
      <c r="B474" t="s">
        <v>432</v>
      </c>
      <c r="C474" t="s">
        <v>9</v>
      </c>
      <c r="D474">
        <v>0</v>
      </c>
      <c r="E474" s="15">
        <v>0</v>
      </c>
      <c r="F474">
        <v>0</v>
      </c>
      <c r="G474">
        <v>0</v>
      </c>
      <c r="H474">
        <f>IFERROR(VLOOKUP(CENTRAL[[#This Row],[Cód]],SUB[#All],4,0),0) + CENTRAL[[#This Row],[CMM]]</f>
        <v>0</v>
      </c>
    </row>
    <row r="475" spans="1:8" x14ac:dyDescent="0.25">
      <c r="A475">
        <v>200000399</v>
      </c>
      <c r="B475" t="s">
        <v>433</v>
      </c>
      <c r="C475" t="s">
        <v>82</v>
      </c>
      <c r="D475">
        <v>0</v>
      </c>
      <c r="E475" s="15">
        <v>0</v>
      </c>
      <c r="F475">
        <v>0</v>
      </c>
      <c r="G475">
        <v>0</v>
      </c>
      <c r="H475">
        <f>IFERROR(VLOOKUP(CENTRAL[[#This Row],[Cód]],SUB[#All],4,0),0) + CENTRAL[[#This Row],[CMM]]</f>
        <v>0</v>
      </c>
    </row>
    <row r="476" spans="1:8" x14ac:dyDescent="0.25">
      <c r="A476">
        <v>200002287</v>
      </c>
      <c r="B476" t="s">
        <v>434</v>
      </c>
      <c r="C476" t="s">
        <v>9</v>
      </c>
      <c r="D476">
        <v>1.33</v>
      </c>
      <c r="E476" s="15">
        <v>24.76</v>
      </c>
      <c r="F476">
        <v>0</v>
      </c>
      <c r="G476">
        <v>2</v>
      </c>
      <c r="H476">
        <f>IFERROR(VLOOKUP(CENTRAL[[#This Row],[Cód]],SUB[#All],4,0),0) + CENTRAL[[#This Row],[CMM]]</f>
        <v>1.83</v>
      </c>
    </row>
    <row r="477" spans="1:8" x14ac:dyDescent="0.25">
      <c r="A477">
        <v>200003733</v>
      </c>
      <c r="B477" t="s">
        <v>435</v>
      </c>
      <c r="C477" t="s">
        <v>9</v>
      </c>
      <c r="D477">
        <v>0</v>
      </c>
      <c r="E477" s="15">
        <v>0</v>
      </c>
      <c r="F477">
        <v>0</v>
      </c>
      <c r="G477">
        <v>0</v>
      </c>
      <c r="H477">
        <f>IFERROR(VLOOKUP(CENTRAL[[#This Row],[Cód]],SUB[#All],4,0),0) + CENTRAL[[#This Row],[CMM]]</f>
        <v>0</v>
      </c>
    </row>
    <row r="478" spans="1:8" x14ac:dyDescent="0.25">
      <c r="A478">
        <v>200002208</v>
      </c>
      <c r="B478" t="s">
        <v>436</v>
      </c>
      <c r="C478" t="s">
        <v>9</v>
      </c>
      <c r="D478">
        <v>5.16</v>
      </c>
      <c r="E478" s="15">
        <v>9.8800000000000008</v>
      </c>
      <c r="F478">
        <v>0</v>
      </c>
      <c r="G478">
        <v>30</v>
      </c>
      <c r="H478">
        <f>IFERROR(VLOOKUP(CENTRAL[[#This Row],[Cód]],SUB[#All],4,0),0) + CENTRAL[[#This Row],[CMM]]</f>
        <v>7.16</v>
      </c>
    </row>
    <row r="479" spans="1:8" x14ac:dyDescent="0.25">
      <c r="A479">
        <v>200002209</v>
      </c>
      <c r="B479" t="s">
        <v>437</v>
      </c>
      <c r="C479" t="s">
        <v>9</v>
      </c>
      <c r="D479">
        <v>7.91</v>
      </c>
      <c r="E479" s="15">
        <v>15.04</v>
      </c>
      <c r="F479">
        <v>0</v>
      </c>
      <c r="G479">
        <v>43</v>
      </c>
      <c r="H479">
        <f>IFERROR(VLOOKUP(CENTRAL[[#This Row],[Cód]],SUB[#All],4,0),0) + CENTRAL[[#This Row],[CMM]]</f>
        <v>10.32</v>
      </c>
    </row>
    <row r="480" spans="1:8" x14ac:dyDescent="0.25">
      <c r="A480">
        <v>200002210</v>
      </c>
      <c r="B480" t="s">
        <v>438</v>
      </c>
      <c r="C480" t="s">
        <v>9</v>
      </c>
      <c r="D480">
        <v>0.25</v>
      </c>
      <c r="E480" s="15">
        <v>7.59</v>
      </c>
      <c r="F480">
        <v>0</v>
      </c>
      <c r="G480">
        <v>1</v>
      </c>
      <c r="H480">
        <f>IFERROR(VLOOKUP(CENTRAL[[#This Row],[Cód]],SUB[#All],4,0),0) + CENTRAL[[#This Row],[CMM]]</f>
        <v>1.1600000000000001</v>
      </c>
    </row>
    <row r="481" spans="1:8" x14ac:dyDescent="0.25">
      <c r="A481">
        <v>200002211</v>
      </c>
      <c r="B481" t="s">
        <v>439</v>
      </c>
      <c r="C481" t="s">
        <v>9</v>
      </c>
      <c r="D481">
        <v>0</v>
      </c>
      <c r="E481" s="15">
        <v>0</v>
      </c>
      <c r="F481">
        <v>0</v>
      </c>
      <c r="G481">
        <v>0</v>
      </c>
      <c r="H481">
        <f>IFERROR(VLOOKUP(CENTRAL[[#This Row],[Cód]],SUB[#All],4,0),0) + CENTRAL[[#This Row],[CMM]]</f>
        <v>0</v>
      </c>
    </row>
    <row r="482" spans="1:8" x14ac:dyDescent="0.25">
      <c r="A482">
        <v>200004061</v>
      </c>
      <c r="B482" t="s">
        <v>440</v>
      </c>
      <c r="C482" t="s">
        <v>9</v>
      </c>
      <c r="D482">
        <v>0</v>
      </c>
      <c r="E482" s="15">
        <v>0</v>
      </c>
      <c r="F482">
        <v>0</v>
      </c>
      <c r="G482">
        <v>0</v>
      </c>
      <c r="H482">
        <f>IFERROR(VLOOKUP(CENTRAL[[#This Row],[Cód]],SUB[#All],4,0),0) + CENTRAL[[#This Row],[CMM]]</f>
        <v>0</v>
      </c>
    </row>
    <row r="483" spans="1:8" x14ac:dyDescent="0.25">
      <c r="A483">
        <v>200004089</v>
      </c>
      <c r="B483" t="s">
        <v>441</v>
      </c>
      <c r="C483" t="s">
        <v>442</v>
      </c>
      <c r="D483">
        <v>0</v>
      </c>
      <c r="E483" s="15">
        <v>0</v>
      </c>
      <c r="F483">
        <v>0</v>
      </c>
      <c r="G483">
        <v>0</v>
      </c>
      <c r="H483">
        <f>IFERROR(VLOOKUP(CENTRAL[[#This Row],[Cód]],SUB[#All],4,0),0) + CENTRAL[[#This Row],[CMM]]</f>
        <v>0</v>
      </c>
    </row>
    <row r="484" spans="1:8" x14ac:dyDescent="0.25">
      <c r="A484">
        <v>200001614</v>
      </c>
      <c r="B484" t="s">
        <v>443</v>
      </c>
      <c r="C484" t="s">
        <v>67</v>
      </c>
      <c r="D484" s="11">
        <v>0</v>
      </c>
      <c r="E484" s="15">
        <v>0</v>
      </c>
      <c r="F484">
        <v>0</v>
      </c>
      <c r="G484">
        <v>0</v>
      </c>
      <c r="H484" s="11">
        <f>IFERROR(VLOOKUP(CENTRAL[[#This Row],[Cód]],SUB[#All],4,0),0) + CENTRAL[[#This Row],[CMM]]</f>
        <v>0</v>
      </c>
    </row>
    <row r="485" spans="1:8" x14ac:dyDescent="0.25">
      <c r="A485">
        <v>200005054</v>
      </c>
      <c r="B485" t="s">
        <v>444</v>
      </c>
      <c r="C485" t="s">
        <v>67</v>
      </c>
      <c r="D485">
        <v>20.079999999999998</v>
      </c>
      <c r="E485" s="15">
        <v>219.61</v>
      </c>
      <c r="F485">
        <v>0</v>
      </c>
      <c r="G485">
        <v>171</v>
      </c>
      <c r="H485">
        <f>IFERROR(VLOOKUP(CENTRAL[[#This Row],[Cód]],SUB[#All],4,0),0) + CENTRAL[[#This Row],[CMM]]</f>
        <v>20.079999999999998</v>
      </c>
    </row>
    <row r="486" spans="1:8" x14ac:dyDescent="0.25">
      <c r="A486">
        <v>200003160</v>
      </c>
      <c r="B486" t="s">
        <v>445</v>
      </c>
      <c r="C486" t="s">
        <v>67</v>
      </c>
      <c r="D486">
        <v>0</v>
      </c>
      <c r="E486" s="15">
        <v>0</v>
      </c>
      <c r="F486">
        <v>0</v>
      </c>
      <c r="G486">
        <v>0</v>
      </c>
      <c r="H486">
        <f>IFERROR(VLOOKUP(CENTRAL[[#This Row],[Cód]],SUB[#All],4,0),0) + CENTRAL[[#This Row],[CMM]]</f>
        <v>0</v>
      </c>
    </row>
    <row r="487" spans="1:8" x14ac:dyDescent="0.25">
      <c r="A487">
        <v>200004082</v>
      </c>
      <c r="B487" t="s">
        <v>446</v>
      </c>
      <c r="C487" t="s">
        <v>96</v>
      </c>
      <c r="D487">
        <v>13.66</v>
      </c>
      <c r="E487" s="15">
        <v>51</v>
      </c>
      <c r="F487">
        <v>0</v>
      </c>
      <c r="G487">
        <v>152</v>
      </c>
      <c r="H487">
        <f>IFERROR(VLOOKUP(CENTRAL[[#This Row],[Cód]],SUB[#All],4,0),0) + CENTRAL[[#This Row],[CMM]]</f>
        <v>13.66</v>
      </c>
    </row>
    <row r="488" spans="1:8" x14ac:dyDescent="0.25">
      <c r="A488">
        <v>200003003</v>
      </c>
      <c r="B488" t="s">
        <v>446</v>
      </c>
      <c r="C488" t="s">
        <v>67</v>
      </c>
      <c r="D488">
        <v>0</v>
      </c>
      <c r="E488" s="15">
        <v>0</v>
      </c>
      <c r="F488">
        <v>0</v>
      </c>
      <c r="G488">
        <v>0</v>
      </c>
      <c r="H488">
        <f>IFERROR(VLOOKUP(CENTRAL[[#This Row],[Cód]],SUB[#All],4,0),0) + CENTRAL[[#This Row],[CMM]]</f>
        <v>0</v>
      </c>
    </row>
    <row r="489" spans="1:8" x14ac:dyDescent="0.25">
      <c r="A489">
        <v>200002114</v>
      </c>
      <c r="B489" t="s">
        <v>447</v>
      </c>
      <c r="C489" t="s">
        <v>9</v>
      </c>
      <c r="D489">
        <v>0</v>
      </c>
      <c r="E489" s="15">
        <v>0</v>
      </c>
      <c r="F489">
        <v>0</v>
      </c>
      <c r="G489">
        <v>0</v>
      </c>
      <c r="H489">
        <f>IFERROR(VLOOKUP(CENTRAL[[#This Row],[Cód]],SUB[#All],4,0),0) + CENTRAL[[#This Row],[CMM]]</f>
        <v>0</v>
      </c>
    </row>
    <row r="490" spans="1:8" x14ac:dyDescent="0.25">
      <c r="A490">
        <v>200001086</v>
      </c>
      <c r="B490" t="s">
        <v>448</v>
      </c>
      <c r="C490" t="s">
        <v>9</v>
      </c>
      <c r="D490">
        <v>0</v>
      </c>
      <c r="E490" s="15">
        <v>0</v>
      </c>
      <c r="F490">
        <v>0</v>
      </c>
      <c r="G490">
        <v>0</v>
      </c>
      <c r="H490">
        <f>IFERROR(VLOOKUP(CENTRAL[[#This Row],[Cód]],SUB[#All],4,0),0) + CENTRAL[[#This Row],[CMM]]</f>
        <v>0</v>
      </c>
    </row>
    <row r="491" spans="1:8" x14ac:dyDescent="0.25">
      <c r="A491">
        <v>200002341</v>
      </c>
      <c r="B491" t="s">
        <v>449</v>
      </c>
      <c r="C491" t="s">
        <v>9</v>
      </c>
      <c r="D491">
        <v>0.16</v>
      </c>
      <c r="E491" s="15">
        <v>5.28</v>
      </c>
      <c r="F491">
        <v>0</v>
      </c>
      <c r="G491">
        <v>25</v>
      </c>
      <c r="H491">
        <f>IFERROR(VLOOKUP(CENTRAL[[#This Row],[Cód]],SUB[#All],4,0),0) + CENTRAL[[#This Row],[CMM]]</f>
        <v>0.32</v>
      </c>
    </row>
    <row r="492" spans="1:8" x14ac:dyDescent="0.25">
      <c r="A492">
        <v>200001952</v>
      </c>
      <c r="B492" t="s">
        <v>450</v>
      </c>
      <c r="C492" t="s">
        <v>9</v>
      </c>
      <c r="D492">
        <v>0</v>
      </c>
      <c r="E492" s="15">
        <v>0</v>
      </c>
      <c r="F492">
        <v>0</v>
      </c>
      <c r="G492">
        <v>0</v>
      </c>
      <c r="H492">
        <f>IFERROR(VLOOKUP(CENTRAL[[#This Row],[Cód]],SUB[#All],4,0),0) + CENTRAL[[#This Row],[CMM]]</f>
        <v>0</v>
      </c>
    </row>
    <row r="493" spans="1:8" x14ac:dyDescent="0.25">
      <c r="A493">
        <v>200001953</v>
      </c>
      <c r="B493" t="s">
        <v>451</v>
      </c>
      <c r="C493" t="s">
        <v>9</v>
      </c>
      <c r="D493">
        <v>2.91</v>
      </c>
      <c r="E493" s="15">
        <v>6.15</v>
      </c>
      <c r="F493">
        <v>0</v>
      </c>
      <c r="G493">
        <v>37</v>
      </c>
      <c r="H493">
        <f>IFERROR(VLOOKUP(CENTRAL[[#This Row],[Cód]],SUB[#All],4,0),0) + CENTRAL[[#This Row],[CMM]]</f>
        <v>2.99</v>
      </c>
    </row>
    <row r="494" spans="1:8" x14ac:dyDescent="0.25">
      <c r="A494">
        <v>200001951</v>
      </c>
      <c r="B494" t="s">
        <v>452</v>
      </c>
      <c r="C494" t="s">
        <v>9</v>
      </c>
      <c r="D494">
        <v>0</v>
      </c>
      <c r="E494" s="15">
        <v>0</v>
      </c>
      <c r="F494">
        <v>0</v>
      </c>
      <c r="G494">
        <v>0</v>
      </c>
      <c r="H494">
        <f>IFERROR(VLOOKUP(CENTRAL[[#This Row],[Cód]],SUB[#All],4,0),0) + CENTRAL[[#This Row],[CMM]]</f>
        <v>0</v>
      </c>
    </row>
    <row r="495" spans="1:8" x14ac:dyDescent="0.25">
      <c r="A495">
        <v>200001950</v>
      </c>
      <c r="B495" t="s">
        <v>453</v>
      </c>
      <c r="C495" t="s">
        <v>9</v>
      </c>
      <c r="D495">
        <v>0</v>
      </c>
      <c r="E495" s="15">
        <v>3.71</v>
      </c>
      <c r="F495">
        <v>0</v>
      </c>
      <c r="G495">
        <v>5</v>
      </c>
      <c r="H495">
        <f>IFERROR(VLOOKUP(CENTRAL[[#This Row],[Cód]],SUB[#All],4,0),0) + CENTRAL[[#This Row],[CMM]]</f>
        <v>0</v>
      </c>
    </row>
    <row r="496" spans="1:8" x14ac:dyDescent="0.25">
      <c r="A496">
        <v>200003634</v>
      </c>
      <c r="B496" t="s">
        <v>454</v>
      </c>
      <c r="C496" t="s">
        <v>9</v>
      </c>
      <c r="D496">
        <v>0</v>
      </c>
      <c r="E496" s="15">
        <v>0</v>
      </c>
      <c r="F496">
        <v>0</v>
      </c>
      <c r="G496">
        <v>0</v>
      </c>
      <c r="H496">
        <f>IFERROR(VLOOKUP(CENTRAL[[#This Row],[Cód]],SUB[#All],4,0),0) + CENTRAL[[#This Row],[CMM]]</f>
        <v>0</v>
      </c>
    </row>
    <row r="497" spans="1:8" x14ac:dyDescent="0.25">
      <c r="A497">
        <v>200003635</v>
      </c>
      <c r="B497" t="s">
        <v>455</v>
      </c>
      <c r="C497" t="s">
        <v>9</v>
      </c>
      <c r="D497">
        <v>0</v>
      </c>
      <c r="E497" s="15">
        <v>0</v>
      </c>
      <c r="F497">
        <v>0</v>
      </c>
      <c r="G497">
        <v>0</v>
      </c>
      <c r="H497">
        <f>IFERROR(VLOOKUP(CENTRAL[[#This Row],[Cód]],SUB[#All],4,0),0) + CENTRAL[[#This Row],[CMM]]</f>
        <v>0</v>
      </c>
    </row>
    <row r="498" spans="1:8" x14ac:dyDescent="0.25">
      <c r="A498">
        <v>200001948</v>
      </c>
      <c r="B498" t="s">
        <v>456</v>
      </c>
      <c r="C498" t="s">
        <v>9</v>
      </c>
      <c r="D498">
        <v>0</v>
      </c>
      <c r="E498" s="15">
        <v>3.07</v>
      </c>
      <c r="F498">
        <v>0</v>
      </c>
      <c r="G498">
        <v>32</v>
      </c>
      <c r="H498">
        <f>IFERROR(VLOOKUP(CENTRAL[[#This Row],[Cód]],SUB[#All],4,0),0) + CENTRAL[[#This Row],[CMM]]</f>
        <v>0</v>
      </c>
    </row>
    <row r="499" spans="1:8" x14ac:dyDescent="0.25">
      <c r="A499">
        <v>200003636</v>
      </c>
      <c r="B499" t="s">
        <v>457</v>
      </c>
      <c r="C499" t="s">
        <v>9</v>
      </c>
      <c r="D499">
        <v>0</v>
      </c>
      <c r="E499" s="15">
        <v>0</v>
      </c>
      <c r="F499">
        <v>0</v>
      </c>
      <c r="G499">
        <v>0</v>
      </c>
      <c r="H499">
        <f>IFERROR(VLOOKUP(CENTRAL[[#This Row],[Cód]],SUB[#All],4,0),0) + CENTRAL[[#This Row],[CMM]]</f>
        <v>0</v>
      </c>
    </row>
    <row r="500" spans="1:8" x14ac:dyDescent="0.25">
      <c r="A500">
        <v>200001949</v>
      </c>
      <c r="B500" t="s">
        <v>458</v>
      </c>
      <c r="C500" t="s">
        <v>9</v>
      </c>
      <c r="D500">
        <v>0</v>
      </c>
      <c r="E500" s="15">
        <v>1.56</v>
      </c>
      <c r="F500">
        <v>0</v>
      </c>
      <c r="G500">
        <v>1</v>
      </c>
      <c r="H500">
        <f>IFERROR(VLOOKUP(CENTRAL[[#This Row],[Cód]],SUB[#All],4,0),0) + CENTRAL[[#This Row],[CMM]]</f>
        <v>0</v>
      </c>
    </row>
    <row r="501" spans="1:8" x14ac:dyDescent="0.25">
      <c r="A501">
        <v>200000410</v>
      </c>
      <c r="B501" t="s">
        <v>459</v>
      </c>
      <c r="C501" t="s">
        <v>9</v>
      </c>
      <c r="D501">
        <v>0.66</v>
      </c>
      <c r="E501" s="15">
        <v>1</v>
      </c>
      <c r="F501">
        <v>0</v>
      </c>
      <c r="G501">
        <v>7</v>
      </c>
      <c r="H501">
        <f>IFERROR(VLOOKUP(CENTRAL[[#This Row],[Cód]],SUB[#All],4,0),0) + CENTRAL[[#This Row],[CMM]]</f>
        <v>0.66</v>
      </c>
    </row>
    <row r="502" spans="1:8" x14ac:dyDescent="0.25">
      <c r="A502">
        <v>200000411</v>
      </c>
      <c r="B502" t="s">
        <v>460</v>
      </c>
      <c r="C502" t="s">
        <v>9</v>
      </c>
      <c r="D502">
        <v>1.25</v>
      </c>
      <c r="E502" s="15">
        <v>1.4</v>
      </c>
      <c r="F502">
        <v>0</v>
      </c>
      <c r="G502">
        <v>5</v>
      </c>
      <c r="H502">
        <f>IFERROR(VLOOKUP(CENTRAL[[#This Row],[Cód]],SUB[#All],4,0),0) + CENTRAL[[#This Row],[CMM]]</f>
        <v>1.75</v>
      </c>
    </row>
    <row r="503" spans="1:8" x14ac:dyDescent="0.25">
      <c r="A503">
        <v>200001022</v>
      </c>
      <c r="B503" t="s">
        <v>461</v>
      </c>
      <c r="C503" t="s">
        <v>9</v>
      </c>
      <c r="D503">
        <v>0.57999999999999996</v>
      </c>
      <c r="E503" s="15">
        <v>0</v>
      </c>
      <c r="F503">
        <v>0</v>
      </c>
      <c r="G503">
        <v>0</v>
      </c>
      <c r="H503">
        <f>IFERROR(VLOOKUP(CENTRAL[[#This Row],[Cód]],SUB[#All],4,0),0) + CENTRAL[[#This Row],[CMM]]</f>
        <v>0.57999999999999996</v>
      </c>
    </row>
    <row r="504" spans="1:8" x14ac:dyDescent="0.25">
      <c r="A504">
        <v>200000412</v>
      </c>
      <c r="B504" t="s">
        <v>462</v>
      </c>
      <c r="C504" t="s">
        <v>9</v>
      </c>
      <c r="D504">
        <v>0</v>
      </c>
      <c r="E504" s="15">
        <v>5</v>
      </c>
      <c r="F504">
        <v>0</v>
      </c>
      <c r="G504">
        <v>6</v>
      </c>
      <c r="H504">
        <f>IFERROR(VLOOKUP(CENTRAL[[#This Row],[Cód]],SUB[#All],4,0),0) + CENTRAL[[#This Row],[CMM]]</f>
        <v>0</v>
      </c>
    </row>
    <row r="505" spans="1:8" x14ac:dyDescent="0.25">
      <c r="A505">
        <v>200003600</v>
      </c>
      <c r="B505" t="s">
        <v>463</v>
      </c>
      <c r="C505" t="s">
        <v>9</v>
      </c>
      <c r="D505">
        <v>0</v>
      </c>
      <c r="E505" s="15">
        <v>6.02</v>
      </c>
      <c r="F505">
        <v>0</v>
      </c>
      <c r="G505">
        <v>17</v>
      </c>
      <c r="H505">
        <f>IFERROR(VLOOKUP(CENTRAL[[#This Row],[Cód]],SUB[#All],4,0),0) + CENTRAL[[#This Row],[CMM]]</f>
        <v>0</v>
      </c>
    </row>
    <row r="506" spans="1:8" x14ac:dyDescent="0.25">
      <c r="A506">
        <v>200003601</v>
      </c>
      <c r="B506" t="s">
        <v>464</v>
      </c>
      <c r="C506" t="s">
        <v>9</v>
      </c>
      <c r="D506">
        <v>0</v>
      </c>
      <c r="E506" s="15">
        <v>17</v>
      </c>
      <c r="F506">
        <v>0</v>
      </c>
      <c r="G506">
        <v>9</v>
      </c>
      <c r="H506">
        <f>IFERROR(VLOOKUP(CENTRAL[[#This Row],[Cód]],SUB[#All],4,0),0) + CENTRAL[[#This Row],[CMM]]</f>
        <v>0</v>
      </c>
    </row>
    <row r="507" spans="1:8" x14ac:dyDescent="0.25">
      <c r="A507">
        <v>200001955</v>
      </c>
      <c r="B507" t="s">
        <v>465</v>
      </c>
      <c r="C507" t="s">
        <v>9</v>
      </c>
      <c r="D507">
        <v>0</v>
      </c>
      <c r="E507" s="15">
        <v>0</v>
      </c>
      <c r="F507">
        <v>0</v>
      </c>
      <c r="G507">
        <v>0</v>
      </c>
      <c r="H507">
        <f>IFERROR(VLOOKUP(CENTRAL[[#This Row],[Cód]],SUB[#All],4,0),0) + CENTRAL[[#This Row],[CMM]]</f>
        <v>0.16</v>
      </c>
    </row>
    <row r="508" spans="1:8" x14ac:dyDescent="0.25">
      <c r="A508">
        <v>200003637</v>
      </c>
      <c r="B508" t="s">
        <v>466</v>
      </c>
      <c r="C508" t="s">
        <v>9</v>
      </c>
      <c r="D508">
        <v>0</v>
      </c>
      <c r="E508" s="15">
        <v>0</v>
      </c>
      <c r="F508">
        <v>0</v>
      </c>
      <c r="G508">
        <v>0</v>
      </c>
      <c r="H508">
        <f>IFERROR(VLOOKUP(CENTRAL[[#This Row],[Cód]],SUB[#All],4,0),0) + CENTRAL[[#This Row],[CMM]]</f>
        <v>0</v>
      </c>
    </row>
    <row r="509" spans="1:8" x14ac:dyDescent="0.25">
      <c r="A509">
        <v>200003638</v>
      </c>
      <c r="B509" t="s">
        <v>467</v>
      </c>
      <c r="C509" t="s">
        <v>9</v>
      </c>
      <c r="D509">
        <v>0</v>
      </c>
      <c r="E509" s="15">
        <v>0</v>
      </c>
      <c r="F509">
        <v>0</v>
      </c>
      <c r="G509">
        <v>0</v>
      </c>
      <c r="H509">
        <f>IFERROR(VLOOKUP(CENTRAL[[#This Row],[Cód]],SUB[#All],4,0),0) + CENTRAL[[#This Row],[CMM]]</f>
        <v>0</v>
      </c>
    </row>
    <row r="510" spans="1:8" x14ac:dyDescent="0.25">
      <c r="A510">
        <v>200001573</v>
      </c>
      <c r="B510" t="s">
        <v>468</v>
      </c>
      <c r="C510" t="s">
        <v>9</v>
      </c>
      <c r="D510">
        <v>0.5</v>
      </c>
      <c r="E510" s="15">
        <v>0.53</v>
      </c>
      <c r="F510">
        <v>0</v>
      </c>
      <c r="G510">
        <v>124</v>
      </c>
      <c r="H510">
        <f>IFERROR(VLOOKUP(CENTRAL[[#This Row],[Cód]],SUB[#All],4,0),0) + CENTRAL[[#This Row],[CMM]]</f>
        <v>0.83000000000000007</v>
      </c>
    </row>
    <row r="511" spans="1:8" x14ac:dyDescent="0.25">
      <c r="A511">
        <v>200001573</v>
      </c>
      <c r="B511" t="s">
        <v>468</v>
      </c>
      <c r="C511" t="s">
        <v>9</v>
      </c>
      <c r="D511">
        <v>0.5</v>
      </c>
      <c r="E511" s="15">
        <v>0</v>
      </c>
      <c r="F511">
        <v>0</v>
      </c>
      <c r="G511">
        <v>0</v>
      </c>
      <c r="H511">
        <f>IFERROR(VLOOKUP(CENTRAL[[#This Row],[Cód]],SUB[#All],4,0),0) + CENTRAL[[#This Row],[CMM]]</f>
        <v>0.83000000000000007</v>
      </c>
    </row>
    <row r="512" spans="1:8" x14ac:dyDescent="0.25">
      <c r="A512">
        <v>200002238</v>
      </c>
      <c r="B512" t="s">
        <v>469</v>
      </c>
      <c r="C512" t="s">
        <v>9</v>
      </c>
      <c r="D512">
        <v>0</v>
      </c>
      <c r="E512" s="15">
        <v>0</v>
      </c>
      <c r="F512">
        <v>0</v>
      </c>
      <c r="G512">
        <v>0</v>
      </c>
      <c r="H512">
        <f>IFERROR(VLOOKUP(CENTRAL[[#This Row],[Cód]],SUB[#All],4,0),0) + CENTRAL[[#This Row],[CMM]]</f>
        <v>0</v>
      </c>
    </row>
    <row r="513" spans="1:8" x14ac:dyDescent="0.25">
      <c r="A513">
        <v>200001023</v>
      </c>
      <c r="B513" t="s">
        <v>470</v>
      </c>
      <c r="C513" t="s">
        <v>9</v>
      </c>
      <c r="D513">
        <v>0</v>
      </c>
      <c r="E513" s="15">
        <v>0</v>
      </c>
      <c r="F513">
        <v>0</v>
      </c>
      <c r="G513">
        <v>0</v>
      </c>
      <c r="H513">
        <f>IFERROR(VLOOKUP(CENTRAL[[#This Row],[Cód]],SUB[#All],4,0),0) + CENTRAL[[#This Row],[CMM]]</f>
        <v>0</v>
      </c>
    </row>
    <row r="514" spans="1:8" x14ac:dyDescent="0.25">
      <c r="A514">
        <v>200003639</v>
      </c>
      <c r="B514" t="s">
        <v>471</v>
      </c>
      <c r="C514" t="s">
        <v>9</v>
      </c>
      <c r="D514">
        <v>0</v>
      </c>
      <c r="E514" s="15">
        <v>0</v>
      </c>
      <c r="F514">
        <v>0</v>
      </c>
      <c r="G514">
        <v>0</v>
      </c>
      <c r="H514">
        <f>IFERROR(VLOOKUP(CENTRAL[[#This Row],[Cód]],SUB[#All],4,0),0) + CENTRAL[[#This Row],[CMM]]</f>
        <v>0</v>
      </c>
    </row>
    <row r="515" spans="1:8" x14ac:dyDescent="0.25">
      <c r="A515">
        <v>200001954</v>
      </c>
      <c r="B515" t="s">
        <v>472</v>
      </c>
      <c r="C515" t="s">
        <v>9</v>
      </c>
      <c r="D515">
        <v>0</v>
      </c>
      <c r="E515" s="15">
        <v>0</v>
      </c>
      <c r="F515">
        <v>0</v>
      </c>
      <c r="G515">
        <v>0</v>
      </c>
      <c r="H515">
        <f>IFERROR(VLOOKUP(CENTRAL[[#This Row],[Cód]],SUB[#All],4,0),0) + CENTRAL[[#This Row],[CMM]]</f>
        <v>0</v>
      </c>
    </row>
    <row r="516" spans="1:8" x14ac:dyDescent="0.25">
      <c r="A516">
        <v>200001963</v>
      </c>
      <c r="B516" t="s">
        <v>473</v>
      </c>
      <c r="C516" t="s">
        <v>9</v>
      </c>
      <c r="D516">
        <v>5</v>
      </c>
      <c r="E516" s="15">
        <v>4</v>
      </c>
      <c r="F516">
        <v>0</v>
      </c>
      <c r="G516">
        <v>44</v>
      </c>
      <c r="H516">
        <f>IFERROR(VLOOKUP(CENTRAL[[#This Row],[Cód]],SUB[#All],4,0),0) + CENTRAL[[#This Row],[CMM]]</f>
        <v>5.91</v>
      </c>
    </row>
    <row r="517" spans="1:8" x14ac:dyDescent="0.25">
      <c r="A517">
        <v>200001574</v>
      </c>
      <c r="B517" t="s">
        <v>474</v>
      </c>
      <c r="C517" t="s">
        <v>9</v>
      </c>
      <c r="D517">
        <v>1.33</v>
      </c>
      <c r="E517" s="15">
        <v>0.5</v>
      </c>
      <c r="F517">
        <v>0</v>
      </c>
      <c r="G517">
        <v>10</v>
      </c>
      <c r="H517">
        <f>IFERROR(VLOOKUP(CENTRAL[[#This Row],[Cód]],SUB[#All],4,0),0) + CENTRAL[[#This Row],[CMM]]</f>
        <v>1.33</v>
      </c>
    </row>
    <row r="518" spans="1:8" x14ac:dyDescent="0.25">
      <c r="A518">
        <v>200001957</v>
      </c>
      <c r="B518" t="s">
        <v>475</v>
      </c>
      <c r="C518" t="s">
        <v>9</v>
      </c>
      <c r="D518">
        <v>0</v>
      </c>
      <c r="E518" s="15">
        <v>0</v>
      </c>
      <c r="F518">
        <v>0</v>
      </c>
      <c r="G518">
        <v>0</v>
      </c>
      <c r="H518">
        <f>IFERROR(VLOOKUP(CENTRAL[[#This Row],[Cód]],SUB[#All],4,0),0) + CENTRAL[[#This Row],[CMM]]</f>
        <v>0</v>
      </c>
    </row>
    <row r="519" spans="1:8" x14ac:dyDescent="0.25">
      <c r="A519">
        <v>200001575</v>
      </c>
      <c r="B519" t="s">
        <v>476</v>
      </c>
      <c r="C519" t="s">
        <v>9</v>
      </c>
      <c r="D519">
        <v>9.16</v>
      </c>
      <c r="E519" s="15">
        <v>0</v>
      </c>
      <c r="F519">
        <v>0</v>
      </c>
      <c r="G519">
        <v>0</v>
      </c>
      <c r="H519">
        <f>IFERROR(VLOOKUP(CENTRAL[[#This Row],[Cód]],SUB[#All],4,0),0) + CENTRAL[[#This Row],[CMM]]</f>
        <v>9.16</v>
      </c>
    </row>
    <row r="520" spans="1:8" x14ac:dyDescent="0.25">
      <c r="A520">
        <v>200001958</v>
      </c>
      <c r="B520" t="s">
        <v>477</v>
      </c>
      <c r="C520" t="s">
        <v>9</v>
      </c>
      <c r="D520">
        <v>0</v>
      </c>
      <c r="E520" s="15">
        <v>0</v>
      </c>
      <c r="F520">
        <v>0</v>
      </c>
      <c r="G520">
        <v>0</v>
      </c>
      <c r="H520">
        <f>IFERROR(VLOOKUP(CENTRAL[[#This Row],[Cód]],SUB[#All],4,0),0) + CENTRAL[[#This Row],[CMM]]</f>
        <v>0</v>
      </c>
    </row>
    <row r="521" spans="1:8" x14ac:dyDescent="0.25">
      <c r="A521">
        <v>200001576</v>
      </c>
      <c r="B521" t="s">
        <v>478</v>
      </c>
      <c r="C521" t="s">
        <v>9</v>
      </c>
      <c r="D521">
        <v>1.58</v>
      </c>
      <c r="E521" s="15">
        <v>0</v>
      </c>
      <c r="F521">
        <v>0</v>
      </c>
      <c r="G521">
        <v>0</v>
      </c>
      <c r="H521">
        <f>IFERROR(VLOOKUP(CENTRAL[[#This Row],[Cód]],SUB[#All],4,0),0) + CENTRAL[[#This Row],[CMM]]</f>
        <v>1.9100000000000001</v>
      </c>
    </row>
    <row r="522" spans="1:8" x14ac:dyDescent="0.25">
      <c r="A522">
        <v>200001577</v>
      </c>
      <c r="B522" t="s">
        <v>479</v>
      </c>
      <c r="C522" t="s">
        <v>9</v>
      </c>
      <c r="D522">
        <v>0</v>
      </c>
      <c r="E522" s="15">
        <v>2.2400000000000002</v>
      </c>
      <c r="F522">
        <v>0</v>
      </c>
      <c r="G522">
        <v>40</v>
      </c>
      <c r="H522">
        <f>IFERROR(VLOOKUP(CENTRAL[[#This Row],[Cód]],SUB[#All],4,0),0) + CENTRAL[[#This Row],[CMM]]</f>
        <v>0.33</v>
      </c>
    </row>
    <row r="523" spans="1:8" x14ac:dyDescent="0.25">
      <c r="A523">
        <v>200001965</v>
      </c>
      <c r="B523" t="s">
        <v>480</v>
      </c>
      <c r="C523" t="s">
        <v>9</v>
      </c>
      <c r="D523">
        <v>0.08</v>
      </c>
      <c r="E523" s="15">
        <v>2.79</v>
      </c>
      <c r="F523">
        <v>0</v>
      </c>
      <c r="G523">
        <v>9</v>
      </c>
      <c r="H523">
        <f>IFERROR(VLOOKUP(CENTRAL[[#This Row],[Cód]],SUB[#All],4,0),0) + CENTRAL[[#This Row],[CMM]]</f>
        <v>0.16</v>
      </c>
    </row>
    <row r="524" spans="1:8" x14ac:dyDescent="0.25">
      <c r="A524">
        <v>200001966</v>
      </c>
      <c r="B524" t="s">
        <v>481</v>
      </c>
      <c r="C524" t="s">
        <v>9</v>
      </c>
      <c r="D524">
        <v>0</v>
      </c>
      <c r="E524" s="15">
        <v>0</v>
      </c>
      <c r="F524">
        <v>0</v>
      </c>
      <c r="G524">
        <v>0</v>
      </c>
      <c r="H524">
        <f>IFERROR(VLOOKUP(CENTRAL[[#This Row],[Cód]],SUB[#All],4,0),0) + CENTRAL[[#This Row],[CMM]]</f>
        <v>0</v>
      </c>
    </row>
    <row r="525" spans="1:8" x14ac:dyDescent="0.25">
      <c r="A525">
        <v>200007176</v>
      </c>
      <c r="B525" t="s">
        <v>482</v>
      </c>
      <c r="C525" t="s">
        <v>9</v>
      </c>
      <c r="D525">
        <v>0</v>
      </c>
      <c r="E525" s="15">
        <v>79</v>
      </c>
      <c r="F525">
        <v>0</v>
      </c>
      <c r="G525">
        <v>4</v>
      </c>
      <c r="H525">
        <f>IFERROR(VLOOKUP(CENTRAL[[#This Row],[Cód]],SUB[#All],4,0),0) + CENTRAL[[#This Row],[CMM]]</f>
        <v>0</v>
      </c>
    </row>
    <row r="526" spans="1:8" x14ac:dyDescent="0.25">
      <c r="A526">
        <v>200000413</v>
      </c>
      <c r="B526" t="s">
        <v>483</v>
      </c>
      <c r="C526" t="s">
        <v>9</v>
      </c>
      <c r="D526">
        <v>0.75</v>
      </c>
      <c r="E526" s="15">
        <v>3.51</v>
      </c>
      <c r="F526">
        <v>0</v>
      </c>
      <c r="G526">
        <v>42</v>
      </c>
      <c r="H526">
        <f>IFERROR(VLOOKUP(CENTRAL[[#This Row],[Cód]],SUB[#All],4,0),0) + CENTRAL[[#This Row],[CMM]]</f>
        <v>1.4100000000000001</v>
      </c>
    </row>
    <row r="527" spans="1:8" x14ac:dyDescent="0.25">
      <c r="A527">
        <v>200000414</v>
      </c>
      <c r="B527" t="s">
        <v>484</v>
      </c>
      <c r="C527" t="s">
        <v>9</v>
      </c>
      <c r="D527">
        <v>0</v>
      </c>
      <c r="E527" s="15">
        <v>0</v>
      </c>
      <c r="F527">
        <v>0</v>
      </c>
      <c r="G527">
        <v>0</v>
      </c>
      <c r="H527">
        <f>IFERROR(VLOOKUP(CENTRAL[[#This Row],[Cód]],SUB[#All],4,0),0) + CENTRAL[[#This Row],[CMM]]</f>
        <v>0</v>
      </c>
    </row>
    <row r="528" spans="1:8" x14ac:dyDescent="0.25">
      <c r="A528">
        <v>200001962</v>
      </c>
      <c r="B528" t="s">
        <v>484</v>
      </c>
      <c r="C528" t="s">
        <v>9</v>
      </c>
      <c r="D528">
        <v>2.75</v>
      </c>
      <c r="E528" s="15">
        <v>2.86</v>
      </c>
      <c r="F528">
        <v>0</v>
      </c>
      <c r="G528">
        <v>110</v>
      </c>
      <c r="H528">
        <f>IFERROR(VLOOKUP(CENTRAL[[#This Row],[Cód]],SUB[#All],4,0),0) + CENTRAL[[#This Row],[CMM]]</f>
        <v>3</v>
      </c>
    </row>
    <row r="529" spans="1:8" x14ac:dyDescent="0.25">
      <c r="A529">
        <v>200000415</v>
      </c>
      <c r="B529" t="s">
        <v>485</v>
      </c>
      <c r="C529" t="s">
        <v>9</v>
      </c>
      <c r="D529">
        <v>0.33</v>
      </c>
      <c r="E529" s="15">
        <v>1.4</v>
      </c>
      <c r="F529">
        <v>0</v>
      </c>
      <c r="G529">
        <v>2</v>
      </c>
      <c r="H529">
        <f>IFERROR(VLOOKUP(CENTRAL[[#This Row],[Cód]],SUB[#All],4,0),0) + CENTRAL[[#This Row],[CMM]]</f>
        <v>0.33</v>
      </c>
    </row>
    <row r="530" spans="1:8" x14ac:dyDescent="0.25">
      <c r="A530">
        <v>200000416</v>
      </c>
      <c r="B530" t="s">
        <v>486</v>
      </c>
      <c r="C530" t="s">
        <v>9</v>
      </c>
      <c r="D530">
        <v>1.5</v>
      </c>
      <c r="E530" s="15">
        <v>1.43</v>
      </c>
      <c r="F530">
        <v>0</v>
      </c>
      <c r="G530">
        <v>83</v>
      </c>
      <c r="H530">
        <f>IFERROR(VLOOKUP(CENTRAL[[#This Row],[Cód]],SUB[#All],4,0),0) + CENTRAL[[#This Row],[CMM]]</f>
        <v>2.41</v>
      </c>
    </row>
    <row r="531" spans="1:8" x14ac:dyDescent="0.25">
      <c r="A531">
        <v>200000419</v>
      </c>
      <c r="B531" t="s">
        <v>487</v>
      </c>
      <c r="C531" t="s">
        <v>9</v>
      </c>
      <c r="D531">
        <v>0</v>
      </c>
      <c r="E531" s="15">
        <v>0</v>
      </c>
      <c r="F531">
        <v>0</v>
      </c>
      <c r="G531">
        <v>0</v>
      </c>
      <c r="H531">
        <f>IFERROR(VLOOKUP(CENTRAL[[#This Row],[Cód]],SUB[#All],4,0),0) + CENTRAL[[#This Row],[CMM]]</f>
        <v>0</v>
      </c>
    </row>
    <row r="532" spans="1:8" x14ac:dyDescent="0.25">
      <c r="A532">
        <v>200000420</v>
      </c>
      <c r="B532" t="s">
        <v>488</v>
      </c>
      <c r="C532" t="s">
        <v>9</v>
      </c>
      <c r="D532">
        <v>0.08</v>
      </c>
      <c r="E532" s="15">
        <v>3.23</v>
      </c>
      <c r="F532">
        <v>0</v>
      </c>
      <c r="G532">
        <v>41</v>
      </c>
      <c r="H532">
        <f>IFERROR(VLOOKUP(CENTRAL[[#This Row],[Cód]],SUB[#All],4,0),0) + CENTRAL[[#This Row],[CMM]]</f>
        <v>0.24</v>
      </c>
    </row>
    <row r="533" spans="1:8" x14ac:dyDescent="0.25">
      <c r="A533">
        <v>200001969</v>
      </c>
      <c r="B533" t="s">
        <v>489</v>
      </c>
      <c r="C533" t="s">
        <v>9</v>
      </c>
      <c r="D533">
        <v>0.33</v>
      </c>
      <c r="E533" s="15">
        <v>1.64</v>
      </c>
      <c r="F533">
        <v>0</v>
      </c>
      <c r="G533">
        <v>122</v>
      </c>
      <c r="H533">
        <f>IFERROR(VLOOKUP(CENTRAL[[#This Row],[Cód]],SUB[#All],4,0),0) + CENTRAL[[#This Row],[CMM]]</f>
        <v>0.49</v>
      </c>
    </row>
    <row r="534" spans="1:8" x14ac:dyDescent="0.25">
      <c r="A534">
        <v>200001956</v>
      </c>
      <c r="B534" t="s">
        <v>490</v>
      </c>
      <c r="C534" t="s">
        <v>9</v>
      </c>
      <c r="D534">
        <v>4</v>
      </c>
      <c r="E534" s="15">
        <v>6.34</v>
      </c>
      <c r="F534">
        <v>0</v>
      </c>
      <c r="G534">
        <v>5</v>
      </c>
      <c r="H534">
        <f>IFERROR(VLOOKUP(CENTRAL[[#This Row],[Cód]],SUB[#All],4,0),0) + CENTRAL[[#This Row],[CMM]]</f>
        <v>4</v>
      </c>
    </row>
    <row r="535" spans="1:8" x14ac:dyDescent="0.25">
      <c r="A535">
        <v>200001026</v>
      </c>
      <c r="B535" t="s">
        <v>491</v>
      </c>
      <c r="C535" t="s">
        <v>9</v>
      </c>
      <c r="D535">
        <v>4.83</v>
      </c>
      <c r="E535" s="15">
        <v>4.41</v>
      </c>
      <c r="F535">
        <v>0</v>
      </c>
      <c r="G535">
        <v>41</v>
      </c>
      <c r="H535">
        <f>IFERROR(VLOOKUP(CENTRAL[[#This Row],[Cód]],SUB[#All],4,0),0) + CENTRAL[[#This Row],[CMM]]</f>
        <v>5.24</v>
      </c>
    </row>
    <row r="536" spans="1:8" x14ac:dyDescent="0.25">
      <c r="A536">
        <v>200001027</v>
      </c>
      <c r="B536" t="s">
        <v>492</v>
      </c>
      <c r="C536" t="s">
        <v>9</v>
      </c>
      <c r="D536">
        <v>1.1599999999999999</v>
      </c>
      <c r="E536" s="15">
        <v>2.8</v>
      </c>
      <c r="F536">
        <v>0</v>
      </c>
      <c r="G536">
        <v>24</v>
      </c>
      <c r="H536">
        <f>IFERROR(VLOOKUP(CENTRAL[[#This Row],[Cód]],SUB[#All],4,0),0) + CENTRAL[[#This Row],[CMM]]</f>
        <v>1.24</v>
      </c>
    </row>
    <row r="537" spans="1:8" x14ac:dyDescent="0.25">
      <c r="A537">
        <v>200001028</v>
      </c>
      <c r="B537" t="s">
        <v>493</v>
      </c>
      <c r="C537" t="s">
        <v>9</v>
      </c>
      <c r="D537">
        <v>3.41</v>
      </c>
      <c r="E537" s="15">
        <v>5.8</v>
      </c>
      <c r="F537">
        <v>0</v>
      </c>
      <c r="G537">
        <v>8</v>
      </c>
      <c r="H537">
        <f>IFERROR(VLOOKUP(CENTRAL[[#This Row],[Cód]],SUB[#All],4,0),0) + CENTRAL[[#This Row],[CMM]]</f>
        <v>3.66</v>
      </c>
    </row>
    <row r="538" spans="1:8" x14ac:dyDescent="0.25">
      <c r="A538">
        <v>200001964</v>
      </c>
      <c r="B538" t="s">
        <v>494</v>
      </c>
      <c r="C538" t="s">
        <v>9</v>
      </c>
      <c r="D538">
        <v>0</v>
      </c>
      <c r="E538" s="15">
        <v>8.2799999999999994</v>
      </c>
      <c r="F538">
        <v>0</v>
      </c>
      <c r="G538">
        <v>35</v>
      </c>
      <c r="H538">
        <f>IFERROR(VLOOKUP(CENTRAL[[#This Row],[Cód]],SUB[#All],4,0),0) + CENTRAL[[#This Row],[CMM]]</f>
        <v>0</v>
      </c>
    </row>
    <row r="539" spans="1:8" x14ac:dyDescent="0.25">
      <c r="A539">
        <v>200007175</v>
      </c>
      <c r="B539" t="s">
        <v>495</v>
      </c>
      <c r="C539" t="s">
        <v>9</v>
      </c>
      <c r="D539">
        <v>0</v>
      </c>
      <c r="E539" s="15">
        <v>0</v>
      </c>
      <c r="F539">
        <v>0</v>
      </c>
      <c r="G539">
        <v>0</v>
      </c>
      <c r="H539">
        <f>IFERROR(VLOOKUP(CENTRAL[[#This Row],[Cód]],SUB[#All],4,0),0) + CENTRAL[[#This Row],[CMM]]</f>
        <v>0</v>
      </c>
    </row>
    <row r="540" spans="1:8" x14ac:dyDescent="0.25">
      <c r="A540">
        <v>200001960</v>
      </c>
      <c r="B540" t="s">
        <v>496</v>
      </c>
      <c r="C540" t="s">
        <v>9</v>
      </c>
      <c r="D540">
        <v>0</v>
      </c>
      <c r="E540" s="15">
        <v>2.0299999999999998</v>
      </c>
      <c r="F540">
        <v>0</v>
      </c>
      <c r="G540">
        <v>24</v>
      </c>
      <c r="H540">
        <f>IFERROR(VLOOKUP(CENTRAL[[#This Row],[Cód]],SUB[#All],4,0),0) + CENTRAL[[#This Row],[CMM]]</f>
        <v>0</v>
      </c>
    </row>
    <row r="541" spans="1:8" x14ac:dyDescent="0.25">
      <c r="A541">
        <v>200001959</v>
      </c>
      <c r="B541" t="s">
        <v>497</v>
      </c>
      <c r="C541" t="s">
        <v>9</v>
      </c>
      <c r="D541">
        <v>0</v>
      </c>
      <c r="E541" s="15">
        <v>1.1499999999999999</v>
      </c>
      <c r="F541">
        <v>0</v>
      </c>
      <c r="G541">
        <v>19</v>
      </c>
      <c r="H541">
        <f>IFERROR(VLOOKUP(CENTRAL[[#This Row],[Cód]],SUB[#All],4,0),0) + CENTRAL[[#This Row],[CMM]]</f>
        <v>0</v>
      </c>
    </row>
    <row r="542" spans="1:8" x14ac:dyDescent="0.25">
      <c r="A542">
        <v>200001970</v>
      </c>
      <c r="B542" t="s">
        <v>498</v>
      </c>
      <c r="C542" t="s">
        <v>9</v>
      </c>
      <c r="D542">
        <v>0</v>
      </c>
      <c r="E542" s="15">
        <v>1.25</v>
      </c>
      <c r="F542">
        <v>0</v>
      </c>
      <c r="G542">
        <v>42</v>
      </c>
      <c r="H542">
        <f>IFERROR(VLOOKUP(CENTRAL[[#This Row],[Cód]],SUB[#All],4,0),0) + CENTRAL[[#This Row],[CMM]]</f>
        <v>0</v>
      </c>
    </row>
    <row r="543" spans="1:8" x14ac:dyDescent="0.25">
      <c r="A543">
        <v>200001971</v>
      </c>
      <c r="B543" t="s">
        <v>499</v>
      </c>
      <c r="C543" t="s">
        <v>9</v>
      </c>
      <c r="D543">
        <v>2.16</v>
      </c>
      <c r="E543" s="15">
        <v>0</v>
      </c>
      <c r="F543">
        <v>0</v>
      </c>
      <c r="G543">
        <v>0</v>
      </c>
      <c r="H543">
        <f>IFERROR(VLOOKUP(CENTRAL[[#This Row],[Cód]],SUB[#All],4,0),0) + CENTRAL[[#This Row],[CMM]]</f>
        <v>2.74</v>
      </c>
    </row>
    <row r="544" spans="1:8" x14ac:dyDescent="0.25">
      <c r="A544">
        <v>200000229</v>
      </c>
      <c r="B544" t="s">
        <v>500</v>
      </c>
      <c r="C544" t="s">
        <v>9</v>
      </c>
      <c r="D544">
        <v>0</v>
      </c>
      <c r="E544" s="15">
        <v>0</v>
      </c>
      <c r="F544">
        <v>0</v>
      </c>
      <c r="G544">
        <v>0</v>
      </c>
      <c r="H544">
        <f>IFERROR(VLOOKUP(CENTRAL[[#This Row],[Cód]],SUB[#All],4,0),0) + CENTRAL[[#This Row],[CMM]]</f>
        <v>0</v>
      </c>
    </row>
    <row r="545" spans="1:8" x14ac:dyDescent="0.25">
      <c r="A545">
        <v>200000718</v>
      </c>
      <c r="B545" t="s">
        <v>501</v>
      </c>
      <c r="C545" t="s">
        <v>9</v>
      </c>
      <c r="D545">
        <v>0</v>
      </c>
      <c r="E545" s="15">
        <v>0</v>
      </c>
      <c r="F545">
        <v>0</v>
      </c>
      <c r="G545">
        <v>0</v>
      </c>
      <c r="H545">
        <f>IFERROR(VLOOKUP(CENTRAL[[#This Row],[Cód]],SUB[#All],4,0),0) + CENTRAL[[#This Row],[CMM]]</f>
        <v>0</v>
      </c>
    </row>
    <row r="546" spans="1:8" x14ac:dyDescent="0.25">
      <c r="A546">
        <v>200000718</v>
      </c>
      <c r="B546" t="s">
        <v>501</v>
      </c>
      <c r="C546" t="s">
        <v>9</v>
      </c>
      <c r="D546">
        <v>0</v>
      </c>
      <c r="E546" s="15">
        <v>62.2</v>
      </c>
      <c r="F546">
        <v>0</v>
      </c>
      <c r="G546">
        <v>12</v>
      </c>
      <c r="H546">
        <f>IFERROR(VLOOKUP(CENTRAL[[#This Row],[Cód]],SUB[#All],4,0),0) + CENTRAL[[#This Row],[CMM]]</f>
        <v>0</v>
      </c>
    </row>
    <row r="547" spans="1:8" x14ac:dyDescent="0.25">
      <c r="A547">
        <v>200000227</v>
      </c>
      <c r="B547" t="s">
        <v>502</v>
      </c>
      <c r="C547" t="s">
        <v>9</v>
      </c>
      <c r="D547">
        <v>0</v>
      </c>
      <c r="E547" s="15">
        <v>0</v>
      </c>
      <c r="F547">
        <v>0</v>
      </c>
      <c r="G547">
        <v>0</v>
      </c>
      <c r="H547">
        <f>IFERROR(VLOOKUP(CENTRAL[[#This Row],[Cód]],SUB[#All],4,0),0) + CENTRAL[[#This Row],[CMM]]</f>
        <v>0</v>
      </c>
    </row>
    <row r="548" spans="1:8" x14ac:dyDescent="0.25">
      <c r="A548">
        <v>200001591</v>
      </c>
      <c r="B548" t="s">
        <v>503</v>
      </c>
      <c r="C548" t="s">
        <v>9</v>
      </c>
      <c r="D548">
        <v>0.33</v>
      </c>
      <c r="E548" s="15">
        <v>0</v>
      </c>
      <c r="F548">
        <v>0</v>
      </c>
      <c r="G548">
        <v>0</v>
      </c>
      <c r="H548">
        <f>IFERROR(VLOOKUP(CENTRAL[[#This Row],[Cód]],SUB[#All],4,0),0) + CENTRAL[[#This Row],[CMM]]</f>
        <v>0.33</v>
      </c>
    </row>
    <row r="549" spans="1:8" x14ac:dyDescent="0.25">
      <c r="A549">
        <v>200000228</v>
      </c>
      <c r="B549" t="s">
        <v>504</v>
      </c>
      <c r="C549" t="s">
        <v>9</v>
      </c>
      <c r="D549">
        <v>0</v>
      </c>
      <c r="E549" s="15">
        <v>0</v>
      </c>
      <c r="F549">
        <v>0</v>
      </c>
      <c r="G549">
        <v>0</v>
      </c>
      <c r="H549">
        <f>IFERROR(VLOOKUP(CENTRAL[[#This Row],[Cód]],SUB[#All],4,0),0) + CENTRAL[[#This Row],[CMM]]</f>
        <v>0</v>
      </c>
    </row>
    <row r="550" spans="1:8" x14ac:dyDescent="0.25">
      <c r="A550">
        <v>200000605</v>
      </c>
      <c r="B550" t="s">
        <v>505</v>
      </c>
      <c r="C550" t="s">
        <v>9</v>
      </c>
      <c r="D550">
        <v>0</v>
      </c>
      <c r="E550" s="15">
        <v>0</v>
      </c>
      <c r="F550">
        <v>0</v>
      </c>
      <c r="G550">
        <v>0</v>
      </c>
      <c r="H550">
        <f>IFERROR(VLOOKUP(CENTRAL[[#This Row],[Cód]],SUB[#All],4,0),0) + CENTRAL[[#This Row],[CMM]]</f>
        <v>0</v>
      </c>
    </row>
    <row r="551" spans="1:8" x14ac:dyDescent="0.25">
      <c r="A551">
        <v>200000172</v>
      </c>
      <c r="B551" t="s">
        <v>506</v>
      </c>
      <c r="C551" t="s">
        <v>9</v>
      </c>
      <c r="D551">
        <v>0</v>
      </c>
      <c r="E551" s="15">
        <v>16</v>
      </c>
      <c r="F551">
        <v>0</v>
      </c>
      <c r="G551">
        <v>8</v>
      </c>
      <c r="H551">
        <f>IFERROR(VLOOKUP(CENTRAL[[#This Row],[Cód]],SUB[#All],4,0),0) + CENTRAL[[#This Row],[CMM]]</f>
        <v>0</v>
      </c>
    </row>
    <row r="552" spans="1:8" x14ac:dyDescent="0.25">
      <c r="A552">
        <v>200001593</v>
      </c>
      <c r="B552" t="s">
        <v>507</v>
      </c>
      <c r="C552" t="s">
        <v>9</v>
      </c>
      <c r="D552">
        <v>0</v>
      </c>
      <c r="E552" s="15">
        <v>32</v>
      </c>
      <c r="F552">
        <v>0</v>
      </c>
      <c r="G552">
        <v>9</v>
      </c>
      <c r="H552">
        <f>IFERROR(VLOOKUP(CENTRAL[[#This Row],[Cód]],SUB[#All],4,0),0) + CENTRAL[[#This Row],[CMM]]</f>
        <v>0</v>
      </c>
    </row>
    <row r="553" spans="1:8" x14ac:dyDescent="0.25">
      <c r="A553">
        <v>200001312</v>
      </c>
      <c r="B553" t="s">
        <v>508</v>
      </c>
      <c r="C553" t="s">
        <v>9</v>
      </c>
      <c r="D553">
        <v>0</v>
      </c>
      <c r="E553" s="15">
        <v>19</v>
      </c>
      <c r="F553">
        <v>0</v>
      </c>
      <c r="G553">
        <v>11</v>
      </c>
      <c r="H553">
        <f>IFERROR(VLOOKUP(CENTRAL[[#This Row],[Cód]],SUB[#All],4,0),0) + CENTRAL[[#This Row],[CMM]]</f>
        <v>0</v>
      </c>
    </row>
    <row r="554" spans="1:8" x14ac:dyDescent="0.25">
      <c r="A554">
        <v>200001312</v>
      </c>
      <c r="B554" t="s">
        <v>508</v>
      </c>
      <c r="C554" t="s">
        <v>9</v>
      </c>
      <c r="D554">
        <v>0</v>
      </c>
      <c r="E554" s="15">
        <v>0</v>
      </c>
      <c r="F554">
        <v>0</v>
      </c>
      <c r="G554">
        <v>0</v>
      </c>
      <c r="H554">
        <f>IFERROR(VLOOKUP(CENTRAL[[#This Row],[Cód]],SUB[#All],4,0),0) + CENTRAL[[#This Row],[CMM]]</f>
        <v>0</v>
      </c>
    </row>
    <row r="555" spans="1:8" x14ac:dyDescent="0.25">
      <c r="A555">
        <v>200007012</v>
      </c>
      <c r="B555" t="s">
        <v>509</v>
      </c>
      <c r="C555" t="s">
        <v>9</v>
      </c>
      <c r="D555">
        <v>0.71</v>
      </c>
      <c r="E555" s="15">
        <v>8.3000000000000007</v>
      </c>
      <c r="F555">
        <v>0</v>
      </c>
      <c r="G555">
        <v>35</v>
      </c>
      <c r="H555">
        <f>IFERROR(VLOOKUP(CENTRAL[[#This Row],[Cód]],SUB[#All],4,0),0) + CENTRAL[[#This Row],[CMM]]</f>
        <v>0.71</v>
      </c>
    </row>
    <row r="556" spans="1:8" x14ac:dyDescent="0.25">
      <c r="A556">
        <v>200007120</v>
      </c>
      <c r="B556" t="s">
        <v>510</v>
      </c>
      <c r="C556" t="s">
        <v>9</v>
      </c>
      <c r="D556">
        <v>0.85</v>
      </c>
      <c r="E556" s="15">
        <v>15.13</v>
      </c>
      <c r="F556">
        <v>0</v>
      </c>
      <c r="G556">
        <v>34</v>
      </c>
      <c r="H556">
        <f>IFERROR(VLOOKUP(CENTRAL[[#This Row],[Cód]],SUB[#All],4,0),0) + CENTRAL[[#This Row],[CMM]]</f>
        <v>0.85</v>
      </c>
    </row>
    <row r="557" spans="1:8" x14ac:dyDescent="0.25">
      <c r="A557">
        <v>200006763</v>
      </c>
      <c r="B557" t="s">
        <v>511</v>
      </c>
      <c r="C557" t="s">
        <v>9</v>
      </c>
      <c r="D557">
        <v>2.2799999999999998</v>
      </c>
      <c r="E557" s="15">
        <v>19.079999999999998</v>
      </c>
      <c r="F557">
        <v>0</v>
      </c>
      <c r="G557">
        <v>24</v>
      </c>
      <c r="H557">
        <f>IFERROR(VLOOKUP(CENTRAL[[#This Row],[Cód]],SUB[#All],4,0),0) + CENTRAL[[#This Row],[CMM]]</f>
        <v>2.2799999999999998</v>
      </c>
    </row>
    <row r="558" spans="1:8" x14ac:dyDescent="0.25">
      <c r="A558">
        <v>200006762</v>
      </c>
      <c r="B558" t="s">
        <v>512</v>
      </c>
      <c r="C558" t="s">
        <v>9</v>
      </c>
      <c r="D558">
        <v>0.85</v>
      </c>
      <c r="E558" s="15">
        <v>14.78</v>
      </c>
      <c r="F558">
        <v>0</v>
      </c>
      <c r="G558">
        <v>34</v>
      </c>
      <c r="H558">
        <f>IFERROR(VLOOKUP(CENTRAL[[#This Row],[Cód]],SUB[#All],4,0),0) + CENTRAL[[#This Row],[CMM]]</f>
        <v>0.85</v>
      </c>
    </row>
    <row r="559" spans="1:8" x14ac:dyDescent="0.25">
      <c r="A559">
        <v>200006764</v>
      </c>
      <c r="B559" t="s">
        <v>513</v>
      </c>
      <c r="C559" t="s">
        <v>9</v>
      </c>
      <c r="D559">
        <v>0.14000000000000001</v>
      </c>
      <c r="E559" s="15">
        <v>19.940000000000001</v>
      </c>
      <c r="F559">
        <v>0</v>
      </c>
      <c r="G559">
        <v>14</v>
      </c>
      <c r="H559">
        <f>IFERROR(VLOOKUP(CENTRAL[[#This Row],[Cód]],SUB[#All],4,0),0) + CENTRAL[[#This Row],[CMM]]</f>
        <v>0.14000000000000001</v>
      </c>
    </row>
    <row r="560" spans="1:8" x14ac:dyDescent="0.25">
      <c r="A560">
        <v>200003532</v>
      </c>
      <c r="B560" t="s">
        <v>514</v>
      </c>
      <c r="C560" t="s">
        <v>9</v>
      </c>
      <c r="D560">
        <v>0</v>
      </c>
      <c r="E560" s="15">
        <v>895</v>
      </c>
      <c r="F560">
        <v>0</v>
      </c>
      <c r="G560">
        <v>8</v>
      </c>
      <c r="H560">
        <f>IFERROR(VLOOKUP(CENTRAL[[#This Row],[Cód]],SUB[#All],4,0),0) + CENTRAL[[#This Row],[CMM]]</f>
        <v>0</v>
      </c>
    </row>
    <row r="561" spans="1:8" x14ac:dyDescent="0.25">
      <c r="A561">
        <v>200006195</v>
      </c>
      <c r="B561" t="s">
        <v>515</v>
      </c>
      <c r="C561" t="s">
        <v>9</v>
      </c>
      <c r="D561">
        <v>0</v>
      </c>
      <c r="E561" s="15">
        <v>72.34</v>
      </c>
      <c r="F561">
        <v>0</v>
      </c>
      <c r="G561">
        <v>25</v>
      </c>
      <c r="H561">
        <f>IFERROR(VLOOKUP(CENTRAL[[#This Row],[Cód]],SUB[#All],4,0),0) + CENTRAL[[#This Row],[CMM]]</f>
        <v>0</v>
      </c>
    </row>
    <row r="562" spans="1:8" x14ac:dyDescent="0.25">
      <c r="A562">
        <v>200000423</v>
      </c>
      <c r="B562" t="s">
        <v>516</v>
      </c>
      <c r="C562" t="s">
        <v>9</v>
      </c>
      <c r="D562">
        <v>0.16</v>
      </c>
      <c r="E562" s="15">
        <v>48.3</v>
      </c>
      <c r="F562">
        <v>0</v>
      </c>
      <c r="G562">
        <v>2</v>
      </c>
      <c r="H562">
        <f>IFERROR(VLOOKUP(CENTRAL[[#This Row],[Cód]],SUB[#All],4,0),0) + CENTRAL[[#This Row],[CMM]]</f>
        <v>0.32</v>
      </c>
    </row>
    <row r="563" spans="1:8" x14ac:dyDescent="0.25">
      <c r="A563">
        <v>200000424</v>
      </c>
      <c r="B563" t="s">
        <v>517</v>
      </c>
      <c r="C563" t="s">
        <v>9</v>
      </c>
      <c r="D563">
        <v>0.33</v>
      </c>
      <c r="E563" s="15">
        <v>67.42</v>
      </c>
      <c r="F563">
        <v>0</v>
      </c>
      <c r="G563">
        <v>48</v>
      </c>
      <c r="H563">
        <f>IFERROR(VLOOKUP(CENTRAL[[#This Row],[Cód]],SUB[#All],4,0),0) + CENTRAL[[#This Row],[CMM]]</f>
        <v>0.49</v>
      </c>
    </row>
    <row r="564" spans="1:8" x14ac:dyDescent="0.25">
      <c r="A564">
        <v>200001030</v>
      </c>
      <c r="B564" t="s">
        <v>518</v>
      </c>
      <c r="C564" t="s">
        <v>9</v>
      </c>
      <c r="D564">
        <v>0</v>
      </c>
      <c r="E564" s="15">
        <v>0</v>
      </c>
      <c r="F564">
        <v>0</v>
      </c>
      <c r="G564">
        <v>0</v>
      </c>
      <c r="H564">
        <f>IFERROR(VLOOKUP(CENTRAL[[#This Row],[Cód]],SUB[#All],4,0),0) + CENTRAL[[#This Row],[CMM]]</f>
        <v>0</v>
      </c>
    </row>
    <row r="565" spans="1:8" x14ac:dyDescent="0.25">
      <c r="A565">
        <v>200006272</v>
      </c>
      <c r="B565" t="s">
        <v>519</v>
      </c>
      <c r="C565" t="s">
        <v>9</v>
      </c>
      <c r="D565">
        <v>0</v>
      </c>
      <c r="E565" s="15">
        <v>0</v>
      </c>
      <c r="F565">
        <v>0</v>
      </c>
      <c r="G565">
        <v>0</v>
      </c>
      <c r="H565">
        <f>IFERROR(VLOOKUP(CENTRAL[[#This Row],[Cód]],SUB[#All],4,0),0) + CENTRAL[[#This Row],[CMM]]</f>
        <v>0</v>
      </c>
    </row>
    <row r="566" spans="1:8" x14ac:dyDescent="0.25">
      <c r="A566">
        <v>200006873</v>
      </c>
      <c r="B566" t="s">
        <v>520</v>
      </c>
      <c r="C566" t="s">
        <v>9</v>
      </c>
      <c r="D566">
        <v>0</v>
      </c>
      <c r="E566" s="15">
        <v>511.03</v>
      </c>
      <c r="F566">
        <v>0</v>
      </c>
      <c r="G566">
        <v>18</v>
      </c>
      <c r="H566">
        <f>IFERROR(VLOOKUP(CENTRAL[[#This Row],[Cód]],SUB[#All],4,0),0) + CENTRAL[[#This Row],[CMM]]</f>
        <v>0</v>
      </c>
    </row>
    <row r="567" spans="1:8" x14ac:dyDescent="0.25">
      <c r="A567">
        <v>200002212</v>
      </c>
      <c r="B567" t="s">
        <v>521</v>
      </c>
      <c r="C567" t="s">
        <v>9</v>
      </c>
      <c r="D567">
        <v>0</v>
      </c>
      <c r="E567" s="15">
        <v>0</v>
      </c>
      <c r="F567">
        <v>0</v>
      </c>
      <c r="G567">
        <v>0</v>
      </c>
      <c r="H567">
        <f>IFERROR(VLOOKUP(CENTRAL[[#This Row],[Cód]],SUB[#All],4,0),0) + CENTRAL[[#This Row],[CMM]]</f>
        <v>0</v>
      </c>
    </row>
    <row r="568" spans="1:8" x14ac:dyDescent="0.25">
      <c r="A568">
        <v>200005238</v>
      </c>
      <c r="B568" t="s">
        <v>522</v>
      </c>
      <c r="C568" t="s">
        <v>9</v>
      </c>
      <c r="D568">
        <v>5.41</v>
      </c>
      <c r="E568" s="15">
        <v>0</v>
      </c>
      <c r="F568">
        <v>0</v>
      </c>
      <c r="G568">
        <v>0</v>
      </c>
      <c r="H568">
        <f>IFERROR(VLOOKUP(CENTRAL[[#This Row],[Cód]],SUB[#All],4,0),0) + CENTRAL[[#This Row],[CMM]]</f>
        <v>5.41</v>
      </c>
    </row>
    <row r="569" spans="1:8" x14ac:dyDescent="0.25">
      <c r="A569">
        <v>200007197</v>
      </c>
      <c r="B569" t="s">
        <v>523</v>
      </c>
      <c r="C569" t="s">
        <v>9</v>
      </c>
      <c r="D569">
        <v>1.5</v>
      </c>
      <c r="E569" s="15">
        <v>141.85</v>
      </c>
      <c r="F569">
        <v>0</v>
      </c>
      <c r="G569">
        <v>122</v>
      </c>
      <c r="H569">
        <f>IFERROR(VLOOKUP(CENTRAL[[#This Row],[Cód]],SUB[#All],4,0),0) + CENTRAL[[#This Row],[CMM]]</f>
        <v>1.5</v>
      </c>
    </row>
    <row r="570" spans="1:8" x14ac:dyDescent="0.25">
      <c r="A570">
        <v>200004132</v>
      </c>
      <c r="B570" t="s">
        <v>524</v>
      </c>
      <c r="C570" t="s">
        <v>9</v>
      </c>
      <c r="D570">
        <v>0.33</v>
      </c>
      <c r="E570" s="15">
        <v>57.32</v>
      </c>
      <c r="F570">
        <v>0</v>
      </c>
      <c r="G570">
        <v>33</v>
      </c>
      <c r="H570">
        <f>IFERROR(VLOOKUP(CENTRAL[[#This Row],[Cód]],SUB[#All],4,0),0) + CENTRAL[[#This Row],[CMM]]</f>
        <v>0.49</v>
      </c>
    </row>
    <row r="571" spans="1:8" x14ac:dyDescent="0.25">
      <c r="A571">
        <v>200006196</v>
      </c>
      <c r="B571" t="s">
        <v>525</v>
      </c>
      <c r="C571" t="s">
        <v>9</v>
      </c>
      <c r="D571">
        <v>1</v>
      </c>
      <c r="E571" s="15">
        <v>73.12</v>
      </c>
      <c r="F571">
        <v>0</v>
      </c>
      <c r="G571">
        <v>50</v>
      </c>
      <c r="H571">
        <f>IFERROR(VLOOKUP(CENTRAL[[#This Row],[Cód]],SUB[#All],4,0),0) + CENTRAL[[#This Row],[CMM]]</f>
        <v>1</v>
      </c>
    </row>
    <row r="572" spans="1:8" x14ac:dyDescent="0.25">
      <c r="A572">
        <v>200000425</v>
      </c>
      <c r="B572" t="s">
        <v>526</v>
      </c>
      <c r="C572" t="s">
        <v>9</v>
      </c>
      <c r="D572">
        <v>11.25</v>
      </c>
      <c r="E572" s="15">
        <v>22.49</v>
      </c>
      <c r="F572">
        <v>0</v>
      </c>
      <c r="G572">
        <v>108</v>
      </c>
      <c r="H572">
        <f>IFERROR(VLOOKUP(CENTRAL[[#This Row],[Cód]],SUB[#All],4,0),0) + CENTRAL[[#This Row],[CMM]]</f>
        <v>13.25</v>
      </c>
    </row>
    <row r="573" spans="1:8" x14ac:dyDescent="0.25">
      <c r="A573">
        <v>200000426</v>
      </c>
      <c r="B573" t="s">
        <v>527</v>
      </c>
      <c r="C573" t="s">
        <v>9</v>
      </c>
      <c r="D573">
        <v>0.16</v>
      </c>
      <c r="E573" s="15">
        <v>14.44</v>
      </c>
      <c r="F573">
        <v>0</v>
      </c>
      <c r="G573">
        <v>46</v>
      </c>
      <c r="H573">
        <f>IFERROR(VLOOKUP(CENTRAL[[#This Row],[Cód]],SUB[#All],4,0),0) + CENTRAL[[#This Row],[CMM]]</f>
        <v>0.32</v>
      </c>
    </row>
    <row r="574" spans="1:8" x14ac:dyDescent="0.25">
      <c r="A574">
        <v>200000427</v>
      </c>
      <c r="B574" t="s">
        <v>528</v>
      </c>
      <c r="C574" t="s">
        <v>9</v>
      </c>
      <c r="D574">
        <v>0.16</v>
      </c>
      <c r="E574" s="15">
        <v>13</v>
      </c>
      <c r="F574">
        <v>0</v>
      </c>
      <c r="G574">
        <v>46</v>
      </c>
      <c r="H574">
        <f>IFERROR(VLOOKUP(CENTRAL[[#This Row],[Cód]],SUB[#All],4,0),0) + CENTRAL[[#This Row],[CMM]]</f>
        <v>0.32</v>
      </c>
    </row>
    <row r="575" spans="1:8" x14ac:dyDescent="0.25">
      <c r="A575">
        <v>200004995</v>
      </c>
      <c r="B575" t="s">
        <v>529</v>
      </c>
      <c r="C575" t="s">
        <v>9</v>
      </c>
      <c r="D575">
        <v>0.08</v>
      </c>
      <c r="E575" s="15">
        <v>0</v>
      </c>
      <c r="F575">
        <v>0</v>
      </c>
      <c r="G575">
        <v>0</v>
      </c>
      <c r="H575">
        <f>IFERROR(VLOOKUP(CENTRAL[[#This Row],[Cód]],SUB[#All],4,0),0) + CENTRAL[[#This Row],[CMM]]</f>
        <v>0.08</v>
      </c>
    </row>
    <row r="576" spans="1:8" x14ac:dyDescent="0.25">
      <c r="A576">
        <v>200006422</v>
      </c>
      <c r="B576" t="s">
        <v>530</v>
      </c>
      <c r="C576" t="s">
        <v>9</v>
      </c>
      <c r="D576">
        <v>0</v>
      </c>
      <c r="E576" s="15">
        <v>0</v>
      </c>
      <c r="F576">
        <v>0</v>
      </c>
      <c r="G576">
        <v>0</v>
      </c>
      <c r="H576">
        <f>IFERROR(VLOOKUP(CENTRAL[[#This Row],[Cód]],SUB[#All],4,0),0) + CENTRAL[[#This Row],[CMM]]</f>
        <v>0</v>
      </c>
    </row>
    <row r="577" spans="1:8" x14ac:dyDescent="0.25">
      <c r="A577">
        <v>200002716</v>
      </c>
      <c r="B577" t="s">
        <v>531</v>
      </c>
      <c r="C577" t="s">
        <v>9</v>
      </c>
      <c r="D577">
        <v>50.5</v>
      </c>
      <c r="E577" s="15">
        <v>0.38</v>
      </c>
      <c r="F577">
        <v>50</v>
      </c>
      <c r="G577">
        <v>331</v>
      </c>
      <c r="H577">
        <f>IFERROR(VLOOKUP(CENTRAL[[#This Row],[Cód]],SUB[#All],4,0),0) + CENTRAL[[#This Row],[CMM]]</f>
        <v>60.5</v>
      </c>
    </row>
    <row r="578" spans="1:8" x14ac:dyDescent="0.25">
      <c r="A578">
        <v>200002717</v>
      </c>
      <c r="B578" t="s">
        <v>532</v>
      </c>
      <c r="C578" t="s">
        <v>9</v>
      </c>
      <c r="D578">
        <v>39.159999999999997</v>
      </c>
      <c r="E578" s="15">
        <v>0.38</v>
      </c>
      <c r="F578">
        <v>0</v>
      </c>
      <c r="G578">
        <v>581</v>
      </c>
      <c r="H578">
        <f>IFERROR(VLOOKUP(CENTRAL[[#This Row],[Cód]],SUB[#All],4,0),0) + CENTRAL[[#This Row],[CMM]]</f>
        <v>45.489999999999995</v>
      </c>
    </row>
    <row r="579" spans="1:8" x14ac:dyDescent="0.25">
      <c r="A579">
        <v>200007183</v>
      </c>
      <c r="B579" t="s">
        <v>533</v>
      </c>
      <c r="C579" t="s">
        <v>9</v>
      </c>
      <c r="D579">
        <v>0.2</v>
      </c>
      <c r="E579" s="15">
        <v>1.38</v>
      </c>
      <c r="F579">
        <v>0</v>
      </c>
      <c r="G579">
        <v>7</v>
      </c>
      <c r="H579">
        <f>IFERROR(VLOOKUP(CENTRAL[[#This Row],[Cód]],SUB[#All],4,0),0) + CENTRAL[[#This Row],[CMM]]</f>
        <v>0.2</v>
      </c>
    </row>
    <row r="580" spans="1:8" x14ac:dyDescent="0.25">
      <c r="A580">
        <v>200000456</v>
      </c>
      <c r="B580" t="s">
        <v>534</v>
      </c>
      <c r="C580" t="s">
        <v>9</v>
      </c>
      <c r="D580">
        <v>8.75</v>
      </c>
      <c r="E580" s="15">
        <v>2.41</v>
      </c>
      <c r="F580">
        <v>0</v>
      </c>
      <c r="G580">
        <v>108</v>
      </c>
      <c r="H580">
        <f>IFERROR(VLOOKUP(CENTRAL[[#This Row],[Cód]],SUB[#All],4,0),0) + CENTRAL[[#This Row],[CMM]]</f>
        <v>13.33</v>
      </c>
    </row>
    <row r="581" spans="1:8" x14ac:dyDescent="0.25">
      <c r="A581">
        <v>200004289</v>
      </c>
      <c r="B581" t="s">
        <v>535</v>
      </c>
      <c r="C581" t="s">
        <v>9</v>
      </c>
      <c r="D581">
        <v>0</v>
      </c>
      <c r="E581" s="15">
        <v>0</v>
      </c>
      <c r="F581">
        <v>0</v>
      </c>
      <c r="G581">
        <v>0</v>
      </c>
      <c r="H581">
        <f>IFERROR(VLOOKUP(CENTRAL[[#This Row],[Cód]],SUB[#All],4,0),0) + CENTRAL[[#This Row],[CMM]]</f>
        <v>0</v>
      </c>
    </row>
    <row r="582" spans="1:8" x14ac:dyDescent="0.25">
      <c r="A582">
        <v>200004291</v>
      </c>
      <c r="B582" t="s">
        <v>536</v>
      </c>
      <c r="C582" t="s">
        <v>9</v>
      </c>
      <c r="D582">
        <v>0</v>
      </c>
      <c r="E582" s="15">
        <v>0</v>
      </c>
      <c r="F582">
        <v>0</v>
      </c>
      <c r="G582">
        <v>0</v>
      </c>
      <c r="H582">
        <f>IFERROR(VLOOKUP(CENTRAL[[#This Row],[Cód]],SUB[#All],4,0),0) + CENTRAL[[#This Row],[CMM]]</f>
        <v>0</v>
      </c>
    </row>
    <row r="583" spans="1:8" x14ac:dyDescent="0.25">
      <c r="A583">
        <v>200004286</v>
      </c>
      <c r="B583" t="s">
        <v>537</v>
      </c>
      <c r="C583" t="s">
        <v>9</v>
      </c>
      <c r="D583">
        <v>0</v>
      </c>
      <c r="E583" s="15">
        <v>0</v>
      </c>
      <c r="F583">
        <v>0</v>
      </c>
      <c r="G583">
        <v>0</v>
      </c>
      <c r="H583">
        <f>IFERROR(VLOOKUP(CENTRAL[[#This Row],[Cód]],SUB[#All],4,0),0) + CENTRAL[[#This Row],[CMM]]</f>
        <v>0</v>
      </c>
    </row>
    <row r="584" spans="1:8" x14ac:dyDescent="0.25">
      <c r="A584">
        <v>200001615</v>
      </c>
      <c r="B584" t="s">
        <v>538</v>
      </c>
      <c r="C584" t="s">
        <v>9</v>
      </c>
      <c r="D584">
        <v>2.5</v>
      </c>
      <c r="E584" s="15">
        <v>1.67</v>
      </c>
      <c r="F584">
        <v>0</v>
      </c>
      <c r="G584">
        <v>18</v>
      </c>
      <c r="H584">
        <f>IFERROR(VLOOKUP(CENTRAL[[#This Row],[Cód]],SUB[#All],4,0),0) + CENTRAL[[#This Row],[CMM]]</f>
        <v>2.5</v>
      </c>
    </row>
    <row r="585" spans="1:8" x14ac:dyDescent="0.25">
      <c r="A585">
        <v>200007178</v>
      </c>
      <c r="B585" t="s">
        <v>539</v>
      </c>
      <c r="C585" t="s">
        <v>9</v>
      </c>
      <c r="D585">
        <v>1.6</v>
      </c>
      <c r="E585" s="15">
        <v>0</v>
      </c>
      <c r="F585">
        <v>0</v>
      </c>
      <c r="G585">
        <v>0</v>
      </c>
      <c r="H585">
        <f>IFERROR(VLOOKUP(CENTRAL[[#This Row],[Cód]],SUB[#All],4,0),0) + CENTRAL[[#This Row],[CMM]]</f>
        <v>1.6</v>
      </c>
    </row>
    <row r="586" spans="1:8" x14ac:dyDescent="0.25">
      <c r="A586">
        <v>200001616</v>
      </c>
      <c r="B586" t="s">
        <v>540</v>
      </c>
      <c r="C586" t="s">
        <v>9</v>
      </c>
      <c r="D586">
        <v>0</v>
      </c>
      <c r="E586" s="15">
        <v>0</v>
      </c>
      <c r="F586">
        <v>0</v>
      </c>
      <c r="G586">
        <v>0</v>
      </c>
      <c r="H586">
        <f>IFERROR(VLOOKUP(CENTRAL[[#This Row],[Cód]],SUB[#All],4,0),0) + CENTRAL[[#This Row],[CMM]]</f>
        <v>0</v>
      </c>
    </row>
    <row r="587" spans="1:8" x14ac:dyDescent="0.25">
      <c r="A587">
        <v>200000457</v>
      </c>
      <c r="B587" t="s">
        <v>541</v>
      </c>
      <c r="C587" t="s">
        <v>9</v>
      </c>
      <c r="D587">
        <v>0</v>
      </c>
      <c r="E587" s="15">
        <v>0</v>
      </c>
      <c r="F587">
        <v>0</v>
      </c>
      <c r="G587">
        <v>0</v>
      </c>
      <c r="H587">
        <f>IFERROR(VLOOKUP(CENTRAL[[#This Row],[Cód]],SUB[#All],4,0),0) + CENTRAL[[#This Row],[CMM]]</f>
        <v>0</v>
      </c>
    </row>
    <row r="588" spans="1:8" x14ac:dyDescent="0.25">
      <c r="A588">
        <v>200000459</v>
      </c>
      <c r="B588" t="s">
        <v>542</v>
      </c>
      <c r="C588" t="s">
        <v>9</v>
      </c>
      <c r="D588">
        <v>0</v>
      </c>
      <c r="E588" s="15">
        <v>0</v>
      </c>
      <c r="F588">
        <v>0</v>
      </c>
      <c r="G588">
        <v>0</v>
      </c>
      <c r="H588">
        <f>IFERROR(VLOOKUP(CENTRAL[[#This Row],[Cód]],SUB[#All],4,0),0) + CENTRAL[[#This Row],[CMM]]</f>
        <v>0</v>
      </c>
    </row>
    <row r="589" spans="1:8" x14ac:dyDescent="0.25">
      <c r="A589">
        <v>200000458</v>
      </c>
      <c r="B589" t="s">
        <v>543</v>
      </c>
      <c r="C589" t="s">
        <v>9</v>
      </c>
      <c r="D589">
        <v>0</v>
      </c>
      <c r="E589" s="15">
        <v>0</v>
      </c>
      <c r="F589">
        <v>0</v>
      </c>
      <c r="G589">
        <v>0</v>
      </c>
      <c r="H589">
        <f>IFERROR(VLOOKUP(CENTRAL[[#This Row],[Cód]],SUB[#All],4,0),0) + CENTRAL[[#This Row],[CMM]]</f>
        <v>0</v>
      </c>
    </row>
    <row r="590" spans="1:8" x14ac:dyDescent="0.25">
      <c r="A590">
        <v>200000460</v>
      </c>
      <c r="B590" t="s">
        <v>544</v>
      </c>
      <c r="C590" t="s">
        <v>294</v>
      </c>
      <c r="D590">
        <v>7.83</v>
      </c>
      <c r="E590" s="15">
        <v>0</v>
      </c>
      <c r="F590">
        <v>0</v>
      </c>
      <c r="G590">
        <v>0</v>
      </c>
      <c r="H590">
        <f>IFERROR(VLOOKUP(CENTRAL[[#This Row],[Cód]],SUB[#All],4,0),0) + CENTRAL[[#This Row],[CMM]]</f>
        <v>10.33</v>
      </c>
    </row>
    <row r="591" spans="1:8" x14ac:dyDescent="0.25">
      <c r="A591">
        <v>200000463</v>
      </c>
      <c r="B591" t="s">
        <v>545</v>
      </c>
      <c r="C591" t="s">
        <v>546</v>
      </c>
      <c r="D591">
        <v>0</v>
      </c>
      <c r="E591" s="15">
        <v>0</v>
      </c>
      <c r="F591">
        <v>0</v>
      </c>
      <c r="G591">
        <v>0</v>
      </c>
      <c r="H591">
        <f>IFERROR(VLOOKUP(CENTRAL[[#This Row],[Cód]],SUB[#All],4,0),0) + CENTRAL[[#This Row],[CMM]]</f>
        <v>0</v>
      </c>
    </row>
    <row r="592" spans="1:8" x14ac:dyDescent="0.25">
      <c r="A592">
        <v>200000463</v>
      </c>
      <c r="B592" t="s">
        <v>545</v>
      </c>
      <c r="C592" t="s">
        <v>546</v>
      </c>
      <c r="D592">
        <v>0</v>
      </c>
      <c r="E592" s="15">
        <v>0</v>
      </c>
      <c r="F592">
        <v>0</v>
      </c>
      <c r="G592">
        <v>0</v>
      </c>
      <c r="H592">
        <f>IFERROR(VLOOKUP(CENTRAL[[#This Row],[Cód]],SUB[#All],4,0),0) + CENTRAL[[#This Row],[CMM]]</f>
        <v>0</v>
      </c>
    </row>
    <row r="593" spans="1:8" x14ac:dyDescent="0.25">
      <c r="A593">
        <v>200006864</v>
      </c>
      <c r="B593" t="s">
        <v>547</v>
      </c>
      <c r="C593" t="s">
        <v>9</v>
      </c>
      <c r="D593">
        <v>0</v>
      </c>
      <c r="E593" s="15">
        <v>160</v>
      </c>
      <c r="F593">
        <v>0</v>
      </c>
      <c r="G593">
        <v>3</v>
      </c>
      <c r="H593">
        <f>IFERROR(VLOOKUP(CENTRAL[[#This Row],[Cód]],SUB[#All],4,0),0) + CENTRAL[[#This Row],[CMM]]</f>
        <v>0</v>
      </c>
    </row>
    <row r="594" spans="1:8" x14ac:dyDescent="0.25">
      <c r="A594">
        <v>200000462</v>
      </c>
      <c r="B594" t="s">
        <v>548</v>
      </c>
      <c r="C594" t="s">
        <v>546</v>
      </c>
      <c r="D594">
        <v>0</v>
      </c>
      <c r="E594" s="15">
        <v>0</v>
      </c>
      <c r="F594">
        <v>0</v>
      </c>
      <c r="G594">
        <v>0</v>
      </c>
      <c r="H594">
        <f>IFERROR(VLOOKUP(CENTRAL[[#This Row],[Cód]],SUB[#All],4,0),0) + CENTRAL[[#This Row],[CMM]]</f>
        <v>0</v>
      </c>
    </row>
    <row r="595" spans="1:8" x14ac:dyDescent="0.25">
      <c r="A595">
        <v>200000526</v>
      </c>
      <c r="B595" t="s">
        <v>549</v>
      </c>
      <c r="C595" t="s">
        <v>550</v>
      </c>
      <c r="D595">
        <v>0</v>
      </c>
      <c r="E595" s="15">
        <v>0</v>
      </c>
      <c r="F595">
        <v>0</v>
      </c>
      <c r="G595">
        <v>0</v>
      </c>
      <c r="H595">
        <f>IFERROR(VLOOKUP(CENTRAL[[#This Row],[Cód]],SUB[#All],4,0),0) + CENTRAL[[#This Row],[CMM]]</f>
        <v>0</v>
      </c>
    </row>
    <row r="596" spans="1:8" x14ac:dyDescent="0.25">
      <c r="A596">
        <v>200001975</v>
      </c>
      <c r="B596" t="s">
        <v>551</v>
      </c>
      <c r="C596" t="s">
        <v>9</v>
      </c>
      <c r="D596">
        <v>0.41</v>
      </c>
      <c r="E596" s="15">
        <v>15.14</v>
      </c>
      <c r="F596">
        <v>0</v>
      </c>
      <c r="G596">
        <v>10</v>
      </c>
      <c r="H596">
        <f>IFERROR(VLOOKUP(CENTRAL[[#This Row],[Cód]],SUB[#All],4,0),0) + CENTRAL[[#This Row],[CMM]]</f>
        <v>0.41</v>
      </c>
    </row>
    <row r="597" spans="1:8" x14ac:dyDescent="0.25">
      <c r="A597">
        <v>200000467</v>
      </c>
      <c r="B597" t="s">
        <v>552</v>
      </c>
      <c r="C597" t="s">
        <v>9</v>
      </c>
      <c r="D597">
        <v>0</v>
      </c>
      <c r="E597" s="15">
        <v>0</v>
      </c>
      <c r="F597">
        <v>0</v>
      </c>
      <c r="G597">
        <v>0</v>
      </c>
      <c r="H597">
        <f>IFERROR(VLOOKUP(CENTRAL[[#This Row],[Cód]],SUB[#All],4,0),0) + CENTRAL[[#This Row],[CMM]]</f>
        <v>0</v>
      </c>
    </row>
    <row r="598" spans="1:8" x14ac:dyDescent="0.25">
      <c r="A598">
        <v>200001972</v>
      </c>
      <c r="B598" t="s">
        <v>552</v>
      </c>
      <c r="C598" t="s">
        <v>9</v>
      </c>
      <c r="D598">
        <v>0.25</v>
      </c>
      <c r="E598" s="15">
        <v>2.86</v>
      </c>
      <c r="F598">
        <v>0</v>
      </c>
      <c r="G598">
        <v>19</v>
      </c>
      <c r="H598">
        <f>IFERROR(VLOOKUP(CENTRAL[[#This Row],[Cód]],SUB[#All],4,0),0) + CENTRAL[[#This Row],[CMM]]</f>
        <v>0.25</v>
      </c>
    </row>
    <row r="599" spans="1:8" x14ac:dyDescent="0.25">
      <c r="A599">
        <v>200001973</v>
      </c>
      <c r="B599" t="s">
        <v>553</v>
      </c>
      <c r="C599" t="s">
        <v>9</v>
      </c>
      <c r="D599">
        <v>0.41</v>
      </c>
      <c r="E599" s="15">
        <v>8.85</v>
      </c>
      <c r="F599">
        <v>0</v>
      </c>
      <c r="G599">
        <v>25</v>
      </c>
      <c r="H599">
        <f>IFERROR(VLOOKUP(CENTRAL[[#This Row],[Cód]],SUB[#All],4,0),0) + CENTRAL[[#This Row],[CMM]]</f>
        <v>0.41</v>
      </c>
    </row>
    <row r="600" spans="1:8" x14ac:dyDescent="0.25">
      <c r="A600">
        <v>200001974</v>
      </c>
      <c r="B600" t="s">
        <v>554</v>
      </c>
      <c r="C600" t="s">
        <v>9</v>
      </c>
      <c r="D600">
        <v>0.75</v>
      </c>
      <c r="E600" s="15">
        <v>10.7</v>
      </c>
      <c r="F600">
        <v>0</v>
      </c>
      <c r="G600">
        <v>21</v>
      </c>
      <c r="H600">
        <f>IFERROR(VLOOKUP(CENTRAL[[#This Row],[Cód]],SUB[#All],4,0),0) + CENTRAL[[#This Row],[CMM]]</f>
        <v>0.75</v>
      </c>
    </row>
    <row r="601" spans="1:8" x14ac:dyDescent="0.25">
      <c r="A601">
        <v>200003643</v>
      </c>
      <c r="B601" t="s">
        <v>555</v>
      </c>
      <c r="C601" t="s">
        <v>9</v>
      </c>
      <c r="D601">
        <v>0</v>
      </c>
      <c r="E601" s="15">
        <v>19.899999999999999</v>
      </c>
      <c r="F601">
        <v>0</v>
      </c>
      <c r="G601">
        <v>10</v>
      </c>
      <c r="H601">
        <f>IFERROR(VLOOKUP(CENTRAL[[#This Row],[Cód]],SUB[#All],4,0),0) + CENTRAL[[#This Row],[CMM]]</f>
        <v>0</v>
      </c>
    </row>
    <row r="602" spans="1:8" x14ac:dyDescent="0.25">
      <c r="A602">
        <v>200003644</v>
      </c>
      <c r="B602" t="s">
        <v>556</v>
      </c>
      <c r="C602" t="s">
        <v>9</v>
      </c>
      <c r="D602">
        <v>0</v>
      </c>
      <c r="E602" s="15">
        <v>11.94</v>
      </c>
      <c r="F602">
        <v>0</v>
      </c>
      <c r="G602">
        <v>3</v>
      </c>
      <c r="H602">
        <f>IFERROR(VLOOKUP(CENTRAL[[#This Row],[Cód]],SUB[#All],4,0),0) + CENTRAL[[#This Row],[CMM]]</f>
        <v>0</v>
      </c>
    </row>
    <row r="603" spans="1:8" x14ac:dyDescent="0.25">
      <c r="A603">
        <v>200003645</v>
      </c>
      <c r="B603" t="s">
        <v>557</v>
      </c>
      <c r="C603" t="s">
        <v>9</v>
      </c>
      <c r="D603">
        <v>0</v>
      </c>
      <c r="E603" s="15">
        <v>13.2</v>
      </c>
      <c r="F603">
        <v>0</v>
      </c>
      <c r="G603">
        <v>3</v>
      </c>
      <c r="H603">
        <f>IFERROR(VLOOKUP(CENTRAL[[#This Row],[Cód]],SUB[#All],4,0),0) + CENTRAL[[#This Row],[CMM]]</f>
        <v>0</v>
      </c>
    </row>
    <row r="604" spans="1:8" x14ac:dyDescent="0.25">
      <c r="A604">
        <v>200001999</v>
      </c>
      <c r="B604" t="s">
        <v>558</v>
      </c>
      <c r="C604" t="s">
        <v>9</v>
      </c>
      <c r="D604">
        <v>0</v>
      </c>
      <c r="E604" s="15">
        <v>9.99</v>
      </c>
      <c r="F604">
        <v>0</v>
      </c>
      <c r="G604">
        <v>20</v>
      </c>
      <c r="H604">
        <f>IFERROR(VLOOKUP(CENTRAL[[#This Row],[Cód]],SUB[#All],4,0),0) + CENTRAL[[#This Row],[CMM]]</f>
        <v>0</v>
      </c>
    </row>
    <row r="605" spans="1:8" x14ac:dyDescent="0.25">
      <c r="A605">
        <v>200003646</v>
      </c>
      <c r="B605" t="s">
        <v>559</v>
      </c>
      <c r="C605" t="s">
        <v>9</v>
      </c>
      <c r="D605">
        <v>0</v>
      </c>
      <c r="E605" s="15">
        <v>49.47</v>
      </c>
      <c r="F605">
        <v>0</v>
      </c>
      <c r="G605">
        <v>8</v>
      </c>
      <c r="H605">
        <f>IFERROR(VLOOKUP(CENTRAL[[#This Row],[Cód]],SUB[#All],4,0),0) + CENTRAL[[#This Row],[CMM]]</f>
        <v>0</v>
      </c>
    </row>
    <row r="606" spans="1:8" x14ac:dyDescent="0.25">
      <c r="A606">
        <v>200002000</v>
      </c>
      <c r="B606" t="s">
        <v>560</v>
      </c>
      <c r="C606" t="s">
        <v>9</v>
      </c>
      <c r="D606">
        <v>0</v>
      </c>
      <c r="E606" s="15">
        <v>11.91</v>
      </c>
      <c r="F606">
        <v>0</v>
      </c>
      <c r="G606">
        <v>15</v>
      </c>
      <c r="H606">
        <f>IFERROR(VLOOKUP(CENTRAL[[#This Row],[Cód]],SUB[#All],4,0),0) + CENTRAL[[#This Row],[CMM]]</f>
        <v>0</v>
      </c>
    </row>
    <row r="607" spans="1:8" x14ac:dyDescent="0.25">
      <c r="A607">
        <v>200001986</v>
      </c>
      <c r="B607" t="s">
        <v>561</v>
      </c>
      <c r="C607" t="s">
        <v>9</v>
      </c>
      <c r="D607">
        <v>0.33</v>
      </c>
      <c r="E607" s="15">
        <v>7.2</v>
      </c>
      <c r="F607">
        <v>0</v>
      </c>
      <c r="G607">
        <v>26</v>
      </c>
      <c r="H607">
        <f>IFERROR(VLOOKUP(CENTRAL[[#This Row],[Cód]],SUB[#All],4,0),0) + CENTRAL[[#This Row],[CMM]]</f>
        <v>0.33</v>
      </c>
    </row>
    <row r="608" spans="1:8" x14ac:dyDescent="0.25">
      <c r="A608">
        <v>200001987</v>
      </c>
      <c r="B608" t="s">
        <v>562</v>
      </c>
      <c r="C608" t="s">
        <v>9</v>
      </c>
      <c r="D608">
        <v>0.33</v>
      </c>
      <c r="E608" s="15">
        <v>7.5</v>
      </c>
      <c r="F608">
        <v>0</v>
      </c>
      <c r="G608">
        <v>6</v>
      </c>
      <c r="H608">
        <f>IFERROR(VLOOKUP(CENTRAL[[#This Row],[Cód]],SUB[#All],4,0),0) + CENTRAL[[#This Row],[CMM]]</f>
        <v>0.33</v>
      </c>
    </row>
    <row r="609" spans="1:8" x14ac:dyDescent="0.25">
      <c r="A609">
        <v>200001988</v>
      </c>
      <c r="B609" t="s">
        <v>563</v>
      </c>
      <c r="C609" t="s">
        <v>9</v>
      </c>
      <c r="D609">
        <v>0</v>
      </c>
      <c r="E609" s="15">
        <v>11.56</v>
      </c>
      <c r="F609">
        <v>0</v>
      </c>
      <c r="G609">
        <v>12</v>
      </c>
      <c r="H609">
        <f>IFERROR(VLOOKUP(CENTRAL[[#This Row],[Cód]],SUB[#All],4,0),0) + CENTRAL[[#This Row],[CMM]]</f>
        <v>0.16</v>
      </c>
    </row>
    <row r="610" spans="1:8" x14ac:dyDescent="0.25">
      <c r="A610">
        <v>200001989</v>
      </c>
      <c r="B610" t="s">
        <v>564</v>
      </c>
      <c r="C610" t="s">
        <v>9</v>
      </c>
      <c r="D610">
        <v>0</v>
      </c>
      <c r="E610" s="15">
        <v>12.94</v>
      </c>
      <c r="F610">
        <v>0</v>
      </c>
      <c r="G610">
        <v>16</v>
      </c>
      <c r="H610">
        <f>IFERROR(VLOOKUP(CENTRAL[[#This Row],[Cód]],SUB[#All],4,0),0) + CENTRAL[[#This Row],[CMM]]</f>
        <v>0</v>
      </c>
    </row>
    <row r="611" spans="1:8" x14ac:dyDescent="0.25">
      <c r="A611">
        <v>200001990</v>
      </c>
      <c r="B611" t="s">
        <v>565</v>
      </c>
      <c r="C611" t="s">
        <v>9</v>
      </c>
      <c r="D611">
        <v>0.08</v>
      </c>
      <c r="E611" s="15">
        <v>22.5</v>
      </c>
      <c r="F611">
        <v>0</v>
      </c>
      <c r="G611">
        <v>4</v>
      </c>
      <c r="H611">
        <f>IFERROR(VLOOKUP(CENTRAL[[#This Row],[Cód]],SUB[#All],4,0),0) + CENTRAL[[#This Row],[CMM]]</f>
        <v>0.08</v>
      </c>
    </row>
    <row r="612" spans="1:8" x14ac:dyDescent="0.25">
      <c r="A612">
        <v>200001991</v>
      </c>
      <c r="B612" t="s">
        <v>566</v>
      </c>
      <c r="C612" t="s">
        <v>9</v>
      </c>
      <c r="D612">
        <v>0</v>
      </c>
      <c r="E612" s="15">
        <v>20.99</v>
      </c>
      <c r="F612">
        <v>0</v>
      </c>
      <c r="G612">
        <v>5</v>
      </c>
      <c r="H612">
        <f>IFERROR(VLOOKUP(CENTRAL[[#This Row],[Cód]],SUB[#All],4,0),0) + CENTRAL[[#This Row],[CMM]]</f>
        <v>0</v>
      </c>
    </row>
    <row r="613" spans="1:8" x14ac:dyDescent="0.25">
      <c r="A613">
        <v>200002002</v>
      </c>
      <c r="B613" t="s">
        <v>567</v>
      </c>
      <c r="C613" t="s">
        <v>9</v>
      </c>
      <c r="D613">
        <v>0</v>
      </c>
      <c r="E613" s="15">
        <v>2.0299999999999998</v>
      </c>
      <c r="F613">
        <v>0</v>
      </c>
      <c r="G613">
        <v>19</v>
      </c>
      <c r="H613">
        <f>IFERROR(VLOOKUP(CENTRAL[[#This Row],[Cód]],SUB[#All],4,0),0) + CENTRAL[[#This Row],[CMM]]</f>
        <v>0</v>
      </c>
    </row>
    <row r="614" spans="1:8" x14ac:dyDescent="0.25">
      <c r="A614">
        <v>200002001</v>
      </c>
      <c r="B614" t="s">
        <v>568</v>
      </c>
      <c r="C614" t="s">
        <v>9</v>
      </c>
      <c r="D614">
        <v>0.08</v>
      </c>
      <c r="E614" s="15">
        <v>2.65</v>
      </c>
      <c r="F614">
        <v>0</v>
      </c>
      <c r="G614">
        <v>29</v>
      </c>
      <c r="H614">
        <f>IFERROR(VLOOKUP(CENTRAL[[#This Row],[Cód]],SUB[#All],4,0),0) + CENTRAL[[#This Row],[CMM]]</f>
        <v>0.08</v>
      </c>
    </row>
    <row r="615" spans="1:8" x14ac:dyDescent="0.25">
      <c r="A615">
        <v>200001992</v>
      </c>
      <c r="B615" t="s">
        <v>569</v>
      </c>
      <c r="C615" t="s">
        <v>9</v>
      </c>
      <c r="D615">
        <v>1.33</v>
      </c>
      <c r="E615" s="15">
        <v>0</v>
      </c>
      <c r="F615">
        <v>0</v>
      </c>
      <c r="G615">
        <v>0</v>
      </c>
      <c r="H615">
        <f>IFERROR(VLOOKUP(CENTRAL[[#This Row],[Cód]],SUB[#All],4,0),0) + CENTRAL[[#This Row],[CMM]]</f>
        <v>2.08</v>
      </c>
    </row>
    <row r="616" spans="1:8" x14ac:dyDescent="0.25">
      <c r="A616">
        <v>200001032</v>
      </c>
      <c r="B616" t="s">
        <v>570</v>
      </c>
      <c r="C616" t="s">
        <v>9</v>
      </c>
      <c r="D616">
        <v>0</v>
      </c>
      <c r="E616" s="15">
        <v>0</v>
      </c>
      <c r="F616">
        <v>0</v>
      </c>
      <c r="G616">
        <v>0</v>
      </c>
      <c r="H616">
        <f>IFERROR(VLOOKUP(CENTRAL[[#This Row],[Cód]],SUB[#All],4,0),0) + CENTRAL[[#This Row],[CMM]]</f>
        <v>0</v>
      </c>
    </row>
    <row r="617" spans="1:8" x14ac:dyDescent="0.25">
      <c r="A617">
        <v>200001993</v>
      </c>
      <c r="B617" t="s">
        <v>570</v>
      </c>
      <c r="C617" t="s">
        <v>9</v>
      </c>
      <c r="D617">
        <v>0.57999999999999996</v>
      </c>
      <c r="E617" s="15">
        <v>1.89</v>
      </c>
      <c r="F617">
        <v>0</v>
      </c>
      <c r="G617">
        <v>22</v>
      </c>
      <c r="H617">
        <f>IFERROR(VLOOKUP(CENTRAL[[#This Row],[Cód]],SUB[#All],4,0),0) + CENTRAL[[#This Row],[CMM]]</f>
        <v>1.08</v>
      </c>
    </row>
    <row r="618" spans="1:8" x14ac:dyDescent="0.25">
      <c r="A618">
        <v>200001994</v>
      </c>
      <c r="B618" t="s">
        <v>571</v>
      </c>
      <c r="C618" t="s">
        <v>9</v>
      </c>
      <c r="D618">
        <v>0.57999999999999996</v>
      </c>
      <c r="E618" s="15">
        <v>2.48</v>
      </c>
      <c r="F618">
        <v>0</v>
      </c>
      <c r="G618">
        <v>13</v>
      </c>
      <c r="H618">
        <f>IFERROR(VLOOKUP(CENTRAL[[#This Row],[Cód]],SUB[#All],4,0),0) + CENTRAL[[#This Row],[CMM]]</f>
        <v>0.74</v>
      </c>
    </row>
    <row r="619" spans="1:8" x14ac:dyDescent="0.25">
      <c r="A619">
        <v>200003603</v>
      </c>
      <c r="B619" t="s">
        <v>572</v>
      </c>
      <c r="C619" t="s">
        <v>9</v>
      </c>
      <c r="D619">
        <v>0.08</v>
      </c>
      <c r="E619" s="15">
        <v>2.93</v>
      </c>
      <c r="F619">
        <v>0</v>
      </c>
      <c r="G619">
        <v>12</v>
      </c>
      <c r="H619">
        <f>IFERROR(VLOOKUP(CENTRAL[[#This Row],[Cód]],SUB[#All],4,0),0) + CENTRAL[[#This Row],[CMM]]</f>
        <v>0.08</v>
      </c>
    </row>
    <row r="620" spans="1:8" x14ac:dyDescent="0.25">
      <c r="A620">
        <v>200001995</v>
      </c>
      <c r="B620" t="s">
        <v>573</v>
      </c>
      <c r="C620" t="s">
        <v>9</v>
      </c>
      <c r="D620">
        <v>0.08</v>
      </c>
      <c r="E620" s="15">
        <v>5.89</v>
      </c>
      <c r="F620">
        <v>0</v>
      </c>
      <c r="G620">
        <v>17</v>
      </c>
      <c r="H620">
        <f>IFERROR(VLOOKUP(CENTRAL[[#This Row],[Cód]],SUB[#All],4,0),0) + CENTRAL[[#This Row],[CMM]]</f>
        <v>0.16</v>
      </c>
    </row>
    <row r="621" spans="1:8" x14ac:dyDescent="0.25">
      <c r="A621">
        <v>200001998</v>
      </c>
      <c r="B621" t="s">
        <v>574</v>
      </c>
      <c r="C621" t="s">
        <v>9</v>
      </c>
      <c r="D621">
        <v>0</v>
      </c>
      <c r="E621" s="15">
        <v>1.64</v>
      </c>
      <c r="F621">
        <v>0</v>
      </c>
      <c r="G621">
        <v>3</v>
      </c>
      <c r="H621">
        <f>IFERROR(VLOOKUP(CENTRAL[[#This Row],[Cód]],SUB[#All],4,0),0) + CENTRAL[[#This Row],[CMM]]</f>
        <v>0</v>
      </c>
    </row>
    <row r="622" spans="1:8" x14ac:dyDescent="0.25">
      <c r="A622">
        <v>200003647</v>
      </c>
      <c r="B622" t="s">
        <v>575</v>
      </c>
      <c r="C622" t="s">
        <v>9</v>
      </c>
      <c r="D622">
        <v>0</v>
      </c>
      <c r="E622" s="15">
        <v>10.83</v>
      </c>
      <c r="F622">
        <v>0</v>
      </c>
      <c r="G622">
        <v>6</v>
      </c>
      <c r="H622">
        <f>IFERROR(VLOOKUP(CENTRAL[[#This Row],[Cód]],SUB[#All],4,0),0) + CENTRAL[[#This Row],[CMM]]</f>
        <v>0</v>
      </c>
    </row>
    <row r="623" spans="1:8" x14ac:dyDescent="0.25">
      <c r="A623">
        <v>200003648</v>
      </c>
      <c r="B623" t="s">
        <v>576</v>
      </c>
      <c r="C623" t="s">
        <v>9</v>
      </c>
      <c r="D623">
        <v>0</v>
      </c>
      <c r="E623" s="15">
        <v>0</v>
      </c>
      <c r="F623">
        <v>0</v>
      </c>
      <c r="G623">
        <v>0</v>
      </c>
      <c r="H623">
        <f>IFERROR(VLOOKUP(CENTRAL[[#This Row],[Cód]],SUB[#All],4,0),0) + CENTRAL[[#This Row],[CMM]]</f>
        <v>0</v>
      </c>
    </row>
    <row r="624" spans="1:8" x14ac:dyDescent="0.25">
      <c r="A624">
        <v>200001996</v>
      </c>
      <c r="B624" t="s">
        <v>577</v>
      </c>
      <c r="C624" t="s">
        <v>9</v>
      </c>
      <c r="D624">
        <v>0.91</v>
      </c>
      <c r="E624" s="15">
        <v>0.99</v>
      </c>
      <c r="F624">
        <v>0</v>
      </c>
      <c r="G624">
        <v>100</v>
      </c>
      <c r="H624">
        <f>IFERROR(VLOOKUP(CENTRAL[[#This Row],[Cód]],SUB[#All],4,0),0) + CENTRAL[[#This Row],[CMM]]</f>
        <v>1.57</v>
      </c>
    </row>
    <row r="625" spans="1:8" x14ac:dyDescent="0.25">
      <c r="A625">
        <v>200001031</v>
      </c>
      <c r="B625" t="s">
        <v>578</v>
      </c>
      <c r="C625" t="s">
        <v>9</v>
      </c>
      <c r="D625">
        <v>0</v>
      </c>
      <c r="E625" s="15">
        <v>0</v>
      </c>
      <c r="F625">
        <v>0</v>
      </c>
      <c r="G625">
        <v>0</v>
      </c>
      <c r="H625">
        <f>IFERROR(VLOOKUP(CENTRAL[[#This Row],[Cód]],SUB[#All],4,0),0) + CENTRAL[[#This Row],[CMM]]</f>
        <v>0</v>
      </c>
    </row>
    <row r="626" spans="1:8" x14ac:dyDescent="0.25">
      <c r="A626">
        <v>200003649</v>
      </c>
      <c r="B626" t="s">
        <v>579</v>
      </c>
      <c r="C626" t="s">
        <v>9</v>
      </c>
      <c r="D626">
        <v>0</v>
      </c>
      <c r="E626" s="15">
        <v>7.17</v>
      </c>
      <c r="F626">
        <v>0</v>
      </c>
      <c r="G626">
        <v>1</v>
      </c>
      <c r="H626">
        <f>IFERROR(VLOOKUP(CENTRAL[[#This Row],[Cód]],SUB[#All],4,0),0) + CENTRAL[[#This Row],[CMM]]</f>
        <v>0</v>
      </c>
    </row>
    <row r="627" spans="1:8" x14ac:dyDescent="0.25">
      <c r="A627">
        <v>200000469</v>
      </c>
      <c r="B627" t="s">
        <v>580</v>
      </c>
      <c r="C627" t="s">
        <v>9</v>
      </c>
      <c r="D627">
        <v>0</v>
      </c>
      <c r="E627" s="15">
        <v>0</v>
      </c>
      <c r="F627">
        <v>0</v>
      </c>
      <c r="G627">
        <v>0</v>
      </c>
      <c r="H627">
        <f>IFERROR(VLOOKUP(CENTRAL[[#This Row],[Cód]],SUB[#All],4,0),0) + CENTRAL[[#This Row],[CMM]]</f>
        <v>0</v>
      </c>
    </row>
    <row r="628" spans="1:8" x14ac:dyDescent="0.25">
      <c r="A628">
        <v>200001997</v>
      </c>
      <c r="B628" t="s">
        <v>580</v>
      </c>
      <c r="C628" t="s">
        <v>9</v>
      </c>
      <c r="D628">
        <v>0</v>
      </c>
      <c r="E628" s="15">
        <v>1.53</v>
      </c>
      <c r="F628">
        <v>0</v>
      </c>
      <c r="G628">
        <v>104</v>
      </c>
      <c r="H628">
        <f>IFERROR(VLOOKUP(CENTRAL[[#This Row],[Cód]],SUB[#All],4,0),0) + CENTRAL[[#This Row],[CMM]]</f>
        <v>0</v>
      </c>
    </row>
    <row r="629" spans="1:8" x14ac:dyDescent="0.25">
      <c r="A629">
        <v>200000470</v>
      </c>
      <c r="B629" t="s">
        <v>581</v>
      </c>
      <c r="C629" t="s">
        <v>9</v>
      </c>
      <c r="D629">
        <v>0</v>
      </c>
      <c r="E629" s="15">
        <v>0</v>
      </c>
      <c r="F629">
        <v>0</v>
      </c>
      <c r="G629">
        <v>0</v>
      </c>
      <c r="H629">
        <f>IFERROR(VLOOKUP(CENTRAL[[#This Row],[Cód]],SUB[#All],4,0),0) + CENTRAL[[#This Row],[CMM]]</f>
        <v>0</v>
      </c>
    </row>
    <row r="630" spans="1:8" x14ac:dyDescent="0.25">
      <c r="A630">
        <v>200001979</v>
      </c>
      <c r="B630" t="s">
        <v>582</v>
      </c>
      <c r="C630" t="s">
        <v>9</v>
      </c>
      <c r="D630">
        <v>2.91</v>
      </c>
      <c r="E630" s="15">
        <v>4.09</v>
      </c>
      <c r="F630">
        <v>0</v>
      </c>
      <c r="G630">
        <v>65</v>
      </c>
      <c r="H630">
        <f>IFERROR(VLOOKUP(CENTRAL[[#This Row],[Cód]],SUB[#All],4,0),0) + CENTRAL[[#This Row],[CMM]]</f>
        <v>3.0700000000000003</v>
      </c>
    </row>
    <row r="631" spans="1:8" x14ac:dyDescent="0.25">
      <c r="A631">
        <v>200001976</v>
      </c>
      <c r="B631" t="s">
        <v>583</v>
      </c>
      <c r="C631" t="s">
        <v>9</v>
      </c>
      <c r="D631">
        <v>3.33</v>
      </c>
      <c r="E631" s="15">
        <v>1.31</v>
      </c>
      <c r="F631">
        <v>0</v>
      </c>
      <c r="G631">
        <v>41</v>
      </c>
      <c r="H631">
        <f>IFERROR(VLOOKUP(CENTRAL[[#This Row],[Cód]],SUB[#All],4,0),0) + CENTRAL[[#This Row],[CMM]]</f>
        <v>3.49</v>
      </c>
    </row>
    <row r="632" spans="1:8" x14ac:dyDescent="0.25">
      <c r="A632">
        <v>200001977</v>
      </c>
      <c r="B632" t="s">
        <v>584</v>
      </c>
      <c r="C632" t="s">
        <v>9</v>
      </c>
      <c r="D632">
        <v>2.25</v>
      </c>
      <c r="E632" s="15">
        <v>2.35</v>
      </c>
      <c r="F632">
        <v>0</v>
      </c>
      <c r="G632">
        <v>120</v>
      </c>
      <c r="H632">
        <f>IFERROR(VLOOKUP(CENTRAL[[#This Row],[Cód]],SUB[#All],4,0),0) + CENTRAL[[#This Row],[CMM]]</f>
        <v>2.75</v>
      </c>
    </row>
    <row r="633" spans="1:8" x14ac:dyDescent="0.25">
      <c r="A633">
        <v>200001978</v>
      </c>
      <c r="B633" t="s">
        <v>585</v>
      </c>
      <c r="C633" t="s">
        <v>9</v>
      </c>
      <c r="D633">
        <v>0.75</v>
      </c>
      <c r="E633" s="15">
        <v>4.34</v>
      </c>
      <c r="F633">
        <v>0</v>
      </c>
      <c r="G633">
        <v>84</v>
      </c>
      <c r="H633">
        <f>IFERROR(VLOOKUP(CENTRAL[[#This Row],[Cód]],SUB[#All],4,0),0) + CENTRAL[[#This Row],[CMM]]</f>
        <v>1.5</v>
      </c>
    </row>
    <row r="634" spans="1:8" x14ac:dyDescent="0.25">
      <c r="A634">
        <v>200001980</v>
      </c>
      <c r="B634" t="s">
        <v>586</v>
      </c>
      <c r="C634" t="s">
        <v>9</v>
      </c>
      <c r="D634">
        <v>1.66</v>
      </c>
      <c r="E634" s="15">
        <v>0</v>
      </c>
      <c r="F634">
        <v>0</v>
      </c>
      <c r="G634">
        <v>0</v>
      </c>
      <c r="H634">
        <f>IFERROR(VLOOKUP(CENTRAL[[#This Row],[Cód]],SUB[#All],4,0),0) + CENTRAL[[#This Row],[CMM]]</f>
        <v>1.66</v>
      </c>
    </row>
    <row r="635" spans="1:8" x14ac:dyDescent="0.25">
      <c r="A635">
        <v>200001981</v>
      </c>
      <c r="B635" t="s">
        <v>587</v>
      </c>
      <c r="C635" t="s">
        <v>9</v>
      </c>
      <c r="D635">
        <v>8.33</v>
      </c>
      <c r="E635" s="15">
        <v>0</v>
      </c>
      <c r="F635">
        <v>0</v>
      </c>
      <c r="G635">
        <v>0</v>
      </c>
      <c r="H635">
        <f>IFERROR(VLOOKUP(CENTRAL[[#This Row],[Cód]],SUB[#All],4,0),0) + CENTRAL[[#This Row],[CMM]]</f>
        <v>8.91</v>
      </c>
    </row>
    <row r="636" spans="1:8" x14ac:dyDescent="0.25">
      <c r="A636">
        <v>200001982</v>
      </c>
      <c r="B636" t="s">
        <v>588</v>
      </c>
      <c r="C636" t="s">
        <v>9</v>
      </c>
      <c r="D636">
        <v>6</v>
      </c>
      <c r="E636" s="15">
        <v>0</v>
      </c>
      <c r="F636">
        <v>0</v>
      </c>
      <c r="G636">
        <v>0</v>
      </c>
      <c r="H636">
        <f>IFERROR(VLOOKUP(CENTRAL[[#This Row],[Cód]],SUB[#All],4,0),0) + CENTRAL[[#This Row],[CMM]]</f>
        <v>6.83</v>
      </c>
    </row>
    <row r="637" spans="1:8" x14ac:dyDescent="0.25">
      <c r="A637">
        <v>200001983</v>
      </c>
      <c r="B637" t="s">
        <v>589</v>
      </c>
      <c r="C637" t="s">
        <v>9</v>
      </c>
      <c r="D637">
        <v>0.66</v>
      </c>
      <c r="E637" s="15">
        <v>0</v>
      </c>
      <c r="F637">
        <v>0</v>
      </c>
      <c r="G637">
        <v>0</v>
      </c>
      <c r="H637">
        <f>IFERROR(VLOOKUP(CENTRAL[[#This Row],[Cód]],SUB[#All],4,0),0) + CENTRAL[[#This Row],[CMM]]</f>
        <v>0.66</v>
      </c>
    </row>
    <row r="638" spans="1:8" x14ac:dyDescent="0.25">
      <c r="A638">
        <v>200001984</v>
      </c>
      <c r="B638" t="s">
        <v>590</v>
      </c>
      <c r="C638" t="s">
        <v>9</v>
      </c>
      <c r="D638">
        <v>0.33</v>
      </c>
      <c r="E638" s="15">
        <v>0</v>
      </c>
      <c r="F638">
        <v>0</v>
      </c>
      <c r="G638">
        <v>0</v>
      </c>
      <c r="H638">
        <f>IFERROR(VLOOKUP(CENTRAL[[#This Row],[Cód]],SUB[#All],4,0),0) + CENTRAL[[#This Row],[CMM]]</f>
        <v>0.33</v>
      </c>
    </row>
    <row r="639" spans="1:8" x14ac:dyDescent="0.25">
      <c r="A639">
        <v>200001985</v>
      </c>
      <c r="B639" t="s">
        <v>591</v>
      </c>
      <c r="C639" t="s">
        <v>9</v>
      </c>
      <c r="D639">
        <v>1.1599999999999999</v>
      </c>
      <c r="E639" s="15">
        <v>6.53</v>
      </c>
      <c r="F639">
        <v>0</v>
      </c>
      <c r="G639">
        <v>22</v>
      </c>
      <c r="H639">
        <f>IFERROR(VLOOKUP(CENTRAL[[#This Row],[Cód]],SUB[#All],4,0),0) + CENTRAL[[#This Row],[CMM]]</f>
        <v>1.3199999999999998</v>
      </c>
    </row>
    <row r="640" spans="1:8" x14ac:dyDescent="0.25">
      <c r="A640">
        <v>200003602</v>
      </c>
      <c r="B640" t="s">
        <v>592</v>
      </c>
      <c r="C640" t="s">
        <v>9</v>
      </c>
      <c r="D640">
        <v>0.16</v>
      </c>
      <c r="E640" s="15">
        <v>21</v>
      </c>
      <c r="F640">
        <v>0</v>
      </c>
      <c r="G640">
        <v>4</v>
      </c>
      <c r="H640">
        <f>IFERROR(VLOOKUP(CENTRAL[[#This Row],[Cód]],SUB[#All],4,0),0) + CENTRAL[[#This Row],[CMM]]</f>
        <v>0.16</v>
      </c>
    </row>
    <row r="641" spans="1:8" x14ac:dyDescent="0.25">
      <c r="A641">
        <v>200004567</v>
      </c>
      <c r="B641" t="s">
        <v>593</v>
      </c>
      <c r="C641" t="s">
        <v>9</v>
      </c>
      <c r="D641">
        <v>0</v>
      </c>
      <c r="E641" s="15">
        <v>15</v>
      </c>
      <c r="F641">
        <v>0</v>
      </c>
      <c r="G641">
        <v>21</v>
      </c>
      <c r="H641">
        <f>IFERROR(VLOOKUP(CENTRAL[[#This Row],[Cód]],SUB[#All],4,0),0) + CENTRAL[[#This Row],[CMM]]</f>
        <v>0</v>
      </c>
    </row>
    <row r="642" spans="1:8" x14ac:dyDescent="0.25">
      <c r="A642">
        <v>200000471</v>
      </c>
      <c r="B642" t="s">
        <v>594</v>
      </c>
      <c r="C642" t="s">
        <v>9</v>
      </c>
      <c r="D642">
        <v>0.91</v>
      </c>
      <c r="E642" s="15">
        <v>1.52</v>
      </c>
      <c r="F642">
        <v>0</v>
      </c>
      <c r="G642">
        <v>27</v>
      </c>
      <c r="H642">
        <f>IFERROR(VLOOKUP(CENTRAL[[#This Row],[Cód]],SUB[#All],4,0),0) + CENTRAL[[#This Row],[CMM]]</f>
        <v>1.57</v>
      </c>
    </row>
    <row r="643" spans="1:8" x14ac:dyDescent="0.25">
      <c r="A643">
        <v>200000472</v>
      </c>
      <c r="B643" t="s">
        <v>595</v>
      </c>
      <c r="C643" t="s">
        <v>9</v>
      </c>
      <c r="D643">
        <v>3.5</v>
      </c>
      <c r="E643" s="15">
        <v>2.9</v>
      </c>
      <c r="F643">
        <v>4</v>
      </c>
      <c r="G643">
        <v>0</v>
      </c>
      <c r="H643">
        <f>IFERROR(VLOOKUP(CENTRAL[[#This Row],[Cód]],SUB[#All],4,0),0) + CENTRAL[[#This Row],[CMM]]</f>
        <v>4.08</v>
      </c>
    </row>
    <row r="644" spans="1:8" x14ac:dyDescent="0.25">
      <c r="A644">
        <v>200000473</v>
      </c>
      <c r="B644" t="s">
        <v>596</v>
      </c>
      <c r="C644" t="s">
        <v>9</v>
      </c>
      <c r="D644">
        <v>0</v>
      </c>
      <c r="E644" s="15">
        <v>1</v>
      </c>
      <c r="F644">
        <v>0</v>
      </c>
      <c r="G644">
        <v>33</v>
      </c>
      <c r="H644">
        <f>IFERROR(VLOOKUP(CENTRAL[[#This Row],[Cód]],SUB[#All],4,0),0) + CENTRAL[[#This Row],[CMM]]</f>
        <v>0</v>
      </c>
    </row>
    <row r="645" spans="1:8" x14ac:dyDescent="0.25">
      <c r="A645">
        <v>200000474</v>
      </c>
      <c r="B645" t="s">
        <v>597</v>
      </c>
      <c r="C645" t="s">
        <v>9</v>
      </c>
      <c r="D645">
        <v>0.66</v>
      </c>
      <c r="E645" s="15">
        <v>1.3</v>
      </c>
      <c r="F645">
        <v>0</v>
      </c>
      <c r="G645">
        <v>8</v>
      </c>
      <c r="H645">
        <f>IFERROR(VLOOKUP(CENTRAL[[#This Row],[Cód]],SUB[#All],4,0),0) + CENTRAL[[#This Row],[CMM]]</f>
        <v>0.66</v>
      </c>
    </row>
    <row r="646" spans="1:8" x14ac:dyDescent="0.25">
      <c r="A646">
        <v>200002820</v>
      </c>
      <c r="B646" t="s">
        <v>598</v>
      </c>
      <c r="C646" t="s">
        <v>9</v>
      </c>
      <c r="D646">
        <v>0.75</v>
      </c>
      <c r="E646" s="15">
        <v>13.9</v>
      </c>
      <c r="F646">
        <v>0</v>
      </c>
      <c r="G646">
        <v>6</v>
      </c>
      <c r="H646">
        <f>IFERROR(VLOOKUP(CENTRAL[[#This Row],[Cód]],SUB[#All],4,0),0) + CENTRAL[[#This Row],[CMM]]</f>
        <v>1</v>
      </c>
    </row>
    <row r="647" spans="1:8" x14ac:dyDescent="0.25">
      <c r="A647">
        <v>200005761</v>
      </c>
      <c r="B647" t="s">
        <v>599</v>
      </c>
      <c r="C647" t="s">
        <v>9</v>
      </c>
      <c r="D647">
        <v>10.83</v>
      </c>
      <c r="E647" s="15">
        <v>196.9</v>
      </c>
      <c r="F647">
        <v>57</v>
      </c>
      <c r="G647">
        <v>41</v>
      </c>
      <c r="H647">
        <f>IFERROR(VLOOKUP(CENTRAL[[#This Row],[Cód]],SUB[#All],4,0),0) + CENTRAL[[#This Row],[CMM]]</f>
        <v>13.16</v>
      </c>
    </row>
    <row r="648" spans="1:8" x14ac:dyDescent="0.25">
      <c r="A648">
        <v>200001141</v>
      </c>
      <c r="B648" t="s">
        <v>600</v>
      </c>
      <c r="C648" t="s">
        <v>9</v>
      </c>
      <c r="D648">
        <v>0</v>
      </c>
      <c r="E648" s="15">
        <v>0</v>
      </c>
      <c r="F648">
        <v>0</v>
      </c>
      <c r="G648">
        <v>0</v>
      </c>
      <c r="H648">
        <f>IFERROR(VLOOKUP(CENTRAL[[#This Row],[Cód]],SUB[#All],4,0),0) + CENTRAL[[#This Row],[CMM]]</f>
        <v>0</v>
      </c>
    </row>
    <row r="649" spans="1:8" x14ac:dyDescent="0.25">
      <c r="A649">
        <v>200003161</v>
      </c>
      <c r="B649" t="s">
        <v>601</v>
      </c>
      <c r="C649" t="s">
        <v>9</v>
      </c>
      <c r="D649">
        <v>2.58</v>
      </c>
      <c r="E649" s="15">
        <v>156.63</v>
      </c>
      <c r="F649">
        <v>0</v>
      </c>
      <c r="G649">
        <v>17</v>
      </c>
      <c r="H649">
        <f>IFERROR(VLOOKUP(CENTRAL[[#This Row],[Cód]],SUB[#All],4,0),0) + CENTRAL[[#This Row],[CMM]]</f>
        <v>2.58</v>
      </c>
    </row>
    <row r="650" spans="1:8" x14ac:dyDescent="0.25">
      <c r="A650">
        <v>200007085</v>
      </c>
      <c r="B650" t="s">
        <v>602</v>
      </c>
      <c r="C650" t="s">
        <v>9</v>
      </c>
      <c r="D650">
        <v>0</v>
      </c>
      <c r="E650" s="15">
        <v>0</v>
      </c>
      <c r="F650">
        <v>0</v>
      </c>
      <c r="G650">
        <v>0</v>
      </c>
      <c r="H650">
        <f>IFERROR(VLOOKUP(CENTRAL[[#This Row],[Cód]],SUB[#All],4,0),0) + CENTRAL[[#This Row],[CMM]]</f>
        <v>0</v>
      </c>
    </row>
    <row r="651" spans="1:8" x14ac:dyDescent="0.25">
      <c r="A651">
        <v>200000488</v>
      </c>
      <c r="B651" t="s">
        <v>603</v>
      </c>
      <c r="C651" t="s">
        <v>63</v>
      </c>
      <c r="D651">
        <v>0</v>
      </c>
      <c r="E651" s="15">
        <v>0</v>
      </c>
      <c r="F651">
        <v>0</v>
      </c>
      <c r="G651">
        <v>0</v>
      </c>
      <c r="H651">
        <f>IFERROR(VLOOKUP(CENTRAL[[#This Row],[Cód]],SUB[#All],4,0),0) + CENTRAL[[#This Row],[CMM]]</f>
        <v>0</v>
      </c>
    </row>
    <row r="652" spans="1:8" x14ac:dyDescent="0.25">
      <c r="A652">
        <v>200001643</v>
      </c>
      <c r="B652" t="s">
        <v>604</v>
      </c>
      <c r="C652" t="s">
        <v>67</v>
      </c>
      <c r="D652">
        <v>0.66</v>
      </c>
      <c r="E652" s="15">
        <v>68.3</v>
      </c>
      <c r="F652">
        <v>0</v>
      </c>
      <c r="G652">
        <v>45</v>
      </c>
      <c r="H652">
        <f>IFERROR(VLOOKUP(CENTRAL[[#This Row],[Cód]],SUB[#All],4,0),0) + CENTRAL[[#This Row],[CMM]]</f>
        <v>0.66</v>
      </c>
    </row>
    <row r="653" spans="1:8" x14ac:dyDescent="0.25">
      <c r="A653">
        <v>200002115</v>
      </c>
      <c r="B653" t="s">
        <v>605</v>
      </c>
      <c r="C653" t="s">
        <v>546</v>
      </c>
      <c r="D653">
        <v>7</v>
      </c>
      <c r="E653" s="15">
        <v>0</v>
      </c>
      <c r="F653">
        <v>0</v>
      </c>
      <c r="G653">
        <v>0</v>
      </c>
      <c r="H653">
        <f>IFERROR(VLOOKUP(CENTRAL[[#This Row],[Cód]],SUB[#All],4,0),0) + CENTRAL[[#This Row],[CMM]]</f>
        <v>9.58</v>
      </c>
    </row>
    <row r="654" spans="1:8" x14ac:dyDescent="0.25">
      <c r="A654">
        <v>200003458</v>
      </c>
      <c r="B654" t="s">
        <v>606</v>
      </c>
      <c r="C654" t="s">
        <v>9</v>
      </c>
      <c r="D654">
        <v>0</v>
      </c>
      <c r="E654" s="15">
        <v>0</v>
      </c>
      <c r="F654">
        <v>0</v>
      </c>
      <c r="G654">
        <v>0</v>
      </c>
      <c r="H654">
        <f>IFERROR(VLOOKUP(CENTRAL[[#This Row],[Cód]],SUB[#All],4,0),0) + CENTRAL[[#This Row],[CMM]]</f>
        <v>0</v>
      </c>
    </row>
    <row r="655" spans="1:8" x14ac:dyDescent="0.25">
      <c r="A655">
        <v>200000489</v>
      </c>
      <c r="B655" t="s">
        <v>607</v>
      </c>
      <c r="C655" t="s">
        <v>67</v>
      </c>
      <c r="D655">
        <v>11.5</v>
      </c>
      <c r="E655" s="15">
        <v>68.91</v>
      </c>
      <c r="F655">
        <v>13</v>
      </c>
      <c r="G655">
        <v>125</v>
      </c>
      <c r="H655">
        <f>IFERROR(VLOOKUP(CENTRAL[[#This Row],[Cód]],SUB[#All],4,0),0) + CENTRAL[[#This Row],[CMM]]</f>
        <v>11.75</v>
      </c>
    </row>
    <row r="656" spans="1:8" x14ac:dyDescent="0.25">
      <c r="A656">
        <v>200006304</v>
      </c>
      <c r="B656" t="s">
        <v>608</v>
      </c>
      <c r="C656" t="s">
        <v>9</v>
      </c>
      <c r="D656">
        <v>7.91</v>
      </c>
      <c r="E656" s="15">
        <v>30.52</v>
      </c>
      <c r="F656">
        <v>16</v>
      </c>
      <c r="G656">
        <v>0</v>
      </c>
      <c r="H656">
        <f>IFERROR(VLOOKUP(CENTRAL[[#This Row],[Cód]],SUB[#All],4,0),0) + CENTRAL[[#This Row],[CMM]]</f>
        <v>7.91</v>
      </c>
    </row>
    <row r="657" spans="1:8" x14ac:dyDescent="0.25">
      <c r="A657">
        <v>200007185</v>
      </c>
      <c r="B657" t="s">
        <v>609</v>
      </c>
      <c r="C657" t="s">
        <v>9</v>
      </c>
      <c r="D657">
        <v>0</v>
      </c>
      <c r="E657" s="15">
        <v>16.5</v>
      </c>
      <c r="F657">
        <v>0</v>
      </c>
      <c r="G657">
        <v>11</v>
      </c>
      <c r="H657">
        <f>IFERROR(VLOOKUP(CENTRAL[[#This Row],[Cód]],SUB[#All],4,0),0) + CENTRAL[[#This Row],[CMM]]</f>
        <v>0</v>
      </c>
    </row>
    <row r="658" spans="1:8" x14ac:dyDescent="0.25">
      <c r="A658">
        <v>200007184</v>
      </c>
      <c r="B658" t="s">
        <v>610</v>
      </c>
      <c r="C658" t="s">
        <v>9</v>
      </c>
      <c r="D658">
        <v>0.2</v>
      </c>
      <c r="E658" s="15">
        <v>16.5</v>
      </c>
      <c r="F658">
        <v>0</v>
      </c>
      <c r="G658">
        <v>10</v>
      </c>
      <c r="H658">
        <f>IFERROR(VLOOKUP(CENTRAL[[#This Row],[Cód]],SUB[#All],4,0),0) + CENTRAL[[#This Row],[CMM]]</f>
        <v>0.2</v>
      </c>
    </row>
    <row r="659" spans="1:8" x14ac:dyDescent="0.25">
      <c r="A659">
        <v>200002117</v>
      </c>
      <c r="B659" t="s">
        <v>611</v>
      </c>
      <c r="C659" t="s">
        <v>550</v>
      </c>
      <c r="D659">
        <v>0</v>
      </c>
      <c r="E659" s="15">
        <v>0</v>
      </c>
      <c r="F659">
        <v>0</v>
      </c>
      <c r="G659">
        <v>0</v>
      </c>
      <c r="H659">
        <f>IFERROR(VLOOKUP(CENTRAL[[#This Row],[Cód]],SUB[#All],4,0),0) + CENTRAL[[#This Row],[CMM]]</f>
        <v>0</v>
      </c>
    </row>
    <row r="660" spans="1:8" x14ac:dyDescent="0.25">
      <c r="A660">
        <v>200002213</v>
      </c>
      <c r="B660" t="s">
        <v>612</v>
      </c>
      <c r="C660" t="s">
        <v>9</v>
      </c>
      <c r="D660">
        <v>0.33</v>
      </c>
      <c r="E660" s="15">
        <v>114.35</v>
      </c>
      <c r="F660">
        <v>0</v>
      </c>
      <c r="G660">
        <v>61</v>
      </c>
      <c r="H660">
        <f>IFERROR(VLOOKUP(CENTRAL[[#This Row],[Cód]],SUB[#All],4,0),0) + CENTRAL[[#This Row],[CMM]]</f>
        <v>0.49</v>
      </c>
    </row>
    <row r="661" spans="1:8" x14ac:dyDescent="0.25">
      <c r="A661">
        <v>200000494</v>
      </c>
      <c r="B661" t="s">
        <v>613</v>
      </c>
      <c r="C661" t="s">
        <v>9</v>
      </c>
      <c r="D661">
        <v>0</v>
      </c>
      <c r="E661" s="15">
        <v>40</v>
      </c>
      <c r="F661">
        <v>0</v>
      </c>
      <c r="G661">
        <v>4</v>
      </c>
      <c r="H661">
        <f>IFERROR(VLOOKUP(CENTRAL[[#This Row],[Cód]],SUB[#All],4,0),0) + CENTRAL[[#This Row],[CMM]]</f>
        <v>0.16</v>
      </c>
    </row>
    <row r="662" spans="1:8" x14ac:dyDescent="0.25">
      <c r="A662">
        <v>200000495</v>
      </c>
      <c r="B662" t="s">
        <v>614</v>
      </c>
      <c r="C662" t="s">
        <v>9</v>
      </c>
      <c r="D662">
        <v>0</v>
      </c>
      <c r="E662" s="15">
        <v>0</v>
      </c>
      <c r="F662">
        <v>0</v>
      </c>
      <c r="G662">
        <v>0</v>
      </c>
      <c r="H662">
        <f>IFERROR(VLOOKUP(CENTRAL[[#This Row],[Cód]],SUB[#All],4,0),0) + CENTRAL[[#This Row],[CMM]]</f>
        <v>0</v>
      </c>
    </row>
    <row r="663" spans="1:8" x14ac:dyDescent="0.25">
      <c r="A663">
        <v>200000495</v>
      </c>
      <c r="B663" t="s">
        <v>614</v>
      </c>
      <c r="C663" t="s">
        <v>9</v>
      </c>
      <c r="D663">
        <v>0</v>
      </c>
      <c r="E663" s="15">
        <v>169.29</v>
      </c>
      <c r="F663">
        <v>0</v>
      </c>
      <c r="G663">
        <v>69</v>
      </c>
      <c r="H663">
        <f>IFERROR(VLOOKUP(CENTRAL[[#This Row],[Cód]],SUB[#All],4,0),0) + CENTRAL[[#This Row],[CMM]]</f>
        <v>0</v>
      </c>
    </row>
    <row r="664" spans="1:8" x14ac:dyDescent="0.25">
      <c r="A664">
        <v>200000496</v>
      </c>
      <c r="B664" t="s">
        <v>615</v>
      </c>
      <c r="C664" t="s">
        <v>9</v>
      </c>
      <c r="D664">
        <v>1.1599999999999999</v>
      </c>
      <c r="E664" s="15">
        <v>133.94999999999999</v>
      </c>
      <c r="F664">
        <v>0</v>
      </c>
      <c r="G664">
        <v>53</v>
      </c>
      <c r="H664">
        <f>IFERROR(VLOOKUP(CENTRAL[[#This Row],[Cód]],SUB[#All],4,0),0) + CENTRAL[[#This Row],[CMM]]</f>
        <v>1.49</v>
      </c>
    </row>
    <row r="665" spans="1:8" x14ac:dyDescent="0.25">
      <c r="A665">
        <v>200000496</v>
      </c>
      <c r="B665" t="s">
        <v>615</v>
      </c>
      <c r="C665" t="s">
        <v>9</v>
      </c>
      <c r="D665">
        <v>1.1599999999999999</v>
      </c>
      <c r="E665" s="15">
        <v>0</v>
      </c>
      <c r="F665">
        <v>0</v>
      </c>
      <c r="G665">
        <v>0</v>
      </c>
      <c r="H665">
        <f>IFERROR(VLOOKUP(CENTRAL[[#This Row],[Cód]],SUB[#All],4,0),0) + CENTRAL[[#This Row],[CMM]]</f>
        <v>1.49</v>
      </c>
    </row>
    <row r="666" spans="1:8" x14ac:dyDescent="0.25">
      <c r="A666">
        <v>200000497</v>
      </c>
      <c r="B666" t="s">
        <v>616</v>
      </c>
      <c r="C666" t="s">
        <v>9</v>
      </c>
      <c r="D666">
        <v>9.75</v>
      </c>
      <c r="E666" s="15">
        <v>80.95</v>
      </c>
      <c r="F666">
        <v>0</v>
      </c>
      <c r="G666">
        <v>167</v>
      </c>
      <c r="H666">
        <f>IFERROR(VLOOKUP(CENTRAL[[#This Row],[Cód]],SUB[#All],4,0),0) + CENTRAL[[#This Row],[CMM]]</f>
        <v>15.16</v>
      </c>
    </row>
    <row r="667" spans="1:8" x14ac:dyDescent="0.25">
      <c r="A667">
        <v>200000497</v>
      </c>
      <c r="B667" t="s">
        <v>616</v>
      </c>
      <c r="C667" t="s">
        <v>9</v>
      </c>
      <c r="D667">
        <v>9.75</v>
      </c>
      <c r="E667" s="15">
        <v>0</v>
      </c>
      <c r="F667">
        <v>0</v>
      </c>
      <c r="G667">
        <v>0</v>
      </c>
      <c r="H667">
        <f>IFERROR(VLOOKUP(CENTRAL[[#This Row],[Cód]],SUB[#All],4,0),0) + CENTRAL[[#This Row],[CMM]]</f>
        <v>15.16</v>
      </c>
    </row>
    <row r="668" spans="1:8" x14ac:dyDescent="0.25">
      <c r="A668">
        <v>200006089</v>
      </c>
      <c r="B668" t="s">
        <v>617</v>
      </c>
      <c r="C668" t="s">
        <v>9</v>
      </c>
      <c r="D668">
        <v>1.41</v>
      </c>
      <c r="E668" s="15">
        <v>635</v>
      </c>
      <c r="F668">
        <v>0</v>
      </c>
      <c r="G668">
        <v>1</v>
      </c>
      <c r="H668">
        <f>IFERROR(VLOOKUP(CENTRAL[[#This Row],[Cód]],SUB[#All],4,0),0) + CENTRAL[[#This Row],[CMM]]</f>
        <v>1.5699999999999998</v>
      </c>
    </row>
    <row r="669" spans="1:8" x14ac:dyDescent="0.25">
      <c r="A669">
        <v>200002118</v>
      </c>
      <c r="B669" t="s">
        <v>618</v>
      </c>
      <c r="C669" t="s">
        <v>9</v>
      </c>
      <c r="D669">
        <v>0</v>
      </c>
      <c r="E669" s="15">
        <v>0</v>
      </c>
      <c r="F669">
        <v>0</v>
      </c>
      <c r="G669">
        <v>0</v>
      </c>
      <c r="H669">
        <f>IFERROR(VLOOKUP(CENTRAL[[#This Row],[Cód]],SUB[#All],4,0),0) + CENTRAL[[#This Row],[CMM]]</f>
        <v>0</v>
      </c>
    </row>
    <row r="670" spans="1:8" x14ac:dyDescent="0.25">
      <c r="A670">
        <v>200006718</v>
      </c>
      <c r="B670" t="s">
        <v>619</v>
      </c>
      <c r="C670" t="s">
        <v>9</v>
      </c>
      <c r="D670">
        <v>1.08</v>
      </c>
      <c r="E670" s="15">
        <v>135.37</v>
      </c>
      <c r="F670">
        <v>0</v>
      </c>
      <c r="G670">
        <v>53</v>
      </c>
      <c r="H670">
        <f>IFERROR(VLOOKUP(CENTRAL[[#This Row],[Cód]],SUB[#All],4,0),0) + CENTRAL[[#This Row],[CMM]]</f>
        <v>1.08</v>
      </c>
    </row>
    <row r="671" spans="1:8" x14ac:dyDescent="0.25">
      <c r="A671">
        <v>200002438</v>
      </c>
      <c r="B671" t="s">
        <v>620</v>
      </c>
      <c r="C671" t="s">
        <v>9</v>
      </c>
      <c r="D671">
        <v>0</v>
      </c>
      <c r="E671" s="15">
        <v>0</v>
      </c>
      <c r="F671">
        <v>0</v>
      </c>
      <c r="G671">
        <v>0</v>
      </c>
      <c r="H671">
        <f>IFERROR(VLOOKUP(CENTRAL[[#This Row],[Cód]],SUB[#All],4,0),0) + CENTRAL[[#This Row],[CMM]]</f>
        <v>0</v>
      </c>
    </row>
    <row r="672" spans="1:8" x14ac:dyDescent="0.25">
      <c r="A672">
        <v>200002438</v>
      </c>
      <c r="B672" t="s">
        <v>620</v>
      </c>
      <c r="C672" t="s">
        <v>9</v>
      </c>
      <c r="D672">
        <v>0</v>
      </c>
      <c r="E672" s="15">
        <v>0</v>
      </c>
      <c r="F672">
        <v>0</v>
      </c>
      <c r="G672">
        <v>0</v>
      </c>
      <c r="H672">
        <f>IFERROR(VLOOKUP(CENTRAL[[#This Row],[Cód]],SUB[#All],4,0),0) + CENTRAL[[#This Row],[CMM]]</f>
        <v>0</v>
      </c>
    </row>
    <row r="673" spans="1:8" x14ac:dyDescent="0.25">
      <c r="A673">
        <v>200002439</v>
      </c>
      <c r="B673" t="s">
        <v>621</v>
      </c>
      <c r="C673" t="s">
        <v>9</v>
      </c>
      <c r="D673">
        <v>1.58</v>
      </c>
      <c r="E673" s="15">
        <v>509.28</v>
      </c>
      <c r="F673">
        <v>0</v>
      </c>
      <c r="G673">
        <v>45</v>
      </c>
      <c r="H673">
        <f>IFERROR(VLOOKUP(CENTRAL[[#This Row],[Cód]],SUB[#All],4,0),0) + CENTRAL[[#This Row],[CMM]]</f>
        <v>2.74</v>
      </c>
    </row>
    <row r="674" spans="1:8" x14ac:dyDescent="0.25">
      <c r="A674">
        <v>200003706</v>
      </c>
      <c r="B674" t="s">
        <v>622</v>
      </c>
      <c r="C674" t="s">
        <v>9</v>
      </c>
      <c r="D674">
        <v>0</v>
      </c>
      <c r="E674" s="15">
        <v>0</v>
      </c>
      <c r="F674">
        <v>0</v>
      </c>
      <c r="G674">
        <v>0</v>
      </c>
      <c r="H674">
        <f>IFERROR(VLOOKUP(CENTRAL[[#This Row],[Cód]],SUB[#All],4,0),0) + CENTRAL[[#This Row],[CMM]]</f>
        <v>0</v>
      </c>
    </row>
    <row r="675" spans="1:8" x14ac:dyDescent="0.25">
      <c r="A675">
        <v>200005291</v>
      </c>
      <c r="B675" t="s">
        <v>623</v>
      </c>
      <c r="C675" t="s">
        <v>9</v>
      </c>
      <c r="D675">
        <v>93.16</v>
      </c>
      <c r="E675" s="15">
        <v>18.579999999999998</v>
      </c>
      <c r="F675">
        <v>2439</v>
      </c>
      <c r="G675">
        <v>4197</v>
      </c>
      <c r="H675">
        <f>IFERROR(VLOOKUP(CENTRAL[[#This Row],[Cód]],SUB[#All],4,0),0) + CENTRAL[[#This Row],[CMM]]</f>
        <v>93.16</v>
      </c>
    </row>
    <row r="676" spans="1:8" x14ac:dyDescent="0.25">
      <c r="A676">
        <v>200002003</v>
      </c>
      <c r="B676" t="s">
        <v>624</v>
      </c>
      <c r="C676" t="s">
        <v>9</v>
      </c>
      <c r="D676">
        <v>0</v>
      </c>
      <c r="E676" s="15">
        <v>2.41</v>
      </c>
      <c r="F676">
        <v>0</v>
      </c>
      <c r="G676">
        <v>28</v>
      </c>
      <c r="H676">
        <f>IFERROR(VLOOKUP(CENTRAL[[#This Row],[Cód]],SUB[#All],4,0),0) + CENTRAL[[#This Row],[CMM]]</f>
        <v>0.25</v>
      </c>
    </row>
    <row r="677" spans="1:8" x14ac:dyDescent="0.25">
      <c r="A677">
        <v>200003650</v>
      </c>
      <c r="B677" t="s">
        <v>625</v>
      </c>
      <c r="C677" t="s">
        <v>9</v>
      </c>
      <c r="D677">
        <v>0.08</v>
      </c>
      <c r="E677" s="15">
        <v>0</v>
      </c>
      <c r="F677">
        <v>0</v>
      </c>
      <c r="G677">
        <v>0</v>
      </c>
      <c r="H677">
        <f>IFERROR(VLOOKUP(CENTRAL[[#This Row],[Cód]],SUB[#All],4,0),0) + CENTRAL[[#This Row],[CMM]]</f>
        <v>0.49</v>
      </c>
    </row>
    <row r="678" spans="1:8" x14ac:dyDescent="0.25">
      <c r="A678">
        <v>200003651</v>
      </c>
      <c r="B678" t="s">
        <v>626</v>
      </c>
      <c r="C678" t="s">
        <v>9</v>
      </c>
      <c r="D678">
        <v>0</v>
      </c>
      <c r="E678" s="15">
        <v>3.87</v>
      </c>
      <c r="F678">
        <v>0</v>
      </c>
      <c r="G678">
        <v>3</v>
      </c>
      <c r="H678">
        <f>IFERROR(VLOOKUP(CENTRAL[[#This Row],[Cód]],SUB[#All],4,0),0) + CENTRAL[[#This Row],[CMM]]</f>
        <v>0</v>
      </c>
    </row>
    <row r="679" spans="1:8" x14ac:dyDescent="0.25">
      <c r="A679">
        <v>200000503</v>
      </c>
      <c r="B679" t="s">
        <v>627</v>
      </c>
      <c r="C679" t="s">
        <v>9</v>
      </c>
      <c r="D679">
        <v>0.91</v>
      </c>
      <c r="E679" s="15">
        <v>0.88</v>
      </c>
      <c r="F679">
        <v>0</v>
      </c>
      <c r="G679">
        <v>24</v>
      </c>
      <c r="H679">
        <f>IFERROR(VLOOKUP(CENTRAL[[#This Row],[Cód]],SUB[#All],4,0),0) + CENTRAL[[#This Row],[CMM]]</f>
        <v>0.99</v>
      </c>
    </row>
    <row r="680" spans="1:8" x14ac:dyDescent="0.25">
      <c r="A680">
        <v>200000503</v>
      </c>
      <c r="B680" t="s">
        <v>627</v>
      </c>
      <c r="C680" t="s">
        <v>9</v>
      </c>
      <c r="D680">
        <v>0.91</v>
      </c>
      <c r="E680" s="15">
        <v>0</v>
      </c>
      <c r="F680">
        <v>0</v>
      </c>
      <c r="G680">
        <v>0</v>
      </c>
      <c r="H680">
        <f>IFERROR(VLOOKUP(CENTRAL[[#This Row],[Cód]],SUB[#All],4,0),0) + CENTRAL[[#This Row],[CMM]]</f>
        <v>0.99</v>
      </c>
    </row>
    <row r="681" spans="1:8" x14ac:dyDescent="0.25">
      <c r="A681">
        <v>200003652</v>
      </c>
      <c r="B681" t="s">
        <v>628</v>
      </c>
      <c r="C681" t="s">
        <v>9</v>
      </c>
      <c r="D681">
        <v>0</v>
      </c>
      <c r="E681" s="15">
        <v>12</v>
      </c>
      <c r="F681">
        <v>0</v>
      </c>
      <c r="G681">
        <v>2</v>
      </c>
      <c r="H681">
        <f>IFERROR(VLOOKUP(CENTRAL[[#This Row],[Cód]],SUB[#All],4,0),0) + CENTRAL[[#This Row],[CMM]]</f>
        <v>0</v>
      </c>
    </row>
    <row r="682" spans="1:8" x14ac:dyDescent="0.25">
      <c r="A682">
        <v>200000504</v>
      </c>
      <c r="B682" t="s">
        <v>629</v>
      </c>
      <c r="C682" t="s">
        <v>9</v>
      </c>
      <c r="D682">
        <v>6.5</v>
      </c>
      <c r="E682" s="15">
        <v>1.18</v>
      </c>
      <c r="F682">
        <v>0</v>
      </c>
      <c r="G682">
        <v>133</v>
      </c>
      <c r="H682">
        <f>IFERROR(VLOOKUP(CENTRAL[[#This Row],[Cód]],SUB[#All],4,0),0) + CENTRAL[[#This Row],[CMM]]</f>
        <v>7.25</v>
      </c>
    </row>
    <row r="683" spans="1:8" x14ac:dyDescent="0.25">
      <c r="A683">
        <v>200000504</v>
      </c>
      <c r="B683" t="s">
        <v>629</v>
      </c>
      <c r="C683" t="s">
        <v>9</v>
      </c>
      <c r="D683">
        <v>6.5</v>
      </c>
      <c r="E683" s="15">
        <v>0</v>
      </c>
      <c r="F683">
        <v>0</v>
      </c>
      <c r="G683">
        <v>0</v>
      </c>
      <c r="H683">
        <f>IFERROR(VLOOKUP(CENTRAL[[#This Row],[Cód]],SUB[#All],4,0),0) + CENTRAL[[#This Row],[CMM]]</f>
        <v>7.25</v>
      </c>
    </row>
    <row r="684" spans="1:8" x14ac:dyDescent="0.25">
      <c r="A684">
        <v>200003534</v>
      </c>
      <c r="B684" t="s">
        <v>630</v>
      </c>
      <c r="C684" t="s">
        <v>9</v>
      </c>
      <c r="D684">
        <v>0</v>
      </c>
      <c r="E684" s="15">
        <v>0</v>
      </c>
      <c r="F684">
        <v>0</v>
      </c>
      <c r="G684">
        <v>0</v>
      </c>
      <c r="H684">
        <f>IFERROR(VLOOKUP(CENTRAL[[#This Row],[Cód]],SUB[#All],4,0),0) + CENTRAL[[#This Row],[CMM]]</f>
        <v>0</v>
      </c>
    </row>
    <row r="685" spans="1:8" x14ac:dyDescent="0.25">
      <c r="A685">
        <v>200000505</v>
      </c>
      <c r="B685" t="s">
        <v>631</v>
      </c>
      <c r="C685" t="s">
        <v>9</v>
      </c>
      <c r="D685">
        <v>1.41</v>
      </c>
      <c r="E685" s="15">
        <v>5.29</v>
      </c>
      <c r="F685">
        <v>0</v>
      </c>
      <c r="G685">
        <v>45</v>
      </c>
      <c r="H685">
        <f>IFERROR(VLOOKUP(CENTRAL[[#This Row],[Cód]],SUB[#All],4,0),0) + CENTRAL[[#This Row],[CMM]]</f>
        <v>1.41</v>
      </c>
    </row>
    <row r="686" spans="1:8" x14ac:dyDescent="0.25">
      <c r="A686">
        <v>200003309</v>
      </c>
      <c r="B686" s="18" t="s">
        <v>632</v>
      </c>
      <c r="C686" t="s">
        <v>9</v>
      </c>
      <c r="D686">
        <v>91.58</v>
      </c>
      <c r="E686" s="15">
        <v>0</v>
      </c>
      <c r="F686">
        <v>0</v>
      </c>
      <c r="G686">
        <v>0</v>
      </c>
      <c r="H686">
        <f>IFERROR(VLOOKUP(CENTRAL[[#This Row],[Cód]],SUB[#All],4,0),0) + CENTRAL[[#This Row],[CMM]]</f>
        <v>91.58</v>
      </c>
    </row>
    <row r="687" spans="1:8" x14ac:dyDescent="0.25">
      <c r="A687">
        <v>200006039</v>
      </c>
      <c r="B687" t="s">
        <v>633</v>
      </c>
      <c r="C687" t="s">
        <v>9</v>
      </c>
      <c r="D687">
        <v>39.909999999999997</v>
      </c>
      <c r="E687" s="15">
        <v>0</v>
      </c>
      <c r="F687">
        <v>0</v>
      </c>
      <c r="G687">
        <v>0</v>
      </c>
      <c r="H687">
        <f>IFERROR(VLOOKUP(CENTRAL[[#This Row],[Cód]],SUB[#All],4,0),0) + CENTRAL[[#This Row],[CMM]]</f>
        <v>41.489999999999995</v>
      </c>
    </row>
    <row r="688" spans="1:8" x14ac:dyDescent="0.25">
      <c r="A688">
        <v>200006198</v>
      </c>
      <c r="B688" s="17" t="s">
        <v>634</v>
      </c>
      <c r="C688" t="s">
        <v>9</v>
      </c>
      <c r="D688">
        <v>43.5</v>
      </c>
      <c r="E688" s="15">
        <v>0</v>
      </c>
      <c r="F688">
        <v>0</v>
      </c>
      <c r="G688">
        <v>0</v>
      </c>
      <c r="H688">
        <f>IFERROR(VLOOKUP(CENTRAL[[#This Row],[Cód]],SUB[#All],4,0),0) + CENTRAL[[#This Row],[CMM]]</f>
        <v>44.08</v>
      </c>
    </row>
    <row r="689" spans="1:8" x14ac:dyDescent="0.25">
      <c r="A689">
        <v>200000885</v>
      </c>
      <c r="B689" t="s">
        <v>635</v>
      </c>
      <c r="C689" t="s">
        <v>9</v>
      </c>
      <c r="D689">
        <v>0</v>
      </c>
      <c r="E689" s="15">
        <v>0</v>
      </c>
      <c r="F689">
        <v>0</v>
      </c>
      <c r="G689">
        <v>0</v>
      </c>
      <c r="H689">
        <f>IFERROR(VLOOKUP(CENTRAL[[#This Row],[Cód]],SUB[#All],4,0),0) + CENTRAL[[#This Row],[CMM]]</f>
        <v>3.33</v>
      </c>
    </row>
    <row r="690" spans="1:8" x14ac:dyDescent="0.25">
      <c r="A690">
        <v>200000885</v>
      </c>
      <c r="B690" t="s">
        <v>635</v>
      </c>
      <c r="C690" t="s">
        <v>9</v>
      </c>
      <c r="D690">
        <v>0</v>
      </c>
      <c r="E690" s="15">
        <v>0</v>
      </c>
      <c r="F690">
        <v>0</v>
      </c>
      <c r="G690">
        <v>0</v>
      </c>
      <c r="H690">
        <f>IFERROR(VLOOKUP(CENTRAL[[#This Row],[Cód]],SUB[#All],4,0),0) + CENTRAL[[#This Row],[CMM]]</f>
        <v>3.33</v>
      </c>
    </row>
    <row r="691" spans="1:8" x14ac:dyDescent="0.25">
      <c r="A691">
        <v>200006983</v>
      </c>
      <c r="B691" t="s">
        <v>636</v>
      </c>
      <c r="C691" t="s">
        <v>442</v>
      </c>
      <c r="D691">
        <v>0</v>
      </c>
      <c r="E691" s="15">
        <v>0</v>
      </c>
      <c r="F691">
        <v>0</v>
      </c>
      <c r="G691">
        <v>0</v>
      </c>
      <c r="H691">
        <f>IFERROR(VLOOKUP(CENTRAL[[#This Row],[Cód]],SUB[#All],4,0),0) + CENTRAL[[#This Row],[CMM]]</f>
        <v>0</v>
      </c>
    </row>
    <row r="692" spans="1:8" x14ac:dyDescent="0.25">
      <c r="A692">
        <v>200002144</v>
      </c>
      <c r="B692" t="s">
        <v>637</v>
      </c>
      <c r="C692" t="s">
        <v>9</v>
      </c>
      <c r="D692">
        <v>0</v>
      </c>
      <c r="E692" s="15">
        <v>0</v>
      </c>
      <c r="F692">
        <v>0</v>
      </c>
      <c r="G692">
        <v>0</v>
      </c>
      <c r="H692">
        <f>IFERROR(VLOOKUP(CENTRAL[[#This Row],[Cód]],SUB[#All],4,0),0) + CENTRAL[[#This Row],[CMM]]</f>
        <v>5</v>
      </c>
    </row>
    <row r="693" spans="1:8" x14ac:dyDescent="0.25">
      <c r="A693">
        <v>200002134</v>
      </c>
      <c r="B693" s="18" t="s">
        <v>638</v>
      </c>
      <c r="C693" t="s">
        <v>9</v>
      </c>
      <c r="D693">
        <v>0</v>
      </c>
      <c r="E693" s="15">
        <v>0</v>
      </c>
      <c r="F693">
        <v>0</v>
      </c>
      <c r="G693">
        <v>0</v>
      </c>
      <c r="H693">
        <f>IFERROR(VLOOKUP(CENTRAL[[#This Row],[Cód]],SUB[#All],4,0),0) + CENTRAL[[#This Row],[CMM]]</f>
        <v>0</v>
      </c>
    </row>
    <row r="694" spans="1:8" x14ac:dyDescent="0.25">
      <c r="A694">
        <v>200002132</v>
      </c>
      <c r="B694" t="s">
        <v>639</v>
      </c>
      <c r="C694" t="s">
        <v>9</v>
      </c>
      <c r="D694">
        <v>0</v>
      </c>
      <c r="E694" s="15">
        <v>0</v>
      </c>
      <c r="F694">
        <v>0</v>
      </c>
      <c r="G694">
        <v>0</v>
      </c>
      <c r="H694">
        <f>IFERROR(VLOOKUP(CENTRAL[[#This Row],[Cód]],SUB[#All],4,0),0) + CENTRAL[[#This Row],[CMM]]</f>
        <v>0</v>
      </c>
    </row>
    <row r="695" spans="1:8" x14ac:dyDescent="0.25">
      <c r="A695">
        <v>200002133</v>
      </c>
      <c r="B695" t="s">
        <v>640</v>
      </c>
      <c r="C695" t="s">
        <v>9</v>
      </c>
      <c r="D695">
        <v>0</v>
      </c>
      <c r="E695" s="15">
        <v>0</v>
      </c>
      <c r="F695">
        <v>0</v>
      </c>
      <c r="G695">
        <v>0</v>
      </c>
      <c r="H695">
        <f>IFERROR(VLOOKUP(CENTRAL[[#This Row],[Cód]],SUB[#All],4,0),0) + CENTRAL[[#This Row],[CMM]]</f>
        <v>0</v>
      </c>
    </row>
    <row r="696" spans="1:8" x14ac:dyDescent="0.25">
      <c r="A696">
        <v>200000522</v>
      </c>
      <c r="B696" t="s">
        <v>641</v>
      </c>
      <c r="C696" t="s">
        <v>9</v>
      </c>
      <c r="D696">
        <v>20.91</v>
      </c>
      <c r="E696" s="15">
        <v>0.22</v>
      </c>
      <c r="F696">
        <v>0</v>
      </c>
      <c r="G696">
        <v>78</v>
      </c>
      <c r="H696">
        <f>IFERROR(VLOOKUP(CENTRAL[[#This Row],[Cód]],SUB[#All],4,0),0) + CENTRAL[[#This Row],[CMM]]</f>
        <v>20.91</v>
      </c>
    </row>
    <row r="697" spans="1:8" x14ac:dyDescent="0.25">
      <c r="A697">
        <v>200002143</v>
      </c>
      <c r="B697" t="s">
        <v>642</v>
      </c>
      <c r="C697" t="s">
        <v>9</v>
      </c>
      <c r="D697">
        <v>0</v>
      </c>
      <c r="E697" s="15">
        <v>0</v>
      </c>
      <c r="F697">
        <v>0</v>
      </c>
      <c r="G697">
        <v>0</v>
      </c>
      <c r="H697">
        <f>IFERROR(VLOOKUP(CENTRAL[[#This Row],[Cód]],SUB[#All],4,0),0) + CENTRAL[[#This Row],[CMM]]</f>
        <v>0</v>
      </c>
    </row>
    <row r="698" spans="1:8" x14ac:dyDescent="0.25">
      <c r="A698">
        <v>200005819</v>
      </c>
      <c r="B698" t="s">
        <v>643</v>
      </c>
      <c r="C698" t="s">
        <v>96</v>
      </c>
      <c r="D698">
        <v>0.08</v>
      </c>
      <c r="E698" s="15">
        <v>28.28</v>
      </c>
      <c r="F698">
        <v>0</v>
      </c>
      <c r="G698">
        <v>14</v>
      </c>
      <c r="H698">
        <f>IFERROR(VLOOKUP(CENTRAL[[#This Row],[Cód]],SUB[#All],4,0),0) + CENTRAL[[#This Row],[CMM]]</f>
        <v>0.08</v>
      </c>
    </row>
    <row r="699" spans="1:8" x14ac:dyDescent="0.25">
      <c r="A699">
        <v>200005821</v>
      </c>
      <c r="B699" s="17" t="s">
        <v>644</v>
      </c>
      <c r="C699" t="s">
        <v>96</v>
      </c>
      <c r="D699">
        <v>0</v>
      </c>
      <c r="E699" s="15">
        <v>0</v>
      </c>
      <c r="F699">
        <v>0</v>
      </c>
      <c r="G699">
        <v>0</v>
      </c>
      <c r="H699">
        <f>IFERROR(VLOOKUP(CENTRAL[[#This Row],[Cód]],SUB[#All],4,0),0) + CENTRAL[[#This Row],[CMM]]</f>
        <v>0</v>
      </c>
    </row>
    <row r="700" spans="1:8" x14ac:dyDescent="0.25">
      <c r="A700">
        <v>200006560</v>
      </c>
      <c r="B700" t="s">
        <v>645</v>
      </c>
      <c r="C700" t="s">
        <v>96</v>
      </c>
      <c r="D700">
        <v>0.83</v>
      </c>
      <c r="E700" s="15">
        <v>31.77</v>
      </c>
      <c r="F700">
        <v>0</v>
      </c>
      <c r="G700">
        <v>50</v>
      </c>
      <c r="H700">
        <f>IFERROR(VLOOKUP(CENTRAL[[#This Row],[Cód]],SUB[#All],4,0),0) + CENTRAL[[#This Row],[CMM]]</f>
        <v>0.83</v>
      </c>
    </row>
    <row r="701" spans="1:8" x14ac:dyDescent="0.25">
      <c r="A701">
        <v>200005820</v>
      </c>
      <c r="B701" t="s">
        <v>646</v>
      </c>
      <c r="C701" t="s">
        <v>96</v>
      </c>
      <c r="D701">
        <v>6.75</v>
      </c>
      <c r="E701" s="15">
        <v>14.53</v>
      </c>
      <c r="F701">
        <v>7</v>
      </c>
      <c r="G701">
        <v>9</v>
      </c>
      <c r="H701">
        <f>IFERROR(VLOOKUP(CENTRAL[[#This Row],[Cód]],SUB[#All],4,0),0) + CENTRAL[[#This Row],[CMM]]</f>
        <v>7.66</v>
      </c>
    </row>
    <row r="702" spans="1:8" x14ac:dyDescent="0.25">
      <c r="A702">
        <v>200005981</v>
      </c>
      <c r="B702" t="s">
        <v>647</v>
      </c>
      <c r="C702" t="s">
        <v>96</v>
      </c>
      <c r="D702">
        <v>1.5</v>
      </c>
      <c r="E702" s="15">
        <v>0</v>
      </c>
      <c r="F702">
        <v>0</v>
      </c>
      <c r="G702">
        <v>0</v>
      </c>
      <c r="H702">
        <f>IFERROR(VLOOKUP(CENTRAL[[#This Row],[Cód]],SUB[#All],4,0),0) + CENTRAL[[#This Row],[CMM]]</f>
        <v>1.5</v>
      </c>
    </row>
    <row r="703" spans="1:8" x14ac:dyDescent="0.25">
      <c r="A703">
        <v>200005773</v>
      </c>
      <c r="B703" t="s">
        <v>648</v>
      </c>
      <c r="C703" t="s">
        <v>9</v>
      </c>
      <c r="D703">
        <v>0</v>
      </c>
      <c r="E703" s="15">
        <v>0</v>
      </c>
      <c r="F703">
        <v>0</v>
      </c>
      <c r="G703">
        <v>0</v>
      </c>
      <c r="H703">
        <f>IFERROR(VLOOKUP(CENTRAL[[#This Row],[Cód]],SUB[#All],4,0),0) + CENTRAL[[#This Row],[CMM]]</f>
        <v>0</v>
      </c>
    </row>
    <row r="704" spans="1:8" x14ac:dyDescent="0.25">
      <c r="A704">
        <v>200002142</v>
      </c>
      <c r="B704" t="s">
        <v>649</v>
      </c>
      <c r="C704" t="s">
        <v>9</v>
      </c>
      <c r="D704">
        <v>13.66</v>
      </c>
      <c r="E704" s="15">
        <v>0</v>
      </c>
      <c r="F704">
        <v>0</v>
      </c>
      <c r="G704">
        <v>0</v>
      </c>
      <c r="H704">
        <f>IFERROR(VLOOKUP(CENTRAL[[#This Row],[Cód]],SUB[#All],4,0),0) + CENTRAL[[#This Row],[CMM]]</f>
        <v>17.82</v>
      </c>
    </row>
    <row r="705" spans="1:8" x14ac:dyDescent="0.25">
      <c r="A705">
        <v>200002147</v>
      </c>
      <c r="B705" t="s">
        <v>650</v>
      </c>
      <c r="C705" t="s">
        <v>9</v>
      </c>
      <c r="D705">
        <v>0</v>
      </c>
      <c r="E705" s="15">
        <v>0</v>
      </c>
      <c r="F705">
        <v>0</v>
      </c>
      <c r="G705">
        <v>0</v>
      </c>
      <c r="H705">
        <f>IFERROR(VLOOKUP(CENTRAL[[#This Row],[Cód]],SUB[#All],4,0),0) + CENTRAL[[#This Row],[CMM]]</f>
        <v>0</v>
      </c>
    </row>
    <row r="706" spans="1:8" x14ac:dyDescent="0.25">
      <c r="A706">
        <v>200002151</v>
      </c>
      <c r="B706" t="s">
        <v>651</v>
      </c>
      <c r="C706" t="s">
        <v>9</v>
      </c>
      <c r="D706">
        <v>16.66</v>
      </c>
      <c r="E706" s="15">
        <v>0.25</v>
      </c>
      <c r="F706">
        <v>0</v>
      </c>
      <c r="G706">
        <v>4</v>
      </c>
      <c r="H706">
        <f>IFERROR(VLOOKUP(CENTRAL[[#This Row],[Cód]],SUB[#All],4,0),0) + CENTRAL[[#This Row],[CMM]]</f>
        <v>29.32</v>
      </c>
    </row>
    <row r="707" spans="1:8" x14ac:dyDescent="0.25">
      <c r="A707">
        <v>200006063</v>
      </c>
      <c r="B707" t="s">
        <v>652</v>
      </c>
      <c r="C707" t="s">
        <v>96</v>
      </c>
      <c r="D707">
        <v>0</v>
      </c>
      <c r="E707" s="15">
        <v>157</v>
      </c>
      <c r="F707">
        <v>0</v>
      </c>
      <c r="G707">
        <v>1</v>
      </c>
      <c r="H707">
        <f>IFERROR(VLOOKUP(CENTRAL[[#This Row],[Cód]],SUB[#All],4,0),0) + CENTRAL[[#This Row],[CMM]]</f>
        <v>0</v>
      </c>
    </row>
    <row r="708" spans="1:8" x14ac:dyDescent="0.25">
      <c r="A708">
        <v>200002146</v>
      </c>
      <c r="B708" t="s">
        <v>653</v>
      </c>
      <c r="C708" t="s">
        <v>9</v>
      </c>
      <c r="D708">
        <v>0</v>
      </c>
      <c r="E708" s="15">
        <v>0</v>
      </c>
      <c r="F708">
        <v>0</v>
      </c>
      <c r="G708">
        <v>0</v>
      </c>
      <c r="H708">
        <f>IFERROR(VLOOKUP(CENTRAL[[#This Row],[Cód]],SUB[#All],4,0),0) + CENTRAL[[#This Row],[CMM]]</f>
        <v>0</v>
      </c>
    </row>
    <row r="709" spans="1:8" x14ac:dyDescent="0.25">
      <c r="A709">
        <v>200002148</v>
      </c>
      <c r="B709" t="s">
        <v>654</v>
      </c>
      <c r="C709" t="s">
        <v>9</v>
      </c>
      <c r="D709">
        <v>0</v>
      </c>
      <c r="E709" s="15">
        <v>0</v>
      </c>
      <c r="F709">
        <v>0</v>
      </c>
      <c r="G709">
        <v>0</v>
      </c>
      <c r="H709">
        <f>IFERROR(VLOOKUP(CENTRAL[[#This Row],[Cód]],SUB[#All],4,0),0) + CENTRAL[[#This Row],[CMM]]</f>
        <v>0</v>
      </c>
    </row>
    <row r="710" spans="1:8" x14ac:dyDescent="0.25">
      <c r="A710">
        <v>200002149</v>
      </c>
      <c r="B710" t="s">
        <v>655</v>
      </c>
      <c r="C710" t="s">
        <v>9</v>
      </c>
      <c r="D710">
        <v>0</v>
      </c>
      <c r="E710" s="15">
        <v>0</v>
      </c>
      <c r="F710">
        <v>0</v>
      </c>
      <c r="G710">
        <v>0</v>
      </c>
      <c r="H710">
        <f>IFERROR(VLOOKUP(CENTRAL[[#This Row],[Cód]],SUB[#All],4,0),0) + CENTRAL[[#This Row],[CMM]]</f>
        <v>0</v>
      </c>
    </row>
    <row r="711" spans="1:8" x14ac:dyDescent="0.25">
      <c r="A711">
        <v>200002150</v>
      </c>
      <c r="B711" t="s">
        <v>656</v>
      </c>
      <c r="C711" t="s">
        <v>9</v>
      </c>
      <c r="D711">
        <v>0</v>
      </c>
      <c r="E711" s="15">
        <v>0</v>
      </c>
      <c r="F711">
        <v>0</v>
      </c>
      <c r="G711">
        <v>0</v>
      </c>
      <c r="H711">
        <f>IFERROR(VLOOKUP(CENTRAL[[#This Row],[Cód]],SUB[#All],4,0),0) + CENTRAL[[#This Row],[CMM]]</f>
        <v>0</v>
      </c>
    </row>
    <row r="712" spans="1:8" x14ac:dyDescent="0.25">
      <c r="A712">
        <v>200005822</v>
      </c>
      <c r="B712" t="s">
        <v>657</v>
      </c>
      <c r="C712" t="s">
        <v>96</v>
      </c>
      <c r="D712">
        <v>1.33</v>
      </c>
      <c r="E712" s="15">
        <v>88.77</v>
      </c>
      <c r="F712">
        <v>0</v>
      </c>
      <c r="G712">
        <v>6</v>
      </c>
      <c r="H712">
        <f>IFERROR(VLOOKUP(CENTRAL[[#This Row],[Cód]],SUB[#All],4,0),0) + CENTRAL[[#This Row],[CMM]]</f>
        <v>1.33</v>
      </c>
    </row>
    <row r="713" spans="1:8" x14ac:dyDescent="0.25">
      <c r="A713">
        <v>200002135</v>
      </c>
      <c r="B713" t="s">
        <v>658</v>
      </c>
      <c r="C713" t="s">
        <v>9</v>
      </c>
      <c r="D713">
        <v>0</v>
      </c>
      <c r="E713" s="15">
        <v>0</v>
      </c>
      <c r="F713">
        <v>0</v>
      </c>
      <c r="G713">
        <v>0</v>
      </c>
      <c r="H713">
        <f>IFERROR(VLOOKUP(CENTRAL[[#This Row],[Cód]],SUB[#All],4,0),0) + CENTRAL[[#This Row],[CMM]]</f>
        <v>0</v>
      </c>
    </row>
    <row r="714" spans="1:8" x14ac:dyDescent="0.25">
      <c r="A714">
        <v>200002155</v>
      </c>
      <c r="B714" t="s">
        <v>659</v>
      </c>
      <c r="C714" t="s">
        <v>9</v>
      </c>
      <c r="D714">
        <v>0</v>
      </c>
      <c r="E714" s="15">
        <v>0</v>
      </c>
      <c r="F714">
        <v>0</v>
      </c>
      <c r="G714">
        <v>0</v>
      </c>
      <c r="H714">
        <f>IFERROR(VLOOKUP(CENTRAL[[#This Row],[Cód]],SUB[#All],4,0),0) + CENTRAL[[#This Row],[CMM]]</f>
        <v>0</v>
      </c>
    </row>
    <row r="715" spans="1:8" x14ac:dyDescent="0.25">
      <c r="A715">
        <v>200004590</v>
      </c>
      <c r="B715" t="s">
        <v>660</v>
      </c>
      <c r="C715" t="s">
        <v>9</v>
      </c>
      <c r="D715">
        <v>0</v>
      </c>
      <c r="E715" s="15">
        <v>0</v>
      </c>
      <c r="F715">
        <v>0</v>
      </c>
      <c r="G715">
        <v>0</v>
      </c>
      <c r="H715">
        <f>IFERROR(VLOOKUP(CENTRAL[[#This Row],[Cód]],SUB[#All],4,0),0) + CENTRAL[[#This Row],[CMM]]</f>
        <v>0</v>
      </c>
    </row>
    <row r="716" spans="1:8" x14ac:dyDescent="0.25">
      <c r="A716">
        <v>200001069</v>
      </c>
      <c r="B716" t="s">
        <v>661</v>
      </c>
      <c r="C716" t="s">
        <v>9</v>
      </c>
      <c r="D716">
        <v>0</v>
      </c>
      <c r="E716" s="15">
        <v>0</v>
      </c>
      <c r="F716">
        <v>0</v>
      </c>
      <c r="G716">
        <v>0</v>
      </c>
      <c r="H716">
        <f>IFERROR(VLOOKUP(CENTRAL[[#This Row],[Cód]],SUB[#All],4,0),0) + CENTRAL[[#This Row],[CMM]]</f>
        <v>0</v>
      </c>
    </row>
    <row r="717" spans="1:8" x14ac:dyDescent="0.25">
      <c r="A717">
        <v>200005823</v>
      </c>
      <c r="B717" t="s">
        <v>662</v>
      </c>
      <c r="C717" t="s">
        <v>96</v>
      </c>
      <c r="D717">
        <v>0</v>
      </c>
      <c r="E717" s="15">
        <v>0</v>
      </c>
      <c r="F717">
        <v>0</v>
      </c>
      <c r="G717">
        <v>0</v>
      </c>
      <c r="H717">
        <f>IFERROR(VLOOKUP(CENTRAL[[#This Row],[Cód]],SUB[#All],4,0),0) + CENTRAL[[#This Row],[CMM]]</f>
        <v>0</v>
      </c>
    </row>
    <row r="718" spans="1:8" x14ac:dyDescent="0.25">
      <c r="A718">
        <v>200007036</v>
      </c>
      <c r="B718" t="s">
        <v>663</v>
      </c>
      <c r="C718" t="s">
        <v>9</v>
      </c>
      <c r="D718">
        <v>14.1</v>
      </c>
      <c r="E718" s="15">
        <v>10.36</v>
      </c>
      <c r="F718">
        <v>1698</v>
      </c>
      <c r="G718">
        <v>4171</v>
      </c>
      <c r="H718">
        <f>IFERROR(VLOOKUP(CENTRAL[[#This Row],[Cód]],SUB[#All],4,0),0) + CENTRAL[[#This Row],[CMM]]</f>
        <v>14.1</v>
      </c>
    </row>
    <row r="719" spans="1:8" x14ac:dyDescent="0.25">
      <c r="A719">
        <v>200005816</v>
      </c>
      <c r="B719" t="s">
        <v>664</v>
      </c>
      <c r="C719" t="s">
        <v>9</v>
      </c>
      <c r="D719">
        <v>0</v>
      </c>
      <c r="E719" s="15">
        <v>2.39</v>
      </c>
      <c r="F719">
        <v>0</v>
      </c>
      <c r="G719">
        <v>117</v>
      </c>
      <c r="H719">
        <f>IFERROR(VLOOKUP(CENTRAL[[#This Row],[Cód]],SUB[#All],4,0),0) + CENTRAL[[#This Row],[CMM]]</f>
        <v>0</v>
      </c>
    </row>
    <row r="720" spans="1:8" x14ac:dyDescent="0.25">
      <c r="A720">
        <v>200002139</v>
      </c>
      <c r="B720" t="s">
        <v>665</v>
      </c>
      <c r="C720" t="s">
        <v>9</v>
      </c>
      <c r="D720">
        <v>0</v>
      </c>
      <c r="E720" s="15">
        <v>0.5</v>
      </c>
      <c r="F720">
        <v>0</v>
      </c>
      <c r="G720">
        <v>825</v>
      </c>
      <c r="H720">
        <f>IFERROR(VLOOKUP(CENTRAL[[#This Row],[Cód]],SUB[#All],4,0),0) + CENTRAL[[#This Row],[CMM]]</f>
        <v>5.33</v>
      </c>
    </row>
    <row r="721" spans="1:8" x14ac:dyDescent="0.25">
      <c r="A721">
        <v>200002153</v>
      </c>
      <c r="B721" t="s">
        <v>666</v>
      </c>
      <c r="C721" t="s">
        <v>9</v>
      </c>
      <c r="D721">
        <v>0</v>
      </c>
      <c r="E721" s="15">
        <v>3.78</v>
      </c>
      <c r="F721">
        <v>0</v>
      </c>
      <c r="G721">
        <v>64</v>
      </c>
      <c r="H721">
        <f>IFERROR(VLOOKUP(CENTRAL[[#This Row],[Cód]],SUB[#All],4,0),0) + CENTRAL[[#This Row],[CMM]]</f>
        <v>0</v>
      </c>
    </row>
    <row r="722" spans="1:8" x14ac:dyDescent="0.25">
      <c r="A722">
        <v>200005229</v>
      </c>
      <c r="B722" t="s">
        <v>667</v>
      </c>
      <c r="C722" t="s">
        <v>9</v>
      </c>
      <c r="D722">
        <v>0</v>
      </c>
      <c r="E722" s="15">
        <v>4.63</v>
      </c>
      <c r="F722">
        <v>0</v>
      </c>
      <c r="G722">
        <v>1869</v>
      </c>
      <c r="H722">
        <f>IFERROR(VLOOKUP(CENTRAL[[#This Row],[Cód]],SUB[#All],4,0),0) + CENTRAL[[#This Row],[CMM]]</f>
        <v>0</v>
      </c>
    </row>
    <row r="723" spans="1:8" x14ac:dyDescent="0.25">
      <c r="A723">
        <v>200002140</v>
      </c>
      <c r="B723" t="s">
        <v>668</v>
      </c>
      <c r="C723" t="s">
        <v>9</v>
      </c>
      <c r="D723">
        <v>0</v>
      </c>
      <c r="E723" s="15">
        <v>0</v>
      </c>
      <c r="F723">
        <v>0</v>
      </c>
      <c r="G723">
        <v>0</v>
      </c>
      <c r="H723">
        <f>IFERROR(VLOOKUP(CENTRAL[[#This Row],[Cód]],SUB[#All],4,0),0) + CENTRAL[[#This Row],[CMM]]</f>
        <v>0</v>
      </c>
    </row>
    <row r="724" spans="1:8" x14ac:dyDescent="0.25">
      <c r="A724">
        <v>200002138</v>
      </c>
      <c r="B724" s="17" t="s">
        <v>669</v>
      </c>
      <c r="C724" t="s">
        <v>9</v>
      </c>
      <c r="D724">
        <v>0.41</v>
      </c>
      <c r="E724" s="15">
        <v>0</v>
      </c>
      <c r="F724">
        <v>0</v>
      </c>
      <c r="G724">
        <v>0</v>
      </c>
      <c r="H724">
        <f>IFERROR(VLOOKUP(CENTRAL[[#This Row],[Cód]],SUB[#All],4,0),0) + CENTRAL[[#This Row],[CMM]]</f>
        <v>0.41</v>
      </c>
    </row>
    <row r="725" spans="1:8" x14ac:dyDescent="0.25">
      <c r="A725">
        <v>200002154</v>
      </c>
      <c r="B725" t="s">
        <v>669</v>
      </c>
      <c r="C725" t="s">
        <v>9</v>
      </c>
      <c r="D725">
        <v>0</v>
      </c>
      <c r="E725" s="15">
        <v>0</v>
      </c>
      <c r="F725">
        <v>0</v>
      </c>
      <c r="G725">
        <v>0</v>
      </c>
      <c r="H725">
        <f>IFERROR(VLOOKUP(CENTRAL[[#This Row],[Cód]],SUB[#All],4,0),0) + CENTRAL[[#This Row],[CMM]]</f>
        <v>1.58</v>
      </c>
    </row>
    <row r="726" spans="1:8" x14ac:dyDescent="0.25">
      <c r="A726">
        <v>200002159</v>
      </c>
      <c r="B726" t="s">
        <v>670</v>
      </c>
      <c r="C726" t="s">
        <v>9</v>
      </c>
      <c r="D726">
        <v>0</v>
      </c>
      <c r="E726" s="15">
        <v>0</v>
      </c>
      <c r="F726">
        <v>0</v>
      </c>
      <c r="G726">
        <v>0</v>
      </c>
      <c r="H726">
        <f>IFERROR(VLOOKUP(CENTRAL[[#This Row],[Cód]],SUB[#All],4,0),0) + CENTRAL[[#This Row],[CMM]]</f>
        <v>0</v>
      </c>
    </row>
    <row r="727" spans="1:8" x14ac:dyDescent="0.25">
      <c r="A727">
        <v>200004146</v>
      </c>
      <c r="B727" t="s">
        <v>671</v>
      </c>
      <c r="C727" t="s">
        <v>9</v>
      </c>
      <c r="D727">
        <v>0</v>
      </c>
      <c r="E727" s="15">
        <v>0</v>
      </c>
      <c r="F727">
        <v>0</v>
      </c>
      <c r="G727">
        <v>0</v>
      </c>
      <c r="H727">
        <f>IFERROR(VLOOKUP(CENTRAL[[#This Row],[Cód]],SUB[#All],4,0),0) + CENTRAL[[#This Row],[CMM]]</f>
        <v>0</v>
      </c>
    </row>
    <row r="728" spans="1:8" x14ac:dyDescent="0.25">
      <c r="A728">
        <v>200005088</v>
      </c>
      <c r="B728" t="s">
        <v>672</v>
      </c>
      <c r="C728" t="s">
        <v>9</v>
      </c>
      <c r="D728">
        <v>0</v>
      </c>
      <c r="E728" s="15">
        <v>0</v>
      </c>
      <c r="F728">
        <v>0</v>
      </c>
      <c r="G728">
        <v>0</v>
      </c>
      <c r="H728">
        <f>IFERROR(VLOOKUP(CENTRAL[[#This Row],[Cód]],SUB[#All],4,0),0) + CENTRAL[[#This Row],[CMM]]</f>
        <v>0</v>
      </c>
    </row>
    <row r="729" spans="1:8" x14ac:dyDescent="0.25">
      <c r="A729">
        <v>200005982</v>
      </c>
      <c r="B729" t="s">
        <v>673</v>
      </c>
      <c r="C729" t="s">
        <v>96</v>
      </c>
      <c r="D729">
        <v>0</v>
      </c>
      <c r="E729" s="15">
        <v>0</v>
      </c>
      <c r="F729">
        <v>0</v>
      </c>
      <c r="G729">
        <v>0</v>
      </c>
      <c r="H729">
        <f>IFERROR(VLOOKUP(CENTRAL[[#This Row],[Cód]],SUB[#All],4,0),0) + CENTRAL[[#This Row],[CMM]]</f>
        <v>0</v>
      </c>
    </row>
    <row r="730" spans="1:8" x14ac:dyDescent="0.25">
      <c r="A730">
        <v>200005228</v>
      </c>
      <c r="B730" t="s">
        <v>674</v>
      </c>
      <c r="C730" t="s">
        <v>9</v>
      </c>
      <c r="D730">
        <v>0</v>
      </c>
      <c r="E730" s="15">
        <v>0</v>
      </c>
      <c r="F730">
        <v>0</v>
      </c>
      <c r="G730">
        <v>0</v>
      </c>
      <c r="H730">
        <f>IFERROR(VLOOKUP(CENTRAL[[#This Row],[Cód]],SUB[#All],4,0),0) + CENTRAL[[#This Row],[CMM]]</f>
        <v>0</v>
      </c>
    </row>
    <row r="731" spans="1:8" x14ac:dyDescent="0.25">
      <c r="A731">
        <v>200005824</v>
      </c>
      <c r="B731" t="s">
        <v>675</v>
      </c>
      <c r="C731" t="s">
        <v>96</v>
      </c>
      <c r="D731">
        <v>20.58</v>
      </c>
      <c r="E731" s="15">
        <v>11.16</v>
      </c>
      <c r="F731">
        <v>30</v>
      </c>
      <c r="G731">
        <v>157</v>
      </c>
      <c r="H731">
        <f>IFERROR(VLOOKUP(CENTRAL[[#This Row],[Cód]],SUB[#All],4,0),0) + CENTRAL[[#This Row],[CMM]]</f>
        <v>23.659999999999997</v>
      </c>
    </row>
    <row r="732" spans="1:8" x14ac:dyDescent="0.25">
      <c r="A732">
        <v>200002137</v>
      </c>
      <c r="B732" t="s">
        <v>676</v>
      </c>
      <c r="C732" t="s">
        <v>9</v>
      </c>
      <c r="D732">
        <v>0</v>
      </c>
      <c r="E732" s="15">
        <v>0</v>
      </c>
      <c r="F732">
        <v>0</v>
      </c>
      <c r="G732">
        <v>0</v>
      </c>
      <c r="H732">
        <f>IFERROR(VLOOKUP(CENTRAL[[#This Row],[Cód]],SUB[#All],4,0),0) + CENTRAL[[#This Row],[CMM]]</f>
        <v>0</v>
      </c>
    </row>
    <row r="733" spans="1:8" x14ac:dyDescent="0.25">
      <c r="A733">
        <v>200007037</v>
      </c>
      <c r="B733" t="s">
        <v>677</v>
      </c>
      <c r="C733" t="s">
        <v>9</v>
      </c>
      <c r="D733">
        <v>39.9</v>
      </c>
      <c r="E733" s="15">
        <v>3.89</v>
      </c>
      <c r="F733">
        <v>72</v>
      </c>
      <c r="G733">
        <v>2100</v>
      </c>
      <c r="H733">
        <f>IFERROR(VLOOKUP(CENTRAL[[#This Row],[Cód]],SUB[#All],4,0),0) + CENTRAL[[#This Row],[CMM]]</f>
        <v>39.9</v>
      </c>
    </row>
    <row r="734" spans="1:8" x14ac:dyDescent="0.25">
      <c r="A734">
        <v>200006064</v>
      </c>
      <c r="B734" t="s">
        <v>678</v>
      </c>
      <c r="C734" t="s">
        <v>9</v>
      </c>
      <c r="D734">
        <v>0</v>
      </c>
      <c r="E734" s="15">
        <v>0</v>
      </c>
      <c r="F734">
        <v>0</v>
      </c>
      <c r="G734">
        <v>0</v>
      </c>
      <c r="H734">
        <f>IFERROR(VLOOKUP(CENTRAL[[#This Row],[Cód]],SUB[#All],4,0),0) + CENTRAL[[#This Row],[CMM]]</f>
        <v>0</v>
      </c>
    </row>
    <row r="735" spans="1:8" x14ac:dyDescent="0.25">
      <c r="A735">
        <v>200006697</v>
      </c>
      <c r="B735" t="s">
        <v>679</v>
      </c>
      <c r="C735" t="s">
        <v>9</v>
      </c>
      <c r="D735">
        <v>0</v>
      </c>
      <c r="E735" s="15">
        <v>0</v>
      </c>
      <c r="F735">
        <v>0</v>
      </c>
      <c r="G735">
        <v>0</v>
      </c>
      <c r="H735">
        <f>IFERROR(VLOOKUP(CENTRAL[[#This Row],[Cód]],SUB[#All],4,0),0) + CENTRAL[[#This Row],[CMM]]</f>
        <v>0</v>
      </c>
    </row>
    <row r="736" spans="1:8" x14ac:dyDescent="0.25">
      <c r="A736">
        <v>200002136</v>
      </c>
      <c r="B736" t="s">
        <v>680</v>
      </c>
      <c r="C736" t="s">
        <v>9</v>
      </c>
      <c r="D736">
        <v>0</v>
      </c>
      <c r="E736" s="15">
        <v>0</v>
      </c>
      <c r="F736">
        <v>0</v>
      </c>
      <c r="G736">
        <v>0</v>
      </c>
      <c r="H736">
        <f>IFERROR(VLOOKUP(CENTRAL[[#This Row],[Cód]],SUB[#All],4,0),0) + CENTRAL[[#This Row],[CMM]]</f>
        <v>0</v>
      </c>
    </row>
    <row r="737" spans="1:8" x14ac:dyDescent="0.25">
      <c r="A737">
        <v>200003403</v>
      </c>
      <c r="B737" t="s">
        <v>681</v>
      </c>
      <c r="C737" t="s">
        <v>9</v>
      </c>
      <c r="D737">
        <v>0</v>
      </c>
      <c r="E737" s="15">
        <v>0</v>
      </c>
      <c r="F737">
        <v>0</v>
      </c>
      <c r="G737">
        <v>0</v>
      </c>
      <c r="H737">
        <f>IFERROR(VLOOKUP(CENTRAL[[#This Row],[Cód]],SUB[#All],4,0),0) + CENTRAL[[#This Row],[CMM]]</f>
        <v>0</v>
      </c>
    </row>
    <row r="738" spans="1:8" x14ac:dyDescent="0.25">
      <c r="A738">
        <v>200002157</v>
      </c>
      <c r="B738" t="s">
        <v>682</v>
      </c>
      <c r="C738" t="s">
        <v>9</v>
      </c>
      <c r="D738">
        <v>0</v>
      </c>
      <c r="E738" s="15">
        <v>0</v>
      </c>
      <c r="F738">
        <v>0</v>
      </c>
      <c r="G738">
        <v>0</v>
      </c>
      <c r="H738">
        <f>IFERROR(VLOOKUP(CENTRAL[[#This Row],[Cód]],SUB[#All],4,0),0) + CENTRAL[[#This Row],[CMM]]</f>
        <v>0</v>
      </c>
    </row>
    <row r="739" spans="1:8" x14ac:dyDescent="0.25">
      <c r="A739">
        <v>200005441</v>
      </c>
      <c r="B739" t="s">
        <v>683</v>
      </c>
      <c r="C739" t="s">
        <v>9</v>
      </c>
      <c r="D739">
        <v>0.83</v>
      </c>
      <c r="E739" s="15">
        <v>14.14</v>
      </c>
      <c r="F739">
        <v>0</v>
      </c>
      <c r="G739">
        <v>95</v>
      </c>
      <c r="H739">
        <f>IFERROR(VLOOKUP(CENTRAL[[#This Row],[Cód]],SUB[#All],4,0),0) + CENTRAL[[#This Row],[CMM]]</f>
        <v>0.83</v>
      </c>
    </row>
    <row r="740" spans="1:8" x14ac:dyDescent="0.25">
      <c r="A740">
        <v>200005686</v>
      </c>
      <c r="B740" t="s">
        <v>684</v>
      </c>
      <c r="C740" t="s">
        <v>9</v>
      </c>
      <c r="D740">
        <v>0</v>
      </c>
      <c r="E740" s="15">
        <v>0</v>
      </c>
      <c r="F740">
        <v>0</v>
      </c>
      <c r="G740">
        <v>0</v>
      </c>
      <c r="H740">
        <f>IFERROR(VLOOKUP(CENTRAL[[#This Row],[Cód]],SUB[#All],4,0),0) + CENTRAL[[#This Row],[CMM]]</f>
        <v>0</v>
      </c>
    </row>
    <row r="741" spans="1:8" x14ac:dyDescent="0.25">
      <c r="A741">
        <v>200005046</v>
      </c>
      <c r="B741" t="s">
        <v>685</v>
      </c>
      <c r="C741" t="s">
        <v>9</v>
      </c>
      <c r="D741">
        <v>0</v>
      </c>
      <c r="E741" s="15">
        <v>0</v>
      </c>
      <c r="F741">
        <v>0</v>
      </c>
      <c r="G741">
        <v>0</v>
      </c>
      <c r="H741">
        <f>IFERROR(VLOOKUP(CENTRAL[[#This Row],[Cód]],SUB[#All],4,0),0) + CENTRAL[[#This Row],[CMM]]</f>
        <v>0</v>
      </c>
    </row>
    <row r="742" spans="1:8" x14ac:dyDescent="0.25">
      <c r="A742">
        <v>200006004</v>
      </c>
      <c r="B742" t="s">
        <v>686</v>
      </c>
      <c r="C742" t="s">
        <v>687</v>
      </c>
      <c r="D742">
        <v>0</v>
      </c>
      <c r="E742" s="15">
        <v>0</v>
      </c>
      <c r="F742">
        <v>0</v>
      </c>
      <c r="G742">
        <v>0</v>
      </c>
      <c r="H742">
        <f>IFERROR(VLOOKUP(CENTRAL[[#This Row],[Cód]],SUB[#All],4,0),0) + CENTRAL[[#This Row],[CMM]]</f>
        <v>0</v>
      </c>
    </row>
    <row r="743" spans="1:8" x14ac:dyDescent="0.25">
      <c r="A743">
        <v>200003302</v>
      </c>
      <c r="B743" t="s">
        <v>688</v>
      </c>
      <c r="C743" t="s">
        <v>86</v>
      </c>
      <c r="D743">
        <v>0</v>
      </c>
      <c r="E743" s="15">
        <v>0</v>
      </c>
      <c r="F743">
        <v>0</v>
      </c>
      <c r="G743">
        <v>0</v>
      </c>
      <c r="H743">
        <f>IFERROR(VLOOKUP(CENTRAL[[#This Row],[Cód]],SUB[#All],4,0),0) + CENTRAL[[#This Row],[CMM]]</f>
        <v>0</v>
      </c>
    </row>
    <row r="744" spans="1:8" x14ac:dyDescent="0.25">
      <c r="A744">
        <v>200005224</v>
      </c>
      <c r="B744" t="s">
        <v>689</v>
      </c>
      <c r="C744" t="s">
        <v>687</v>
      </c>
      <c r="D744">
        <v>0</v>
      </c>
      <c r="E744" s="15">
        <v>0</v>
      </c>
      <c r="F744">
        <v>0</v>
      </c>
      <c r="G744">
        <v>0</v>
      </c>
      <c r="H744">
        <f>IFERROR(VLOOKUP(CENTRAL[[#This Row],[Cód]],SUB[#All],4,0),0) + CENTRAL[[#This Row],[CMM]]</f>
        <v>0</v>
      </c>
    </row>
    <row r="745" spans="1:8" x14ac:dyDescent="0.25">
      <c r="A745">
        <v>200006756</v>
      </c>
      <c r="B745" t="s">
        <v>690</v>
      </c>
      <c r="C745" t="s">
        <v>9</v>
      </c>
      <c r="D745">
        <v>0</v>
      </c>
      <c r="E745" s="15">
        <v>0</v>
      </c>
      <c r="F745">
        <v>0</v>
      </c>
      <c r="G745">
        <v>0</v>
      </c>
      <c r="H745">
        <f>IFERROR(VLOOKUP(CENTRAL[[#This Row],[Cód]],SUB[#All],4,0),0) + CENTRAL[[#This Row],[CMM]]</f>
        <v>0</v>
      </c>
    </row>
    <row r="746" spans="1:8" x14ac:dyDescent="0.25">
      <c r="A746">
        <v>200004557</v>
      </c>
      <c r="B746" t="s">
        <v>691</v>
      </c>
      <c r="C746" t="s">
        <v>110</v>
      </c>
      <c r="D746">
        <v>0</v>
      </c>
      <c r="E746" s="15">
        <v>0</v>
      </c>
      <c r="F746">
        <v>0</v>
      </c>
      <c r="G746">
        <v>0</v>
      </c>
      <c r="H746">
        <f>IFERROR(VLOOKUP(CENTRAL[[#This Row],[Cód]],SUB[#All],4,0),0) + CENTRAL[[#This Row],[CMM]]</f>
        <v>0</v>
      </c>
    </row>
    <row r="747" spans="1:8" x14ac:dyDescent="0.25">
      <c r="A747">
        <v>200004558</v>
      </c>
      <c r="B747" t="s">
        <v>692</v>
      </c>
      <c r="C747" t="s">
        <v>110</v>
      </c>
      <c r="D747">
        <v>0</v>
      </c>
      <c r="E747" s="15">
        <v>0</v>
      </c>
      <c r="F747">
        <v>0</v>
      </c>
      <c r="G747">
        <v>0</v>
      </c>
      <c r="H747">
        <f>IFERROR(VLOOKUP(CENTRAL[[#This Row],[Cód]],SUB[#All],4,0),0) + CENTRAL[[#This Row],[CMM]]</f>
        <v>0</v>
      </c>
    </row>
    <row r="748" spans="1:8" x14ac:dyDescent="0.25">
      <c r="A748">
        <v>200004556</v>
      </c>
      <c r="B748" t="s">
        <v>693</v>
      </c>
      <c r="C748" t="s">
        <v>110</v>
      </c>
      <c r="D748">
        <v>0</v>
      </c>
      <c r="E748" s="15">
        <v>0</v>
      </c>
      <c r="F748">
        <v>0</v>
      </c>
      <c r="G748">
        <v>0</v>
      </c>
      <c r="H748">
        <f>IFERROR(VLOOKUP(CENTRAL[[#This Row],[Cód]],SUB[#All],4,0),0) + CENTRAL[[#This Row],[CMM]]</f>
        <v>0</v>
      </c>
    </row>
    <row r="749" spans="1:8" x14ac:dyDescent="0.25">
      <c r="A749">
        <v>200006078</v>
      </c>
      <c r="B749" t="s">
        <v>694</v>
      </c>
      <c r="C749" t="s">
        <v>9</v>
      </c>
      <c r="D749">
        <v>22.33</v>
      </c>
      <c r="E749" s="15">
        <v>13.56</v>
      </c>
      <c r="F749">
        <v>10</v>
      </c>
      <c r="G749">
        <v>546</v>
      </c>
      <c r="H749">
        <f>IFERROR(VLOOKUP(CENTRAL[[#This Row],[Cód]],SUB[#All],4,0),0) + CENTRAL[[#This Row],[CMM]]</f>
        <v>22.33</v>
      </c>
    </row>
    <row r="750" spans="1:8" x14ac:dyDescent="0.25">
      <c r="A750">
        <v>200005815</v>
      </c>
      <c r="B750" t="s">
        <v>695</v>
      </c>
      <c r="C750" t="s">
        <v>696</v>
      </c>
      <c r="D750">
        <v>22.91</v>
      </c>
      <c r="E750" s="15">
        <v>0</v>
      </c>
      <c r="F750">
        <v>0</v>
      </c>
      <c r="G750">
        <v>0</v>
      </c>
      <c r="H750">
        <f>IFERROR(VLOOKUP(CENTRAL[[#This Row],[Cód]],SUB[#All],4,0),0) + CENTRAL[[#This Row],[CMM]]</f>
        <v>31.07</v>
      </c>
    </row>
    <row r="751" spans="1:8" x14ac:dyDescent="0.25">
      <c r="A751">
        <v>200003313</v>
      </c>
      <c r="B751" t="s">
        <v>697</v>
      </c>
      <c r="C751" t="s">
        <v>9</v>
      </c>
      <c r="D751">
        <v>0</v>
      </c>
      <c r="E751" s="15">
        <v>0</v>
      </c>
      <c r="F751">
        <v>0</v>
      </c>
      <c r="G751">
        <v>0</v>
      </c>
      <c r="H751">
        <f>IFERROR(VLOOKUP(CENTRAL[[#This Row],[Cód]],SUB[#All],4,0),0) + CENTRAL[[#This Row],[CMM]]</f>
        <v>0</v>
      </c>
    </row>
    <row r="752" spans="1:8" x14ac:dyDescent="0.25">
      <c r="A752">
        <v>200000888</v>
      </c>
      <c r="B752" t="s">
        <v>698</v>
      </c>
      <c r="C752" t="s">
        <v>9</v>
      </c>
      <c r="D752">
        <v>0</v>
      </c>
      <c r="E752" s="15">
        <v>0</v>
      </c>
      <c r="F752">
        <v>0</v>
      </c>
      <c r="G752">
        <v>0</v>
      </c>
      <c r="H752">
        <f>IFERROR(VLOOKUP(CENTRAL[[#This Row],[Cód]],SUB[#All],4,0),0) + CENTRAL[[#This Row],[CMM]]</f>
        <v>0</v>
      </c>
    </row>
    <row r="753" spans="1:8" x14ac:dyDescent="0.25">
      <c r="A753">
        <v>200003704</v>
      </c>
      <c r="B753" t="s">
        <v>699</v>
      </c>
      <c r="C753" t="s">
        <v>9</v>
      </c>
      <c r="D753">
        <v>0</v>
      </c>
      <c r="E753" s="15">
        <v>0</v>
      </c>
      <c r="F753">
        <v>0</v>
      </c>
      <c r="G753">
        <v>0</v>
      </c>
      <c r="H753">
        <f>IFERROR(VLOOKUP(CENTRAL[[#This Row],[Cód]],SUB[#All],4,0),0) + CENTRAL[[#This Row],[CMM]]</f>
        <v>0</v>
      </c>
    </row>
    <row r="754" spans="1:8" x14ac:dyDescent="0.25">
      <c r="A754">
        <v>200005098</v>
      </c>
      <c r="B754" t="s">
        <v>700</v>
      </c>
      <c r="C754" t="s">
        <v>696</v>
      </c>
      <c r="D754">
        <v>0.57999999999999996</v>
      </c>
      <c r="E754" s="15">
        <v>0</v>
      </c>
      <c r="F754">
        <v>0</v>
      </c>
      <c r="G754">
        <v>0</v>
      </c>
      <c r="H754">
        <f>IFERROR(VLOOKUP(CENTRAL[[#This Row],[Cód]],SUB[#All],4,0),0) + CENTRAL[[#This Row],[CMM]]</f>
        <v>2.83</v>
      </c>
    </row>
    <row r="755" spans="1:8" x14ac:dyDescent="0.25">
      <c r="A755">
        <v>200001210</v>
      </c>
      <c r="B755" t="s">
        <v>701</v>
      </c>
      <c r="C755" t="s">
        <v>9</v>
      </c>
      <c r="D755">
        <v>161.41</v>
      </c>
      <c r="E755" s="15">
        <v>0</v>
      </c>
      <c r="F755">
        <v>0</v>
      </c>
      <c r="G755">
        <v>0</v>
      </c>
      <c r="H755">
        <f>IFERROR(VLOOKUP(CENTRAL[[#This Row],[Cód]],SUB[#All],4,0),0) + CENTRAL[[#This Row],[CMM]]</f>
        <v>161.41</v>
      </c>
    </row>
    <row r="756" spans="1:8" x14ac:dyDescent="0.25">
      <c r="A756">
        <v>200003314</v>
      </c>
      <c r="B756" t="s">
        <v>702</v>
      </c>
      <c r="C756" t="s">
        <v>9</v>
      </c>
      <c r="D756">
        <v>153.66</v>
      </c>
      <c r="E756" s="15">
        <v>0</v>
      </c>
      <c r="F756">
        <v>0</v>
      </c>
      <c r="G756">
        <v>0</v>
      </c>
      <c r="H756">
        <f>IFERROR(VLOOKUP(CENTRAL[[#This Row],[Cód]],SUB[#All],4,0),0) + CENTRAL[[#This Row],[CMM]]</f>
        <v>154.49</v>
      </c>
    </row>
    <row r="757" spans="1:8" x14ac:dyDescent="0.25">
      <c r="A757">
        <v>200003311</v>
      </c>
      <c r="B757" t="s">
        <v>703</v>
      </c>
      <c r="C757" t="s">
        <v>9</v>
      </c>
      <c r="D757">
        <v>549.16</v>
      </c>
      <c r="E757" s="15">
        <v>0</v>
      </c>
      <c r="F757">
        <v>0</v>
      </c>
      <c r="G757">
        <v>0</v>
      </c>
      <c r="H757">
        <f>IFERROR(VLOOKUP(CENTRAL[[#This Row],[Cód]],SUB[#All],4,0),0) + CENTRAL[[#This Row],[CMM]]</f>
        <v>549.16</v>
      </c>
    </row>
    <row r="758" spans="1:8" x14ac:dyDescent="0.25">
      <c r="A758">
        <v>200000886</v>
      </c>
      <c r="B758" t="s">
        <v>704</v>
      </c>
      <c r="C758" t="s">
        <v>9</v>
      </c>
      <c r="D758">
        <v>491.25</v>
      </c>
      <c r="E758" s="15">
        <v>0</v>
      </c>
      <c r="F758">
        <v>0</v>
      </c>
      <c r="G758">
        <v>0</v>
      </c>
      <c r="H758">
        <f>IFERROR(VLOOKUP(CENTRAL[[#This Row],[Cód]],SUB[#All],4,0),0) + CENTRAL[[#This Row],[CMM]]</f>
        <v>494.25</v>
      </c>
    </row>
    <row r="759" spans="1:8" x14ac:dyDescent="0.25">
      <c r="A759">
        <v>200003312</v>
      </c>
      <c r="B759" t="s">
        <v>705</v>
      </c>
      <c r="C759" t="s">
        <v>9</v>
      </c>
      <c r="D759">
        <v>841.33</v>
      </c>
      <c r="E759" s="15">
        <v>0</v>
      </c>
      <c r="F759">
        <v>0</v>
      </c>
      <c r="G759">
        <v>0</v>
      </c>
      <c r="H759">
        <f>IFERROR(VLOOKUP(CENTRAL[[#This Row],[Cód]],SUB[#All],4,0),0) + CENTRAL[[#This Row],[CMM]]</f>
        <v>841.33</v>
      </c>
    </row>
    <row r="760" spans="1:8" x14ac:dyDescent="0.25">
      <c r="A760">
        <v>200000887</v>
      </c>
      <c r="B760" t="s">
        <v>706</v>
      </c>
      <c r="C760" t="s">
        <v>9</v>
      </c>
      <c r="D760">
        <v>936.75</v>
      </c>
      <c r="E760" s="15">
        <v>0</v>
      </c>
      <c r="F760">
        <v>0</v>
      </c>
      <c r="G760">
        <v>0</v>
      </c>
      <c r="H760">
        <f>IFERROR(VLOOKUP(CENTRAL[[#This Row],[Cód]],SUB[#All],4,0),0) + CENTRAL[[#This Row],[CMM]]</f>
        <v>942.75</v>
      </c>
    </row>
    <row r="761" spans="1:8" x14ac:dyDescent="0.25">
      <c r="A761">
        <v>200005290</v>
      </c>
      <c r="B761" t="s">
        <v>707</v>
      </c>
      <c r="C761" t="s">
        <v>9</v>
      </c>
      <c r="D761">
        <v>46.66</v>
      </c>
      <c r="E761" s="15">
        <v>15.59</v>
      </c>
      <c r="F761">
        <v>1085</v>
      </c>
      <c r="G761">
        <v>2167</v>
      </c>
      <c r="H761">
        <f>IFERROR(VLOOKUP(CENTRAL[[#This Row],[Cód]],SUB[#All],4,0),0) + CENTRAL[[#This Row],[CMM]]</f>
        <v>46.66</v>
      </c>
    </row>
    <row r="762" spans="1:8" x14ac:dyDescent="0.25">
      <c r="A762">
        <v>200005513</v>
      </c>
      <c r="B762" t="s">
        <v>708</v>
      </c>
      <c r="C762" t="s">
        <v>9</v>
      </c>
      <c r="D762">
        <v>15.66</v>
      </c>
      <c r="E762" s="15">
        <v>13.66</v>
      </c>
      <c r="F762">
        <v>0</v>
      </c>
      <c r="G762">
        <v>2664</v>
      </c>
      <c r="H762">
        <f>IFERROR(VLOOKUP(CENTRAL[[#This Row],[Cód]],SUB[#All],4,0),0) + CENTRAL[[#This Row],[CMM]]</f>
        <v>15.66</v>
      </c>
    </row>
    <row r="763" spans="1:8" x14ac:dyDescent="0.25">
      <c r="A763">
        <v>200005435</v>
      </c>
      <c r="B763" t="s">
        <v>709</v>
      </c>
      <c r="C763" t="s">
        <v>9</v>
      </c>
      <c r="D763">
        <v>0</v>
      </c>
      <c r="E763" s="15">
        <v>0</v>
      </c>
      <c r="F763">
        <v>0</v>
      </c>
      <c r="G763">
        <v>0</v>
      </c>
      <c r="H763">
        <f>IFERROR(VLOOKUP(CENTRAL[[#This Row],[Cód]],SUB[#All],4,0),0) + CENTRAL[[#This Row],[CMM]]</f>
        <v>0</v>
      </c>
    </row>
    <row r="764" spans="1:8" x14ac:dyDescent="0.25">
      <c r="A764">
        <v>200004090</v>
      </c>
      <c r="B764" t="s">
        <v>710</v>
      </c>
      <c r="C764" t="s">
        <v>9</v>
      </c>
      <c r="D764">
        <v>0</v>
      </c>
      <c r="E764" s="15">
        <v>0</v>
      </c>
      <c r="F764">
        <v>0</v>
      </c>
      <c r="G764">
        <v>0</v>
      </c>
      <c r="H764">
        <f>IFERROR(VLOOKUP(CENTRAL[[#This Row],[Cód]],SUB[#All],4,0),0) + CENTRAL[[#This Row],[CMM]]</f>
        <v>0</v>
      </c>
    </row>
    <row r="765" spans="1:8" x14ac:dyDescent="0.25">
      <c r="A765">
        <v>200004193</v>
      </c>
      <c r="B765" t="s">
        <v>711</v>
      </c>
      <c r="C765" t="s">
        <v>9</v>
      </c>
      <c r="D765">
        <v>1.83</v>
      </c>
      <c r="E765" s="15">
        <v>0</v>
      </c>
      <c r="F765">
        <v>0</v>
      </c>
      <c r="G765">
        <v>0</v>
      </c>
      <c r="H765">
        <f>IFERROR(VLOOKUP(CENTRAL[[#This Row],[Cód]],SUB[#All],4,0),0) + CENTRAL[[#This Row],[CMM]]</f>
        <v>1.83</v>
      </c>
    </row>
    <row r="766" spans="1:8" x14ac:dyDescent="0.25">
      <c r="A766">
        <v>200004193</v>
      </c>
      <c r="B766" t="s">
        <v>711</v>
      </c>
      <c r="C766" t="s">
        <v>9</v>
      </c>
      <c r="D766">
        <v>1.83</v>
      </c>
      <c r="E766" s="15">
        <v>0</v>
      </c>
      <c r="F766">
        <v>0</v>
      </c>
      <c r="G766">
        <v>0</v>
      </c>
      <c r="H766">
        <f>IFERROR(VLOOKUP(CENTRAL[[#This Row],[Cód]],SUB[#All],4,0),0) + CENTRAL[[#This Row],[CMM]]</f>
        <v>1.83</v>
      </c>
    </row>
    <row r="767" spans="1:8" x14ac:dyDescent="0.25">
      <c r="A767">
        <v>200002119</v>
      </c>
      <c r="B767" t="s">
        <v>712</v>
      </c>
      <c r="C767" t="s">
        <v>9</v>
      </c>
      <c r="D767">
        <v>0</v>
      </c>
      <c r="E767" s="15">
        <v>104.15</v>
      </c>
      <c r="F767">
        <v>1</v>
      </c>
      <c r="G767">
        <v>0</v>
      </c>
      <c r="H767">
        <f>IFERROR(VLOOKUP(CENTRAL[[#This Row],[Cód]],SUB[#All],4,0),0) + CENTRAL[[#This Row],[CMM]]</f>
        <v>0</v>
      </c>
    </row>
    <row r="768" spans="1:8" x14ac:dyDescent="0.25">
      <c r="A768">
        <v>200000530</v>
      </c>
      <c r="B768" t="s">
        <v>713</v>
      </c>
      <c r="C768" t="s">
        <v>714</v>
      </c>
      <c r="D768">
        <v>0</v>
      </c>
      <c r="E768" s="15">
        <v>0</v>
      </c>
      <c r="F768">
        <v>0</v>
      </c>
      <c r="G768">
        <v>0</v>
      </c>
      <c r="H768">
        <f>IFERROR(VLOOKUP(CENTRAL[[#This Row],[Cód]],SUB[#All],4,0),0) + CENTRAL[[#This Row],[CMM]]</f>
        <v>0</v>
      </c>
    </row>
    <row r="769" spans="1:8" x14ac:dyDescent="0.25">
      <c r="A769">
        <v>200000531</v>
      </c>
      <c r="B769" t="s">
        <v>715</v>
      </c>
      <c r="C769" t="s">
        <v>714</v>
      </c>
      <c r="D769">
        <v>7.41</v>
      </c>
      <c r="E769" s="15">
        <v>4.0999999999999996</v>
      </c>
      <c r="F769">
        <v>4</v>
      </c>
      <c r="G769">
        <v>82</v>
      </c>
      <c r="H769">
        <f>IFERROR(VLOOKUP(CENTRAL[[#This Row],[Cód]],SUB[#All],4,0),0) + CENTRAL[[#This Row],[CMM]]</f>
        <v>9.74</v>
      </c>
    </row>
    <row r="770" spans="1:8" x14ac:dyDescent="0.25">
      <c r="A770">
        <v>200000532</v>
      </c>
      <c r="B770" t="s">
        <v>716</v>
      </c>
      <c r="C770" t="s">
        <v>714</v>
      </c>
      <c r="D770">
        <v>1.1599999999999999</v>
      </c>
      <c r="E770" s="15">
        <v>4.99</v>
      </c>
      <c r="F770">
        <v>0</v>
      </c>
      <c r="G770">
        <v>30</v>
      </c>
      <c r="H770">
        <f>IFERROR(VLOOKUP(CENTRAL[[#This Row],[Cód]],SUB[#All],4,0),0) + CENTRAL[[#This Row],[CMM]]</f>
        <v>1.1599999999999999</v>
      </c>
    </row>
    <row r="771" spans="1:8" x14ac:dyDescent="0.25">
      <c r="A771">
        <v>200000533</v>
      </c>
      <c r="B771" t="s">
        <v>717</v>
      </c>
      <c r="C771" t="s">
        <v>714</v>
      </c>
      <c r="D771">
        <v>0.75</v>
      </c>
      <c r="E771" s="15">
        <v>4.75</v>
      </c>
      <c r="F771">
        <v>0</v>
      </c>
      <c r="G771">
        <v>7</v>
      </c>
      <c r="H771">
        <f>IFERROR(VLOOKUP(CENTRAL[[#This Row],[Cód]],SUB[#All],4,0),0) + CENTRAL[[#This Row],[CMM]]</f>
        <v>0.75</v>
      </c>
    </row>
    <row r="772" spans="1:8" x14ac:dyDescent="0.25">
      <c r="A772">
        <v>200002362</v>
      </c>
      <c r="B772" t="s">
        <v>718</v>
      </c>
      <c r="C772" t="s">
        <v>9</v>
      </c>
      <c r="D772">
        <v>0.08</v>
      </c>
      <c r="E772" s="15">
        <v>18.54</v>
      </c>
      <c r="F772">
        <v>0</v>
      </c>
      <c r="G772">
        <v>1</v>
      </c>
      <c r="H772">
        <f>IFERROR(VLOOKUP(CENTRAL[[#This Row],[Cód]],SUB[#All],4,0),0) + CENTRAL[[#This Row],[CMM]]</f>
        <v>0.16</v>
      </c>
    </row>
    <row r="773" spans="1:8" x14ac:dyDescent="0.25">
      <c r="A773">
        <v>200002363</v>
      </c>
      <c r="B773" t="s">
        <v>719</v>
      </c>
      <c r="C773" t="s">
        <v>9</v>
      </c>
      <c r="D773">
        <v>0.08</v>
      </c>
      <c r="E773" s="15">
        <v>18.53</v>
      </c>
      <c r="F773">
        <v>0</v>
      </c>
      <c r="G773">
        <v>3</v>
      </c>
      <c r="H773">
        <f>IFERROR(VLOOKUP(CENTRAL[[#This Row],[Cód]],SUB[#All],4,0),0) + CENTRAL[[#This Row],[CMM]]</f>
        <v>0.16</v>
      </c>
    </row>
    <row r="774" spans="1:8" x14ac:dyDescent="0.25">
      <c r="A774">
        <v>200004131</v>
      </c>
      <c r="B774" t="s">
        <v>720</v>
      </c>
      <c r="C774" t="s">
        <v>721</v>
      </c>
      <c r="D774">
        <v>0</v>
      </c>
      <c r="E774" s="15">
        <v>0</v>
      </c>
      <c r="F774">
        <v>0</v>
      </c>
      <c r="G774">
        <v>0</v>
      </c>
      <c r="H774">
        <f>IFERROR(VLOOKUP(CENTRAL[[#This Row],[Cód]],SUB[#All],4,0),0) + CENTRAL[[#This Row],[CMM]]</f>
        <v>0</v>
      </c>
    </row>
    <row r="775" spans="1:8" x14ac:dyDescent="0.25">
      <c r="A775">
        <v>200003705</v>
      </c>
      <c r="B775" t="s">
        <v>722</v>
      </c>
      <c r="C775" t="s">
        <v>96</v>
      </c>
      <c r="D775">
        <v>0</v>
      </c>
      <c r="E775" s="15">
        <v>0</v>
      </c>
      <c r="F775">
        <v>0</v>
      </c>
      <c r="G775">
        <v>0</v>
      </c>
      <c r="H775">
        <f>IFERROR(VLOOKUP(CENTRAL[[#This Row],[Cód]],SUB[#All],4,0),0) + CENTRAL[[#This Row],[CMM]]</f>
        <v>0</v>
      </c>
    </row>
    <row r="776" spans="1:8" x14ac:dyDescent="0.25">
      <c r="A776">
        <v>200003705</v>
      </c>
      <c r="B776" t="s">
        <v>722</v>
      </c>
      <c r="C776" t="s">
        <v>96</v>
      </c>
      <c r="D776">
        <v>0</v>
      </c>
      <c r="E776" s="15">
        <v>0</v>
      </c>
      <c r="F776">
        <v>0</v>
      </c>
      <c r="G776">
        <v>0</v>
      </c>
      <c r="H776">
        <f>IFERROR(VLOOKUP(CENTRAL[[#This Row],[Cód]],SUB[#All],4,0),0) + CENTRAL[[#This Row],[CMM]]</f>
        <v>0</v>
      </c>
    </row>
    <row r="777" spans="1:8" x14ac:dyDescent="0.25">
      <c r="A777">
        <v>200003084</v>
      </c>
      <c r="B777" t="s">
        <v>723</v>
      </c>
      <c r="C777" t="s">
        <v>96</v>
      </c>
      <c r="D777">
        <v>0</v>
      </c>
      <c r="E777" s="15">
        <v>0</v>
      </c>
      <c r="F777">
        <v>0</v>
      </c>
      <c r="G777">
        <v>0</v>
      </c>
      <c r="H777">
        <f>IFERROR(VLOOKUP(CENTRAL[[#This Row],[Cód]],SUB[#All],4,0),0) + CENTRAL[[#This Row],[CMM]]</f>
        <v>0</v>
      </c>
    </row>
    <row r="778" spans="1:8" x14ac:dyDescent="0.25">
      <c r="A778">
        <v>200003084</v>
      </c>
      <c r="B778" t="s">
        <v>723</v>
      </c>
      <c r="C778" t="s">
        <v>96</v>
      </c>
      <c r="D778">
        <v>0</v>
      </c>
      <c r="E778" s="15">
        <v>0</v>
      </c>
      <c r="F778">
        <v>0</v>
      </c>
      <c r="G778">
        <v>0</v>
      </c>
      <c r="H778">
        <f>IFERROR(VLOOKUP(CENTRAL[[#This Row],[Cód]],SUB[#All],4,0),0) + CENTRAL[[#This Row],[CMM]]</f>
        <v>0</v>
      </c>
    </row>
    <row r="779" spans="1:8" x14ac:dyDescent="0.25">
      <c r="A779">
        <v>200007231</v>
      </c>
      <c r="B779" t="s">
        <v>724</v>
      </c>
      <c r="C779" t="s">
        <v>96</v>
      </c>
      <c r="D779">
        <v>30</v>
      </c>
      <c r="E779" s="15">
        <v>0</v>
      </c>
      <c r="F779">
        <v>0</v>
      </c>
      <c r="G779">
        <v>0</v>
      </c>
      <c r="H779">
        <f>IFERROR(VLOOKUP(CENTRAL[[#This Row],[Cód]],SUB[#All],4,0),0) + CENTRAL[[#This Row],[CMM]]</f>
        <v>30</v>
      </c>
    </row>
    <row r="780" spans="1:8" x14ac:dyDescent="0.25">
      <c r="A780">
        <v>200007232</v>
      </c>
      <c r="B780" t="s">
        <v>725</v>
      </c>
      <c r="C780" t="s">
        <v>96</v>
      </c>
      <c r="D780">
        <v>44</v>
      </c>
      <c r="E780" s="15">
        <v>0</v>
      </c>
      <c r="F780">
        <v>0</v>
      </c>
      <c r="G780">
        <v>0</v>
      </c>
      <c r="H780">
        <f>IFERROR(VLOOKUP(CENTRAL[[#This Row],[Cód]],SUB[#All],4,0),0) + CENTRAL[[#This Row],[CMM]]</f>
        <v>44</v>
      </c>
    </row>
    <row r="781" spans="1:8" x14ac:dyDescent="0.25">
      <c r="A781">
        <v>200006263</v>
      </c>
      <c r="B781" t="s">
        <v>726</v>
      </c>
      <c r="C781" t="s">
        <v>721</v>
      </c>
      <c r="D781">
        <v>34.583333000000003</v>
      </c>
      <c r="E781" s="15">
        <v>137.91999999999999</v>
      </c>
      <c r="F781">
        <v>0</v>
      </c>
      <c r="G781">
        <v>2734</v>
      </c>
      <c r="H781">
        <f>IFERROR(VLOOKUP(CENTRAL[[#This Row],[Cód]],SUB[#All],4,0),0) + CENTRAL[[#This Row],[CMM]]</f>
        <v>34.583333000000003</v>
      </c>
    </row>
    <row r="782" spans="1:8" x14ac:dyDescent="0.25">
      <c r="A782">
        <v>200005117</v>
      </c>
      <c r="B782" t="s">
        <v>727</v>
      </c>
      <c r="C782" t="s">
        <v>110</v>
      </c>
      <c r="D782">
        <v>0</v>
      </c>
      <c r="E782" s="15">
        <v>0</v>
      </c>
      <c r="F782">
        <v>0</v>
      </c>
      <c r="G782">
        <v>0</v>
      </c>
      <c r="H782">
        <f>IFERROR(VLOOKUP(CENTRAL[[#This Row],[Cód]],SUB[#All],4,0),0) + CENTRAL[[#This Row],[CMM]]</f>
        <v>0</v>
      </c>
    </row>
    <row r="783" spans="1:8" x14ac:dyDescent="0.25">
      <c r="A783">
        <v>200005117</v>
      </c>
      <c r="B783" t="s">
        <v>727</v>
      </c>
      <c r="C783" t="s">
        <v>110</v>
      </c>
      <c r="D783">
        <v>0</v>
      </c>
      <c r="E783" s="15">
        <v>0</v>
      </c>
      <c r="F783">
        <v>0</v>
      </c>
      <c r="G783">
        <v>0</v>
      </c>
      <c r="H783">
        <f>IFERROR(VLOOKUP(CENTRAL[[#This Row],[Cód]],SUB[#All],4,0),0) + CENTRAL[[#This Row],[CMM]]</f>
        <v>0</v>
      </c>
    </row>
    <row r="784" spans="1:8" x14ac:dyDescent="0.25">
      <c r="A784">
        <v>200006128</v>
      </c>
      <c r="B784" t="s">
        <v>728</v>
      </c>
      <c r="C784" t="s">
        <v>721</v>
      </c>
      <c r="D784">
        <v>21.058333000000001</v>
      </c>
      <c r="E784" s="15">
        <v>128</v>
      </c>
      <c r="F784">
        <v>0</v>
      </c>
      <c r="G784">
        <v>220</v>
      </c>
      <c r="H784">
        <f>IFERROR(VLOOKUP(CENTRAL[[#This Row],[Cód]],SUB[#All],4,0),0) + CENTRAL[[#This Row],[CMM]]</f>
        <v>21.058333000000001</v>
      </c>
    </row>
    <row r="785" spans="1:8" x14ac:dyDescent="0.25">
      <c r="A785">
        <v>200006128</v>
      </c>
      <c r="B785" t="s">
        <v>728</v>
      </c>
      <c r="C785" t="s">
        <v>721</v>
      </c>
      <c r="D785">
        <v>21.058333000000001</v>
      </c>
      <c r="E785" s="15">
        <v>0</v>
      </c>
      <c r="F785">
        <v>0</v>
      </c>
      <c r="G785">
        <v>0</v>
      </c>
      <c r="H785">
        <f>IFERROR(VLOOKUP(CENTRAL[[#This Row],[Cód]],SUB[#All],4,0),0) + CENTRAL[[#This Row],[CMM]]</f>
        <v>21.058333000000001</v>
      </c>
    </row>
    <row r="786" spans="1:8" x14ac:dyDescent="0.25">
      <c r="A786">
        <v>200007032</v>
      </c>
      <c r="B786" t="s">
        <v>729</v>
      </c>
      <c r="C786" t="s">
        <v>721</v>
      </c>
      <c r="D786">
        <v>18.181818</v>
      </c>
      <c r="E786" s="15">
        <v>0</v>
      </c>
      <c r="F786">
        <v>0</v>
      </c>
      <c r="G786">
        <v>0</v>
      </c>
      <c r="H786">
        <f>IFERROR(VLOOKUP(CENTRAL[[#This Row],[Cód]],SUB[#All],4,0),0) + CENTRAL[[#This Row],[CMM]]</f>
        <v>18.181818</v>
      </c>
    </row>
    <row r="787" spans="1:8" x14ac:dyDescent="0.25">
      <c r="A787">
        <v>200004231</v>
      </c>
      <c r="B787" t="s">
        <v>730</v>
      </c>
      <c r="C787" t="s">
        <v>96</v>
      </c>
      <c r="D787">
        <v>0</v>
      </c>
      <c r="E787" s="15">
        <v>0</v>
      </c>
      <c r="F787">
        <v>0</v>
      </c>
      <c r="G787">
        <v>0</v>
      </c>
      <c r="H787">
        <f>IFERROR(VLOOKUP(CENTRAL[[#This Row],[Cód]],SUB[#All],4,0),0) + CENTRAL[[#This Row],[CMM]]</f>
        <v>0</v>
      </c>
    </row>
    <row r="788" spans="1:8" x14ac:dyDescent="0.25">
      <c r="A788">
        <v>200001592</v>
      </c>
      <c r="B788" t="s">
        <v>731</v>
      </c>
      <c r="C788" t="s">
        <v>9</v>
      </c>
      <c r="D788">
        <v>0</v>
      </c>
      <c r="E788" s="15">
        <v>0</v>
      </c>
      <c r="F788">
        <v>0</v>
      </c>
      <c r="G788">
        <v>0</v>
      </c>
      <c r="H788">
        <f>IFERROR(VLOOKUP(CENTRAL[[#This Row],[Cód]],SUB[#All],4,0),0) + CENTRAL[[#This Row],[CMM]]</f>
        <v>0</v>
      </c>
    </row>
    <row r="789" spans="1:8" x14ac:dyDescent="0.25">
      <c r="A789">
        <v>200001034</v>
      </c>
      <c r="B789" t="s">
        <v>732</v>
      </c>
      <c r="C789" t="s">
        <v>9</v>
      </c>
      <c r="D789">
        <v>0</v>
      </c>
      <c r="E789" s="15">
        <v>0</v>
      </c>
      <c r="F789">
        <v>0</v>
      </c>
      <c r="G789">
        <v>0</v>
      </c>
      <c r="H789">
        <f>IFERROR(VLOOKUP(CENTRAL[[#This Row],[Cód]],SUB[#All],4,0),0) + CENTRAL[[#This Row],[CMM]]</f>
        <v>0</v>
      </c>
    </row>
    <row r="790" spans="1:8" x14ac:dyDescent="0.25">
      <c r="A790">
        <v>200004118</v>
      </c>
      <c r="B790" t="s">
        <v>733</v>
      </c>
      <c r="C790" t="s">
        <v>9</v>
      </c>
      <c r="D790">
        <v>94.58</v>
      </c>
      <c r="E790" s="15">
        <v>0</v>
      </c>
      <c r="F790">
        <v>0</v>
      </c>
      <c r="G790">
        <v>0</v>
      </c>
      <c r="H790">
        <f>IFERROR(VLOOKUP(CENTRAL[[#This Row],[Cód]],SUB[#All],4,0),0) + CENTRAL[[#This Row],[CMM]]</f>
        <v>94.58</v>
      </c>
    </row>
    <row r="791" spans="1:8" x14ac:dyDescent="0.25">
      <c r="A791">
        <v>200000544</v>
      </c>
      <c r="B791" t="s">
        <v>734</v>
      </c>
      <c r="C791" t="s">
        <v>9</v>
      </c>
      <c r="D791">
        <v>0</v>
      </c>
      <c r="E791" s="15">
        <v>0</v>
      </c>
      <c r="F791">
        <v>0</v>
      </c>
      <c r="G791">
        <v>0</v>
      </c>
      <c r="H791">
        <f>IFERROR(VLOOKUP(CENTRAL[[#This Row],[Cód]],SUB[#All],4,0),0) + CENTRAL[[#This Row],[CMM]]</f>
        <v>0</v>
      </c>
    </row>
    <row r="792" spans="1:8" x14ac:dyDescent="0.25">
      <c r="A792">
        <v>200006278</v>
      </c>
      <c r="B792" t="s">
        <v>735</v>
      </c>
      <c r="C792" t="s">
        <v>9</v>
      </c>
      <c r="D792">
        <v>0.16</v>
      </c>
      <c r="E792" s="15">
        <v>0</v>
      </c>
      <c r="F792">
        <v>0</v>
      </c>
      <c r="G792">
        <v>0</v>
      </c>
      <c r="H792">
        <f>IFERROR(VLOOKUP(CENTRAL[[#This Row],[Cód]],SUB[#All],4,0),0) + CENTRAL[[#This Row],[CMM]]</f>
        <v>0.16</v>
      </c>
    </row>
    <row r="793" spans="1:8" x14ac:dyDescent="0.25">
      <c r="A793">
        <v>200004017</v>
      </c>
      <c r="B793" t="s">
        <v>736</v>
      </c>
      <c r="C793" t="s">
        <v>9</v>
      </c>
      <c r="D793">
        <v>0</v>
      </c>
      <c r="E793" s="15">
        <v>0</v>
      </c>
      <c r="F793">
        <v>0</v>
      </c>
      <c r="G793">
        <v>0</v>
      </c>
      <c r="H793">
        <f>IFERROR(VLOOKUP(CENTRAL[[#This Row],[Cód]],SUB[#All],4,0),0) + CENTRAL[[#This Row],[CMM]]</f>
        <v>0</v>
      </c>
    </row>
    <row r="794" spans="1:8" x14ac:dyDescent="0.25">
      <c r="A794">
        <v>200003169</v>
      </c>
      <c r="B794" t="s">
        <v>737</v>
      </c>
      <c r="C794" t="s">
        <v>9</v>
      </c>
      <c r="D794">
        <v>7.08</v>
      </c>
      <c r="E794" s="15">
        <v>1.19</v>
      </c>
      <c r="F794">
        <v>0</v>
      </c>
      <c r="G794">
        <v>1</v>
      </c>
      <c r="H794">
        <f>IFERROR(VLOOKUP(CENTRAL[[#This Row],[Cód]],SUB[#All],4,0),0) + CENTRAL[[#This Row],[CMM]]</f>
        <v>7.08</v>
      </c>
    </row>
    <row r="795" spans="1:8" x14ac:dyDescent="0.25">
      <c r="A795">
        <v>200002004</v>
      </c>
      <c r="B795" t="s">
        <v>738</v>
      </c>
      <c r="C795" t="s">
        <v>9</v>
      </c>
      <c r="D795">
        <v>0</v>
      </c>
      <c r="E795" s="15">
        <v>0.75</v>
      </c>
      <c r="F795">
        <v>0</v>
      </c>
      <c r="G795">
        <v>14</v>
      </c>
      <c r="H795">
        <f>IFERROR(VLOOKUP(CENTRAL[[#This Row],[Cód]],SUB[#All],4,0),0) + CENTRAL[[#This Row],[CMM]]</f>
        <v>0.25</v>
      </c>
    </row>
    <row r="796" spans="1:8" x14ac:dyDescent="0.25">
      <c r="A796">
        <v>200003653</v>
      </c>
      <c r="B796" t="s">
        <v>739</v>
      </c>
      <c r="C796" t="s">
        <v>9</v>
      </c>
      <c r="D796">
        <v>0</v>
      </c>
      <c r="E796" s="15">
        <v>0</v>
      </c>
      <c r="F796">
        <v>0</v>
      </c>
      <c r="G796">
        <v>0</v>
      </c>
      <c r="H796">
        <f>IFERROR(VLOOKUP(CENTRAL[[#This Row],[Cód]],SUB[#All],4,0),0) + CENTRAL[[#This Row],[CMM]]</f>
        <v>0</v>
      </c>
    </row>
    <row r="797" spans="1:8" x14ac:dyDescent="0.25">
      <c r="A797">
        <v>200003654</v>
      </c>
      <c r="B797" t="s">
        <v>740</v>
      </c>
      <c r="C797" t="s">
        <v>9</v>
      </c>
      <c r="D797">
        <v>0</v>
      </c>
      <c r="E797" s="15">
        <v>0</v>
      </c>
      <c r="F797">
        <v>0</v>
      </c>
      <c r="G797">
        <v>0</v>
      </c>
      <c r="H797">
        <f>IFERROR(VLOOKUP(CENTRAL[[#This Row],[Cód]],SUB[#All],4,0),0) + CENTRAL[[#This Row],[CMM]]</f>
        <v>0</v>
      </c>
    </row>
    <row r="798" spans="1:8" x14ac:dyDescent="0.25">
      <c r="A798">
        <v>200000547</v>
      </c>
      <c r="B798" t="s">
        <v>741</v>
      </c>
      <c r="C798" t="s">
        <v>9</v>
      </c>
      <c r="D798">
        <v>0.66</v>
      </c>
      <c r="E798" s="15">
        <v>0.53</v>
      </c>
      <c r="F798">
        <v>0</v>
      </c>
      <c r="G798">
        <v>37</v>
      </c>
      <c r="H798">
        <f>IFERROR(VLOOKUP(CENTRAL[[#This Row],[Cód]],SUB[#All],4,0),0) + CENTRAL[[#This Row],[CMM]]</f>
        <v>0.82000000000000006</v>
      </c>
    </row>
    <row r="799" spans="1:8" x14ac:dyDescent="0.25">
      <c r="A799">
        <v>200003655</v>
      </c>
      <c r="B799" t="s">
        <v>742</v>
      </c>
      <c r="C799" t="s">
        <v>9</v>
      </c>
      <c r="D799">
        <v>0</v>
      </c>
      <c r="E799" s="15">
        <v>0</v>
      </c>
      <c r="F799">
        <v>0</v>
      </c>
      <c r="G799">
        <v>0</v>
      </c>
      <c r="H799">
        <f>IFERROR(VLOOKUP(CENTRAL[[#This Row],[Cód]],SUB[#All],4,0),0) + CENTRAL[[#This Row],[CMM]]</f>
        <v>0</v>
      </c>
    </row>
    <row r="800" spans="1:8" x14ac:dyDescent="0.25">
      <c r="A800">
        <v>200000548</v>
      </c>
      <c r="B800" t="s">
        <v>743</v>
      </c>
      <c r="C800" t="s">
        <v>9</v>
      </c>
      <c r="D800">
        <v>0.83</v>
      </c>
      <c r="E800" s="15">
        <v>0</v>
      </c>
      <c r="F800">
        <v>0</v>
      </c>
      <c r="G800">
        <v>0</v>
      </c>
      <c r="H800">
        <f>IFERROR(VLOOKUP(CENTRAL[[#This Row],[Cód]],SUB[#All],4,0),0) + CENTRAL[[#This Row],[CMM]]</f>
        <v>1.24</v>
      </c>
    </row>
    <row r="801" spans="1:8" x14ac:dyDescent="0.25">
      <c r="A801">
        <v>200000551</v>
      </c>
      <c r="B801" t="s">
        <v>744</v>
      </c>
      <c r="C801" t="s">
        <v>9</v>
      </c>
      <c r="D801">
        <v>0</v>
      </c>
      <c r="E801" s="15">
        <v>0</v>
      </c>
      <c r="F801">
        <v>0</v>
      </c>
      <c r="G801">
        <v>0</v>
      </c>
      <c r="H801">
        <f>IFERROR(VLOOKUP(CENTRAL[[#This Row],[Cód]],SUB[#All],4,0),0) + CENTRAL[[#This Row],[CMM]]</f>
        <v>0</v>
      </c>
    </row>
    <row r="802" spans="1:8" x14ac:dyDescent="0.25">
      <c r="A802">
        <v>200000551</v>
      </c>
      <c r="B802" t="s">
        <v>744</v>
      </c>
      <c r="C802" t="s">
        <v>9</v>
      </c>
      <c r="D802">
        <v>0</v>
      </c>
      <c r="E802" s="15">
        <v>0</v>
      </c>
      <c r="F802">
        <v>0</v>
      </c>
      <c r="G802">
        <v>0</v>
      </c>
      <c r="H802">
        <f>IFERROR(VLOOKUP(CENTRAL[[#This Row],[Cód]],SUB[#All],4,0),0) + CENTRAL[[#This Row],[CMM]]</f>
        <v>0</v>
      </c>
    </row>
    <row r="803" spans="1:8" x14ac:dyDescent="0.25">
      <c r="A803">
        <v>200004983</v>
      </c>
      <c r="B803" t="s">
        <v>745</v>
      </c>
      <c r="C803" t="s">
        <v>9</v>
      </c>
      <c r="D803">
        <v>2.58</v>
      </c>
      <c r="E803" s="15">
        <v>6.6</v>
      </c>
      <c r="F803">
        <v>0</v>
      </c>
      <c r="G803">
        <v>29</v>
      </c>
      <c r="H803">
        <f>IFERROR(VLOOKUP(CENTRAL[[#This Row],[Cód]],SUB[#All],4,0),0) + CENTRAL[[#This Row],[CMM]]</f>
        <v>2.58</v>
      </c>
    </row>
    <row r="804" spans="1:8" x14ac:dyDescent="0.25">
      <c r="A804">
        <v>200004982</v>
      </c>
      <c r="B804" t="s">
        <v>746</v>
      </c>
      <c r="C804" t="s">
        <v>9</v>
      </c>
      <c r="D804">
        <v>1.25</v>
      </c>
      <c r="E804" s="15">
        <v>5</v>
      </c>
      <c r="F804">
        <v>0</v>
      </c>
      <c r="G804">
        <v>23</v>
      </c>
      <c r="H804">
        <f>IFERROR(VLOOKUP(CENTRAL[[#This Row],[Cód]],SUB[#All],4,0),0) + CENTRAL[[#This Row],[CMM]]</f>
        <v>1.25</v>
      </c>
    </row>
    <row r="805" spans="1:8" x14ac:dyDescent="0.25">
      <c r="A805">
        <v>200007073</v>
      </c>
      <c r="B805" t="s">
        <v>747</v>
      </c>
      <c r="C805" t="s">
        <v>9</v>
      </c>
      <c r="D805">
        <v>1.3</v>
      </c>
      <c r="E805" s="15">
        <v>9</v>
      </c>
      <c r="F805">
        <v>0</v>
      </c>
      <c r="G805">
        <v>27</v>
      </c>
      <c r="H805">
        <f>IFERROR(VLOOKUP(CENTRAL[[#This Row],[Cód]],SUB[#All],4,0),0) + CENTRAL[[#This Row],[CMM]]</f>
        <v>1.3</v>
      </c>
    </row>
    <row r="806" spans="1:8" x14ac:dyDescent="0.25">
      <c r="A806">
        <v>200004166</v>
      </c>
      <c r="B806" t="s">
        <v>748</v>
      </c>
      <c r="C806" t="s">
        <v>9</v>
      </c>
      <c r="D806">
        <v>0</v>
      </c>
      <c r="E806" s="15">
        <v>0</v>
      </c>
      <c r="F806">
        <v>0</v>
      </c>
      <c r="G806">
        <v>0</v>
      </c>
      <c r="H806">
        <f>IFERROR(VLOOKUP(CENTRAL[[#This Row],[Cód]],SUB[#All],4,0),0) + CENTRAL[[#This Row],[CMM]]</f>
        <v>1.33</v>
      </c>
    </row>
    <row r="807" spans="1:8" x14ac:dyDescent="0.25">
      <c r="A807">
        <v>200003884</v>
      </c>
      <c r="B807" t="s">
        <v>749</v>
      </c>
      <c r="C807" t="s">
        <v>9</v>
      </c>
      <c r="D807">
        <v>0.16</v>
      </c>
      <c r="E807" s="15">
        <v>105</v>
      </c>
      <c r="F807">
        <v>0</v>
      </c>
      <c r="G807">
        <v>1</v>
      </c>
      <c r="H807">
        <f>IFERROR(VLOOKUP(CENTRAL[[#This Row],[Cód]],SUB[#All],4,0),0) + CENTRAL[[#This Row],[CMM]]</f>
        <v>0.56999999999999995</v>
      </c>
    </row>
    <row r="808" spans="1:8" x14ac:dyDescent="0.25">
      <c r="A808">
        <v>200002698</v>
      </c>
      <c r="B808" t="s">
        <v>750</v>
      </c>
      <c r="C808" t="s">
        <v>9</v>
      </c>
      <c r="D808">
        <v>3.58</v>
      </c>
      <c r="E808" s="15">
        <v>115</v>
      </c>
      <c r="F808">
        <v>0</v>
      </c>
      <c r="G808">
        <v>11</v>
      </c>
      <c r="H808">
        <f>IFERROR(VLOOKUP(CENTRAL[[#This Row],[Cód]],SUB[#All],4,0),0) + CENTRAL[[#This Row],[CMM]]</f>
        <v>6.66</v>
      </c>
    </row>
    <row r="809" spans="1:8" x14ac:dyDescent="0.25">
      <c r="A809">
        <v>200004167</v>
      </c>
      <c r="B809" t="s">
        <v>751</v>
      </c>
      <c r="C809" t="s">
        <v>9</v>
      </c>
      <c r="D809">
        <v>0.83</v>
      </c>
      <c r="E809" s="15">
        <v>120.5</v>
      </c>
      <c r="F809">
        <v>24</v>
      </c>
      <c r="G809">
        <v>57</v>
      </c>
      <c r="H809">
        <f>IFERROR(VLOOKUP(CENTRAL[[#This Row],[Cód]],SUB[#All],4,0),0) + CENTRAL[[#This Row],[CMM]]</f>
        <v>2.2399999999999998</v>
      </c>
    </row>
    <row r="810" spans="1:8" x14ac:dyDescent="0.25">
      <c r="A810">
        <v>200003885</v>
      </c>
      <c r="B810" t="s">
        <v>752</v>
      </c>
      <c r="C810" t="s">
        <v>9</v>
      </c>
      <c r="D810">
        <v>0</v>
      </c>
      <c r="E810" s="15">
        <v>0</v>
      </c>
      <c r="F810">
        <v>0</v>
      </c>
      <c r="G810">
        <v>0</v>
      </c>
      <c r="H810">
        <f>IFERROR(VLOOKUP(CENTRAL[[#This Row],[Cód]],SUB[#All],4,0),0) + CENTRAL[[#This Row],[CMM]]</f>
        <v>0</v>
      </c>
    </row>
    <row r="811" spans="1:8" x14ac:dyDescent="0.25">
      <c r="A811">
        <v>200005791</v>
      </c>
      <c r="B811" t="s">
        <v>753</v>
      </c>
      <c r="C811" t="s">
        <v>9</v>
      </c>
      <c r="D811">
        <v>0</v>
      </c>
      <c r="E811" s="15">
        <v>0</v>
      </c>
      <c r="F811">
        <v>0</v>
      </c>
      <c r="G811">
        <v>0</v>
      </c>
      <c r="H811">
        <f>IFERROR(VLOOKUP(CENTRAL[[#This Row],[Cód]],SUB[#All],4,0),0) + CENTRAL[[#This Row],[CMM]]</f>
        <v>0</v>
      </c>
    </row>
    <row r="812" spans="1:8" x14ac:dyDescent="0.25">
      <c r="A812">
        <v>200002215</v>
      </c>
      <c r="B812" t="s">
        <v>754</v>
      </c>
      <c r="C812" t="s">
        <v>9</v>
      </c>
      <c r="D812">
        <v>5.33</v>
      </c>
      <c r="E812" s="15">
        <v>18.32</v>
      </c>
      <c r="F812">
        <v>0</v>
      </c>
      <c r="G812">
        <v>8</v>
      </c>
      <c r="H812">
        <f>IFERROR(VLOOKUP(CENTRAL[[#This Row],[Cód]],SUB[#All],4,0),0) + CENTRAL[[#This Row],[CMM]]</f>
        <v>6.58</v>
      </c>
    </row>
    <row r="813" spans="1:8" x14ac:dyDescent="0.25">
      <c r="A813">
        <v>200002215</v>
      </c>
      <c r="B813" t="s">
        <v>754</v>
      </c>
      <c r="C813" t="s">
        <v>9</v>
      </c>
      <c r="D813">
        <v>5.33</v>
      </c>
      <c r="E813" s="15">
        <v>0</v>
      </c>
      <c r="F813">
        <v>0</v>
      </c>
      <c r="G813">
        <v>0</v>
      </c>
      <c r="H813">
        <f>IFERROR(VLOOKUP(CENTRAL[[#This Row],[Cód]],SUB[#All],4,0),0) + CENTRAL[[#This Row],[CMM]]</f>
        <v>6.58</v>
      </c>
    </row>
    <row r="814" spans="1:8" x14ac:dyDescent="0.25">
      <c r="A814">
        <v>200006040</v>
      </c>
      <c r="B814" t="s">
        <v>755</v>
      </c>
      <c r="C814" t="s">
        <v>9</v>
      </c>
      <c r="D814">
        <v>0</v>
      </c>
      <c r="E814" s="15">
        <v>0</v>
      </c>
      <c r="F814">
        <v>0</v>
      </c>
      <c r="G814">
        <v>0</v>
      </c>
      <c r="H814">
        <f>IFERROR(VLOOKUP(CENTRAL[[#This Row],[Cód]],SUB[#All],4,0),0) + CENTRAL[[#This Row],[CMM]]</f>
        <v>0.5</v>
      </c>
    </row>
    <row r="815" spans="1:8" x14ac:dyDescent="0.25">
      <c r="A815">
        <v>200003710</v>
      </c>
      <c r="B815" t="s">
        <v>756</v>
      </c>
      <c r="C815" t="s">
        <v>9</v>
      </c>
      <c r="D815">
        <v>0.33</v>
      </c>
      <c r="E815" s="15">
        <v>0</v>
      </c>
      <c r="F815">
        <v>0</v>
      </c>
      <c r="G815">
        <v>0</v>
      </c>
      <c r="H815">
        <f>IFERROR(VLOOKUP(CENTRAL[[#This Row],[Cód]],SUB[#All],4,0),0) + CENTRAL[[#This Row],[CMM]]</f>
        <v>0.83000000000000007</v>
      </c>
    </row>
    <row r="816" spans="1:8" x14ac:dyDescent="0.25">
      <c r="A816">
        <v>200000889</v>
      </c>
      <c r="B816" t="s">
        <v>757</v>
      </c>
      <c r="C816" t="s">
        <v>9</v>
      </c>
      <c r="D816">
        <v>0</v>
      </c>
      <c r="E816" s="15">
        <v>0</v>
      </c>
      <c r="F816">
        <v>0</v>
      </c>
      <c r="G816">
        <v>0</v>
      </c>
      <c r="H816">
        <f>IFERROR(VLOOKUP(CENTRAL[[#This Row],[Cód]],SUB[#All],4,0),0) + CENTRAL[[#This Row],[CMM]]</f>
        <v>0</v>
      </c>
    </row>
    <row r="817" spans="1:8" x14ac:dyDescent="0.25">
      <c r="A817">
        <v>200003310</v>
      </c>
      <c r="B817" t="s">
        <v>758</v>
      </c>
      <c r="C817" t="s">
        <v>9</v>
      </c>
      <c r="D817">
        <v>11.58</v>
      </c>
      <c r="E817" s="15">
        <v>0</v>
      </c>
      <c r="F817">
        <v>0</v>
      </c>
      <c r="G817">
        <v>0</v>
      </c>
      <c r="H817">
        <f>IFERROR(VLOOKUP(CENTRAL[[#This Row],[Cód]],SUB[#All],4,0),0) + CENTRAL[[#This Row],[CMM]]</f>
        <v>11.99</v>
      </c>
    </row>
    <row r="818" spans="1:8" x14ac:dyDescent="0.25">
      <c r="A818">
        <v>200004342</v>
      </c>
      <c r="B818" t="s">
        <v>759</v>
      </c>
      <c r="C818" t="s">
        <v>9</v>
      </c>
      <c r="D818">
        <v>0</v>
      </c>
      <c r="E818" s="15">
        <v>0</v>
      </c>
      <c r="F818">
        <v>0</v>
      </c>
      <c r="G818">
        <v>0</v>
      </c>
      <c r="H818">
        <f>IFERROR(VLOOKUP(CENTRAL[[#This Row],[Cód]],SUB[#All],4,0),0) + CENTRAL[[#This Row],[CMM]]</f>
        <v>0</v>
      </c>
    </row>
    <row r="819" spans="1:8" x14ac:dyDescent="0.25">
      <c r="A819">
        <v>200004125</v>
      </c>
      <c r="B819" t="s">
        <v>760</v>
      </c>
      <c r="C819" t="s">
        <v>9</v>
      </c>
      <c r="D819">
        <v>0.33</v>
      </c>
      <c r="E819" s="15">
        <v>0</v>
      </c>
      <c r="F819">
        <v>0</v>
      </c>
      <c r="G819">
        <v>0</v>
      </c>
      <c r="H819">
        <f>IFERROR(VLOOKUP(CENTRAL[[#This Row],[Cód]],SUB[#All],4,0),0) + CENTRAL[[#This Row],[CMM]]</f>
        <v>1.08</v>
      </c>
    </row>
    <row r="820" spans="1:8" x14ac:dyDescent="0.25">
      <c r="A820">
        <v>200004620</v>
      </c>
      <c r="B820" t="s">
        <v>761</v>
      </c>
      <c r="C820" t="s">
        <v>9</v>
      </c>
      <c r="D820">
        <v>11.58</v>
      </c>
      <c r="E820" s="15">
        <v>0</v>
      </c>
      <c r="F820">
        <v>0</v>
      </c>
      <c r="G820">
        <v>0</v>
      </c>
      <c r="H820">
        <f>IFERROR(VLOOKUP(CENTRAL[[#This Row],[Cód]],SUB[#All],4,0),0) + CENTRAL[[#This Row],[CMM]]</f>
        <v>19.329999999999998</v>
      </c>
    </row>
    <row r="821" spans="1:8" x14ac:dyDescent="0.25">
      <c r="A821">
        <v>200003405</v>
      </c>
      <c r="B821" t="s">
        <v>762</v>
      </c>
      <c r="C821" t="s">
        <v>82</v>
      </c>
      <c r="D821">
        <v>0</v>
      </c>
      <c r="E821" s="15">
        <v>0</v>
      </c>
      <c r="F821">
        <v>0</v>
      </c>
      <c r="G821">
        <v>0</v>
      </c>
      <c r="H821">
        <f>IFERROR(VLOOKUP(CENTRAL[[#This Row],[Cód]],SUB[#All],4,0),0) + CENTRAL[[#This Row],[CMM]]</f>
        <v>0.08</v>
      </c>
    </row>
    <row r="822" spans="1:8" x14ac:dyDescent="0.25">
      <c r="A822">
        <v>200003407</v>
      </c>
      <c r="B822" t="s">
        <v>763</v>
      </c>
      <c r="C822" t="s">
        <v>82</v>
      </c>
      <c r="D822">
        <v>1.08</v>
      </c>
      <c r="E822" s="15">
        <v>74.58</v>
      </c>
      <c r="F822">
        <v>0</v>
      </c>
      <c r="G822">
        <v>204</v>
      </c>
      <c r="H822">
        <f>IFERROR(VLOOKUP(CENTRAL[[#This Row],[Cód]],SUB[#All],4,0),0) + CENTRAL[[#This Row],[CMM]]</f>
        <v>1.08</v>
      </c>
    </row>
    <row r="823" spans="1:8" x14ac:dyDescent="0.25">
      <c r="A823">
        <v>200003407</v>
      </c>
      <c r="B823" t="s">
        <v>763</v>
      </c>
      <c r="C823" t="s">
        <v>82</v>
      </c>
      <c r="D823">
        <v>1.08</v>
      </c>
      <c r="E823" s="15">
        <v>0</v>
      </c>
      <c r="F823">
        <v>0</v>
      </c>
      <c r="G823">
        <v>0</v>
      </c>
      <c r="H823">
        <f>IFERROR(VLOOKUP(CENTRAL[[#This Row],[Cód]],SUB[#All],4,0),0) + CENTRAL[[#This Row],[CMM]]</f>
        <v>1.08</v>
      </c>
    </row>
    <row r="824" spans="1:8" x14ac:dyDescent="0.25">
      <c r="A824">
        <v>200003408</v>
      </c>
      <c r="B824" t="s">
        <v>764</v>
      </c>
      <c r="C824" t="s">
        <v>9</v>
      </c>
      <c r="D824">
        <v>5.08</v>
      </c>
      <c r="E824" s="15">
        <v>1</v>
      </c>
      <c r="F824">
        <v>0</v>
      </c>
      <c r="G824">
        <v>2757</v>
      </c>
      <c r="H824">
        <f>IFERROR(VLOOKUP(CENTRAL[[#This Row],[Cód]],SUB[#All],4,0),0) + CENTRAL[[#This Row],[CMM]]</f>
        <v>10.08</v>
      </c>
    </row>
    <row r="825" spans="1:8" x14ac:dyDescent="0.25">
      <c r="A825">
        <v>200006082</v>
      </c>
      <c r="B825" t="s">
        <v>765</v>
      </c>
      <c r="C825" t="s">
        <v>82</v>
      </c>
      <c r="D825">
        <v>0</v>
      </c>
      <c r="E825" s="15">
        <v>0</v>
      </c>
      <c r="F825">
        <v>0</v>
      </c>
      <c r="G825">
        <v>0</v>
      </c>
      <c r="H825">
        <f>IFERROR(VLOOKUP(CENTRAL[[#This Row],[Cód]],SUB[#All],4,0),0) + CENTRAL[[#This Row],[CMM]]</f>
        <v>0</v>
      </c>
    </row>
    <row r="826" spans="1:8" x14ac:dyDescent="0.25">
      <c r="A826">
        <v>200003409</v>
      </c>
      <c r="B826" t="s">
        <v>766</v>
      </c>
      <c r="C826" t="s">
        <v>9</v>
      </c>
      <c r="D826">
        <v>0</v>
      </c>
      <c r="E826" s="15">
        <v>1</v>
      </c>
      <c r="F826">
        <v>0</v>
      </c>
      <c r="G826">
        <v>7746</v>
      </c>
      <c r="H826">
        <f>IFERROR(VLOOKUP(CENTRAL[[#This Row],[Cód]],SUB[#All],4,0),0) + CENTRAL[[#This Row],[CMM]]</f>
        <v>0</v>
      </c>
    </row>
    <row r="827" spans="1:8" x14ac:dyDescent="0.25">
      <c r="A827">
        <v>200006562</v>
      </c>
      <c r="B827" t="s">
        <v>767</v>
      </c>
      <c r="C827" t="s">
        <v>82</v>
      </c>
      <c r="D827">
        <v>0.08</v>
      </c>
      <c r="E827" s="15">
        <v>322.17</v>
      </c>
      <c r="F827">
        <v>0</v>
      </c>
      <c r="G827">
        <v>18</v>
      </c>
      <c r="H827">
        <f>IFERROR(VLOOKUP(CENTRAL[[#This Row],[Cód]],SUB[#All],4,0),0) + CENTRAL[[#This Row],[CMM]]</f>
        <v>0.08</v>
      </c>
    </row>
    <row r="828" spans="1:8" x14ac:dyDescent="0.25">
      <c r="A828">
        <v>200003410</v>
      </c>
      <c r="B828" t="s">
        <v>768</v>
      </c>
      <c r="C828" t="s">
        <v>9</v>
      </c>
      <c r="D828">
        <v>0.5</v>
      </c>
      <c r="E828" s="15">
        <v>454.05</v>
      </c>
      <c r="F828">
        <v>0</v>
      </c>
      <c r="G828">
        <v>14</v>
      </c>
      <c r="H828">
        <f>IFERROR(VLOOKUP(CENTRAL[[#This Row],[Cód]],SUB[#All],4,0),0) + CENTRAL[[#This Row],[CMM]]</f>
        <v>0.5</v>
      </c>
    </row>
    <row r="829" spans="1:8" x14ac:dyDescent="0.25">
      <c r="A829">
        <v>200003411</v>
      </c>
      <c r="B829" t="s">
        <v>769</v>
      </c>
      <c r="C829" t="s">
        <v>9</v>
      </c>
      <c r="D829">
        <v>0.08</v>
      </c>
      <c r="E829" s="15">
        <v>1.2</v>
      </c>
      <c r="F829">
        <v>0</v>
      </c>
      <c r="G829">
        <v>894</v>
      </c>
      <c r="H829">
        <f>IFERROR(VLOOKUP(CENTRAL[[#This Row],[Cód]],SUB[#All],4,0),0) + CENTRAL[[#This Row],[CMM]]</f>
        <v>0.08</v>
      </c>
    </row>
    <row r="830" spans="1:8" x14ac:dyDescent="0.25">
      <c r="A830">
        <v>200000561</v>
      </c>
      <c r="B830" t="s">
        <v>770</v>
      </c>
      <c r="C830" t="s">
        <v>82</v>
      </c>
      <c r="D830">
        <v>0</v>
      </c>
      <c r="E830" s="15">
        <v>0</v>
      </c>
      <c r="F830">
        <v>0</v>
      </c>
      <c r="G830">
        <v>0</v>
      </c>
      <c r="H830">
        <f>IFERROR(VLOOKUP(CENTRAL[[#This Row],[Cód]],SUB[#All],4,0),0) + CENTRAL[[#This Row],[CMM]]</f>
        <v>0</v>
      </c>
    </row>
    <row r="831" spans="1:8" x14ac:dyDescent="0.25">
      <c r="A831">
        <v>200000562</v>
      </c>
      <c r="B831" t="s">
        <v>771</v>
      </c>
      <c r="C831" t="s">
        <v>82</v>
      </c>
      <c r="D831">
        <v>0</v>
      </c>
      <c r="E831" s="15">
        <v>0</v>
      </c>
      <c r="F831">
        <v>0</v>
      </c>
      <c r="G831">
        <v>0</v>
      </c>
      <c r="H831">
        <f>IFERROR(VLOOKUP(CENTRAL[[#This Row],[Cód]],SUB[#All],4,0),0) + CENTRAL[[#This Row],[CMM]]</f>
        <v>0</v>
      </c>
    </row>
    <row r="832" spans="1:8" x14ac:dyDescent="0.25">
      <c r="A832">
        <v>200002158</v>
      </c>
      <c r="B832" t="s">
        <v>772</v>
      </c>
      <c r="C832" t="s">
        <v>82</v>
      </c>
      <c r="D832">
        <v>0</v>
      </c>
      <c r="E832" s="15">
        <v>0</v>
      </c>
      <c r="F832">
        <v>0</v>
      </c>
      <c r="G832">
        <v>0</v>
      </c>
      <c r="H832">
        <f>IFERROR(VLOOKUP(CENTRAL[[#This Row],[Cód]],SUB[#All],4,0),0) + CENTRAL[[#This Row],[CMM]]</f>
        <v>0.08</v>
      </c>
    </row>
    <row r="833" spans="1:8" x14ac:dyDescent="0.25">
      <c r="A833">
        <v>200002160</v>
      </c>
      <c r="B833" t="s">
        <v>773</v>
      </c>
      <c r="C833" t="s">
        <v>82</v>
      </c>
      <c r="D833">
        <v>0</v>
      </c>
      <c r="E833" s="15">
        <v>0</v>
      </c>
      <c r="F833">
        <v>0</v>
      </c>
      <c r="G833">
        <v>0</v>
      </c>
      <c r="H833">
        <f>IFERROR(VLOOKUP(CENTRAL[[#This Row],[Cód]],SUB[#All],4,0),0) + CENTRAL[[#This Row],[CMM]]</f>
        <v>0</v>
      </c>
    </row>
    <row r="834" spans="1:8" x14ac:dyDescent="0.25">
      <c r="A834">
        <v>200002161</v>
      </c>
      <c r="B834" t="s">
        <v>774</v>
      </c>
      <c r="C834" t="s">
        <v>82</v>
      </c>
      <c r="D834">
        <v>0.41</v>
      </c>
      <c r="E834" s="15">
        <v>42.64</v>
      </c>
      <c r="F834">
        <v>0</v>
      </c>
      <c r="G834">
        <v>3</v>
      </c>
      <c r="H834">
        <f>IFERROR(VLOOKUP(CENTRAL[[#This Row],[Cód]],SUB[#All],4,0),0) + CENTRAL[[#This Row],[CMM]]</f>
        <v>0.65999999999999992</v>
      </c>
    </row>
    <row r="835" spans="1:8" x14ac:dyDescent="0.25">
      <c r="A835">
        <v>200000563</v>
      </c>
      <c r="B835" t="s">
        <v>775</v>
      </c>
      <c r="C835" t="s">
        <v>82</v>
      </c>
      <c r="D835">
        <v>0</v>
      </c>
      <c r="E835" s="15">
        <v>9.44</v>
      </c>
      <c r="F835">
        <v>0</v>
      </c>
      <c r="G835">
        <v>27</v>
      </c>
      <c r="H835">
        <f>IFERROR(VLOOKUP(CENTRAL[[#This Row],[Cód]],SUB[#All],4,0),0) + CENTRAL[[#This Row],[CMM]]</f>
        <v>0</v>
      </c>
    </row>
    <row r="836" spans="1:8" x14ac:dyDescent="0.25">
      <c r="A836">
        <v>200000564</v>
      </c>
      <c r="B836" t="s">
        <v>776</v>
      </c>
      <c r="C836" t="s">
        <v>82</v>
      </c>
      <c r="D836">
        <v>0.25</v>
      </c>
      <c r="E836" s="15">
        <v>8.23</v>
      </c>
      <c r="F836">
        <v>0</v>
      </c>
      <c r="G836">
        <v>15</v>
      </c>
      <c r="H836">
        <f>IFERROR(VLOOKUP(CENTRAL[[#This Row],[Cód]],SUB[#All],4,0),0) + CENTRAL[[#This Row],[CMM]]</f>
        <v>0.33</v>
      </c>
    </row>
    <row r="837" spans="1:8" x14ac:dyDescent="0.25">
      <c r="A837">
        <v>200001070</v>
      </c>
      <c r="B837" t="s">
        <v>777</v>
      </c>
      <c r="C837" t="s">
        <v>82</v>
      </c>
      <c r="D837">
        <v>0.57999999999999996</v>
      </c>
      <c r="E837" s="15">
        <v>23.46</v>
      </c>
      <c r="F837">
        <v>0</v>
      </c>
      <c r="G837">
        <v>24</v>
      </c>
      <c r="H837">
        <f>IFERROR(VLOOKUP(CENTRAL[[#This Row],[Cód]],SUB[#All],4,0),0) + CENTRAL[[#This Row],[CMM]]</f>
        <v>0.57999999999999996</v>
      </c>
    </row>
    <row r="838" spans="1:8" x14ac:dyDescent="0.25">
      <c r="A838">
        <v>200001071</v>
      </c>
      <c r="B838" t="s">
        <v>778</v>
      </c>
      <c r="C838" t="s">
        <v>82</v>
      </c>
      <c r="D838">
        <v>0</v>
      </c>
      <c r="E838" s="15">
        <v>0</v>
      </c>
      <c r="F838">
        <v>0</v>
      </c>
      <c r="G838">
        <v>0</v>
      </c>
      <c r="H838">
        <f>IFERROR(VLOOKUP(CENTRAL[[#This Row],[Cód]],SUB[#All],4,0),0) + CENTRAL[[#This Row],[CMM]]</f>
        <v>0</v>
      </c>
    </row>
    <row r="839" spans="1:8" x14ac:dyDescent="0.25">
      <c r="A839">
        <v>200001074</v>
      </c>
      <c r="B839" t="s">
        <v>779</v>
      </c>
      <c r="C839" t="s">
        <v>82</v>
      </c>
      <c r="D839">
        <v>0</v>
      </c>
      <c r="E839" s="15">
        <v>0</v>
      </c>
      <c r="F839">
        <v>0</v>
      </c>
      <c r="G839">
        <v>0</v>
      </c>
      <c r="H839">
        <f>IFERROR(VLOOKUP(CENTRAL[[#This Row],[Cód]],SUB[#All],4,0),0) + CENTRAL[[#This Row],[CMM]]</f>
        <v>0</v>
      </c>
    </row>
    <row r="840" spans="1:8" x14ac:dyDescent="0.25">
      <c r="A840">
        <v>200001073</v>
      </c>
      <c r="B840" t="s">
        <v>780</v>
      </c>
      <c r="C840" t="s">
        <v>82</v>
      </c>
      <c r="D840">
        <v>0.66</v>
      </c>
      <c r="E840" s="15">
        <v>36.520000000000003</v>
      </c>
      <c r="F840">
        <v>0</v>
      </c>
      <c r="G840">
        <v>19</v>
      </c>
      <c r="H840">
        <f>IFERROR(VLOOKUP(CENTRAL[[#This Row],[Cód]],SUB[#All],4,0),0) + CENTRAL[[#This Row],[CMM]]</f>
        <v>0.82000000000000006</v>
      </c>
    </row>
    <row r="841" spans="1:8" x14ac:dyDescent="0.25">
      <c r="A841">
        <v>200001075</v>
      </c>
      <c r="B841" t="s">
        <v>781</v>
      </c>
      <c r="C841" t="s">
        <v>82</v>
      </c>
      <c r="D841">
        <v>0.08</v>
      </c>
      <c r="E841" s="15">
        <v>12.99</v>
      </c>
      <c r="F841">
        <v>0</v>
      </c>
      <c r="G841">
        <v>9</v>
      </c>
      <c r="H841">
        <f>IFERROR(VLOOKUP(CENTRAL[[#This Row],[Cód]],SUB[#All],4,0),0) + CENTRAL[[#This Row],[CMM]]</f>
        <v>0.08</v>
      </c>
    </row>
    <row r="842" spans="1:8" x14ac:dyDescent="0.25">
      <c r="A842">
        <v>200001076</v>
      </c>
      <c r="B842" t="s">
        <v>782</v>
      </c>
      <c r="C842" t="s">
        <v>82</v>
      </c>
      <c r="D842">
        <v>0</v>
      </c>
      <c r="E842" s="15">
        <v>0</v>
      </c>
      <c r="F842">
        <v>0</v>
      </c>
      <c r="G842">
        <v>0</v>
      </c>
      <c r="H842">
        <f>IFERROR(VLOOKUP(CENTRAL[[#This Row],[Cód]],SUB[#All],4,0),0) + CENTRAL[[#This Row],[CMM]]</f>
        <v>0</v>
      </c>
    </row>
    <row r="843" spans="1:8" x14ac:dyDescent="0.25">
      <c r="A843">
        <v>200006972</v>
      </c>
      <c r="B843" t="s">
        <v>783</v>
      </c>
      <c r="C843" t="s">
        <v>9</v>
      </c>
      <c r="D843">
        <v>4.5</v>
      </c>
      <c r="E843" s="15">
        <v>0</v>
      </c>
      <c r="F843">
        <v>0</v>
      </c>
      <c r="G843">
        <v>0</v>
      </c>
      <c r="H843">
        <f>IFERROR(VLOOKUP(CENTRAL[[#This Row],[Cód]],SUB[#All],4,0),0) + CENTRAL[[#This Row],[CMM]]</f>
        <v>4.5</v>
      </c>
    </row>
    <row r="844" spans="1:8" x14ac:dyDescent="0.25">
      <c r="A844">
        <v>200006318</v>
      </c>
      <c r="B844" t="s">
        <v>784</v>
      </c>
      <c r="C844" t="s">
        <v>63</v>
      </c>
      <c r="D844">
        <v>0</v>
      </c>
      <c r="E844" s="15">
        <v>0</v>
      </c>
      <c r="F844">
        <v>0</v>
      </c>
      <c r="G844">
        <v>0</v>
      </c>
      <c r="H844">
        <f>IFERROR(VLOOKUP(CENTRAL[[#This Row],[Cód]],SUB[#All],4,0),0) + CENTRAL[[#This Row],[CMM]]</f>
        <v>0</v>
      </c>
    </row>
    <row r="845" spans="1:8" x14ac:dyDescent="0.25">
      <c r="A845">
        <v>200001055</v>
      </c>
      <c r="B845" t="s">
        <v>785</v>
      </c>
      <c r="C845" t="s">
        <v>67</v>
      </c>
      <c r="D845">
        <v>0</v>
      </c>
      <c r="E845" s="15">
        <v>0</v>
      </c>
      <c r="F845">
        <v>0</v>
      </c>
      <c r="G845">
        <v>0</v>
      </c>
      <c r="H845">
        <f>IFERROR(VLOOKUP(CENTRAL[[#This Row],[Cód]],SUB[#All],4,0),0) + CENTRAL[[#This Row],[CMM]]</f>
        <v>0</v>
      </c>
    </row>
    <row r="846" spans="1:8" x14ac:dyDescent="0.25">
      <c r="A846">
        <v>200002349</v>
      </c>
      <c r="B846" t="s">
        <v>786</v>
      </c>
      <c r="C846" t="s">
        <v>9</v>
      </c>
      <c r="D846">
        <v>0</v>
      </c>
      <c r="E846" s="15">
        <v>3.42</v>
      </c>
      <c r="F846">
        <v>0</v>
      </c>
      <c r="G846">
        <v>3</v>
      </c>
      <c r="H846">
        <f>IFERROR(VLOOKUP(CENTRAL[[#This Row],[Cód]],SUB[#All],4,0),0) + CENTRAL[[#This Row],[CMM]]</f>
        <v>0</v>
      </c>
    </row>
    <row r="847" spans="1:8" x14ac:dyDescent="0.25">
      <c r="A847">
        <v>200002350</v>
      </c>
      <c r="B847" t="s">
        <v>787</v>
      </c>
      <c r="C847" t="s">
        <v>9</v>
      </c>
      <c r="D847">
        <v>0.08</v>
      </c>
      <c r="E847" s="15">
        <v>4.4400000000000004</v>
      </c>
      <c r="F847">
        <v>0</v>
      </c>
      <c r="G847">
        <v>1</v>
      </c>
      <c r="H847">
        <f>IFERROR(VLOOKUP(CENTRAL[[#This Row],[Cód]],SUB[#All],4,0),0) + CENTRAL[[#This Row],[CMM]]</f>
        <v>0.08</v>
      </c>
    </row>
    <row r="848" spans="1:8" x14ac:dyDescent="0.25">
      <c r="A848">
        <v>200002357</v>
      </c>
      <c r="B848" t="s">
        <v>788</v>
      </c>
      <c r="C848" t="s">
        <v>9</v>
      </c>
      <c r="D848">
        <v>0</v>
      </c>
      <c r="E848" s="15">
        <v>32.29</v>
      </c>
      <c r="F848">
        <v>0</v>
      </c>
      <c r="G848">
        <v>1</v>
      </c>
      <c r="H848">
        <f>IFERROR(VLOOKUP(CENTRAL[[#This Row],[Cód]],SUB[#All],4,0),0) + CENTRAL[[#This Row],[CMM]]</f>
        <v>0</v>
      </c>
    </row>
    <row r="849" spans="1:8" x14ac:dyDescent="0.25">
      <c r="A849">
        <v>200002356</v>
      </c>
      <c r="B849" t="s">
        <v>789</v>
      </c>
      <c r="C849" t="s">
        <v>9</v>
      </c>
      <c r="D849">
        <v>0</v>
      </c>
      <c r="E849" s="15">
        <v>48</v>
      </c>
      <c r="F849">
        <v>0</v>
      </c>
      <c r="G849">
        <v>3</v>
      </c>
      <c r="H849">
        <f>IFERROR(VLOOKUP(CENTRAL[[#This Row],[Cód]],SUB[#All],4,0),0) + CENTRAL[[#This Row],[CMM]]</f>
        <v>0</v>
      </c>
    </row>
    <row r="850" spans="1:8" x14ac:dyDescent="0.25">
      <c r="A850">
        <v>200002355</v>
      </c>
      <c r="B850" t="s">
        <v>790</v>
      </c>
      <c r="C850" t="s">
        <v>9</v>
      </c>
      <c r="D850">
        <v>0</v>
      </c>
      <c r="E850" s="15">
        <v>61.08</v>
      </c>
      <c r="F850">
        <v>0</v>
      </c>
      <c r="G850">
        <v>4</v>
      </c>
      <c r="H850">
        <f>IFERROR(VLOOKUP(CENTRAL[[#This Row],[Cód]],SUB[#All],4,0),0) + CENTRAL[[#This Row],[CMM]]</f>
        <v>0</v>
      </c>
    </row>
    <row r="851" spans="1:8" x14ac:dyDescent="0.25">
      <c r="A851">
        <v>200002358</v>
      </c>
      <c r="B851" t="s">
        <v>791</v>
      </c>
      <c r="C851" t="s">
        <v>9</v>
      </c>
      <c r="D851">
        <v>0.08</v>
      </c>
      <c r="E851" s="15">
        <v>59.3</v>
      </c>
      <c r="F851">
        <v>0</v>
      </c>
      <c r="G851">
        <v>51</v>
      </c>
      <c r="H851">
        <f>IFERROR(VLOOKUP(CENTRAL[[#This Row],[Cód]],SUB[#All],4,0),0) + CENTRAL[[#This Row],[CMM]]</f>
        <v>0.08</v>
      </c>
    </row>
    <row r="852" spans="1:8" x14ac:dyDescent="0.25">
      <c r="A852">
        <v>200002354</v>
      </c>
      <c r="B852" t="s">
        <v>792</v>
      </c>
      <c r="C852" t="s">
        <v>9</v>
      </c>
      <c r="D852">
        <v>0</v>
      </c>
      <c r="E852" s="15">
        <v>82.67</v>
      </c>
      <c r="F852">
        <v>0</v>
      </c>
      <c r="G852">
        <v>1</v>
      </c>
      <c r="H852">
        <f>IFERROR(VLOOKUP(CENTRAL[[#This Row],[Cód]],SUB[#All],4,0),0) + CENTRAL[[#This Row],[CMM]]</f>
        <v>0</v>
      </c>
    </row>
    <row r="853" spans="1:8" x14ac:dyDescent="0.25">
      <c r="A853">
        <v>200001035</v>
      </c>
      <c r="B853" t="s">
        <v>793</v>
      </c>
      <c r="C853" t="s">
        <v>9</v>
      </c>
      <c r="D853">
        <v>0.75</v>
      </c>
      <c r="E853" s="15">
        <v>4.91</v>
      </c>
      <c r="F853">
        <v>0</v>
      </c>
      <c r="G853">
        <v>6</v>
      </c>
      <c r="H853">
        <f>IFERROR(VLOOKUP(CENTRAL[[#This Row],[Cód]],SUB[#All],4,0),0) + CENTRAL[[#This Row],[CMM]]</f>
        <v>0.91</v>
      </c>
    </row>
    <row r="854" spans="1:8" x14ac:dyDescent="0.25">
      <c r="A854">
        <v>200001081</v>
      </c>
      <c r="B854" t="s">
        <v>794</v>
      </c>
      <c r="C854" t="s">
        <v>9</v>
      </c>
      <c r="D854">
        <v>0</v>
      </c>
      <c r="E854" s="15">
        <v>0</v>
      </c>
      <c r="F854">
        <v>0</v>
      </c>
      <c r="G854">
        <v>0</v>
      </c>
      <c r="H854">
        <f>IFERROR(VLOOKUP(CENTRAL[[#This Row],[Cód]],SUB[#All],4,0),0) + CENTRAL[[#This Row],[CMM]]</f>
        <v>0</v>
      </c>
    </row>
    <row r="855" spans="1:8" x14ac:dyDescent="0.25">
      <c r="A855">
        <v>200001079</v>
      </c>
      <c r="B855" t="s">
        <v>795</v>
      </c>
      <c r="C855" t="s">
        <v>9</v>
      </c>
      <c r="D855">
        <v>0</v>
      </c>
      <c r="E855" s="15">
        <v>0</v>
      </c>
      <c r="F855">
        <v>0</v>
      </c>
      <c r="G855">
        <v>0</v>
      </c>
      <c r="H855">
        <f>IFERROR(VLOOKUP(CENTRAL[[#This Row],[Cód]],SUB[#All],4,0),0) + CENTRAL[[#This Row],[CMM]]</f>
        <v>3.75</v>
      </c>
    </row>
    <row r="856" spans="1:8" x14ac:dyDescent="0.25">
      <c r="A856">
        <v>200002165</v>
      </c>
      <c r="B856" t="s">
        <v>796</v>
      </c>
      <c r="C856" t="s">
        <v>9</v>
      </c>
      <c r="D856">
        <v>0</v>
      </c>
      <c r="E856" s="15">
        <v>0.1</v>
      </c>
      <c r="F856">
        <v>0</v>
      </c>
      <c r="G856">
        <v>3</v>
      </c>
      <c r="H856">
        <f>IFERROR(VLOOKUP(CENTRAL[[#This Row],[Cód]],SUB[#All],4,0),0) + CENTRAL[[#This Row],[CMM]]</f>
        <v>0</v>
      </c>
    </row>
    <row r="857" spans="1:8" x14ac:dyDescent="0.25">
      <c r="A857">
        <v>200005826</v>
      </c>
      <c r="B857" t="s">
        <v>797</v>
      </c>
      <c r="C857" t="s">
        <v>96</v>
      </c>
      <c r="D857">
        <v>1.58</v>
      </c>
      <c r="E857" s="15">
        <v>33.479999999999997</v>
      </c>
      <c r="F857">
        <v>0</v>
      </c>
      <c r="G857">
        <v>92</v>
      </c>
      <c r="H857">
        <f>IFERROR(VLOOKUP(CENTRAL[[#This Row],[Cód]],SUB[#All],4,0),0) + CENTRAL[[#This Row],[CMM]]</f>
        <v>1.58</v>
      </c>
    </row>
    <row r="858" spans="1:8" x14ac:dyDescent="0.25">
      <c r="A858">
        <v>200002164</v>
      </c>
      <c r="B858" t="s">
        <v>798</v>
      </c>
      <c r="C858" t="s">
        <v>9</v>
      </c>
      <c r="D858">
        <v>35.33</v>
      </c>
      <c r="E858" s="15">
        <v>0.12</v>
      </c>
      <c r="F858">
        <v>0</v>
      </c>
      <c r="G858">
        <v>611</v>
      </c>
      <c r="H858">
        <f>IFERROR(VLOOKUP(CENTRAL[[#This Row],[Cód]],SUB[#All],4,0),0) + CENTRAL[[#This Row],[CMM]]</f>
        <v>35.33</v>
      </c>
    </row>
    <row r="859" spans="1:8" x14ac:dyDescent="0.25">
      <c r="A859">
        <v>200006559</v>
      </c>
      <c r="B859" t="s">
        <v>799</v>
      </c>
      <c r="C859" t="s">
        <v>96</v>
      </c>
      <c r="D859">
        <v>0.25</v>
      </c>
      <c r="E859" s="15">
        <v>30.78</v>
      </c>
      <c r="F859">
        <v>0</v>
      </c>
      <c r="G859">
        <v>4</v>
      </c>
      <c r="H859">
        <f>IFERROR(VLOOKUP(CENTRAL[[#This Row],[Cód]],SUB[#All],4,0),0) + CENTRAL[[#This Row],[CMM]]</f>
        <v>0.25</v>
      </c>
    </row>
    <row r="860" spans="1:8" x14ac:dyDescent="0.25">
      <c r="A860">
        <v>200002162</v>
      </c>
      <c r="B860" t="s">
        <v>800</v>
      </c>
      <c r="C860" t="s">
        <v>9</v>
      </c>
      <c r="D860">
        <v>0</v>
      </c>
      <c r="E860" s="15">
        <v>0</v>
      </c>
      <c r="F860">
        <v>0</v>
      </c>
      <c r="G860">
        <v>0</v>
      </c>
      <c r="H860">
        <f>IFERROR(VLOOKUP(CENTRAL[[#This Row],[Cód]],SUB[#All],4,0),0) + CENTRAL[[#This Row],[CMM]]</f>
        <v>0</v>
      </c>
    </row>
    <row r="861" spans="1:8" x14ac:dyDescent="0.25">
      <c r="A861">
        <v>200005325</v>
      </c>
      <c r="B861" t="s">
        <v>801</v>
      </c>
      <c r="C861" t="s">
        <v>9</v>
      </c>
      <c r="D861">
        <v>1.66</v>
      </c>
      <c r="E861" s="15">
        <v>0.12</v>
      </c>
      <c r="F861">
        <v>0</v>
      </c>
      <c r="G861">
        <v>102</v>
      </c>
      <c r="H861">
        <f>IFERROR(VLOOKUP(CENTRAL[[#This Row],[Cód]],SUB[#All],4,0),0) + CENTRAL[[#This Row],[CMM]]</f>
        <v>1.66</v>
      </c>
    </row>
    <row r="862" spans="1:8" x14ac:dyDescent="0.25">
      <c r="A862">
        <v>200005984</v>
      </c>
      <c r="B862" t="s">
        <v>802</v>
      </c>
      <c r="C862" t="s">
        <v>96</v>
      </c>
      <c r="D862">
        <v>1.41</v>
      </c>
      <c r="E862" s="15">
        <v>148.46</v>
      </c>
      <c r="F862">
        <v>3</v>
      </c>
      <c r="G862">
        <v>285</v>
      </c>
      <c r="H862">
        <f>IFERROR(VLOOKUP(CENTRAL[[#This Row],[Cód]],SUB[#All],4,0),0) + CENTRAL[[#This Row],[CMM]]</f>
        <v>1.41</v>
      </c>
    </row>
    <row r="863" spans="1:8" x14ac:dyDescent="0.25">
      <c r="A863">
        <v>200005324</v>
      </c>
      <c r="B863" t="s">
        <v>803</v>
      </c>
      <c r="C863" t="s">
        <v>9</v>
      </c>
      <c r="D863">
        <v>0</v>
      </c>
      <c r="E863" s="15">
        <v>0</v>
      </c>
      <c r="F863">
        <v>0</v>
      </c>
      <c r="G863">
        <v>0</v>
      </c>
      <c r="H863">
        <f>IFERROR(VLOOKUP(CENTRAL[[#This Row],[Cód]],SUB[#All],4,0),0) + CENTRAL[[#This Row],[CMM]]</f>
        <v>33.33</v>
      </c>
    </row>
    <row r="864" spans="1:8" x14ac:dyDescent="0.25">
      <c r="A864">
        <v>200005825</v>
      </c>
      <c r="B864" t="s">
        <v>804</v>
      </c>
      <c r="C864" t="s">
        <v>96</v>
      </c>
      <c r="D864">
        <v>0.5</v>
      </c>
      <c r="E864" s="15">
        <v>0</v>
      </c>
      <c r="F864">
        <v>0</v>
      </c>
      <c r="G864">
        <v>0</v>
      </c>
      <c r="H864">
        <f>IFERROR(VLOOKUP(CENTRAL[[#This Row],[Cód]],SUB[#All],4,0),0) + CENTRAL[[#This Row],[CMM]]</f>
        <v>0.5</v>
      </c>
    </row>
    <row r="865" spans="1:8" x14ac:dyDescent="0.25">
      <c r="A865">
        <v>200001078</v>
      </c>
      <c r="B865" t="s">
        <v>805</v>
      </c>
      <c r="C865" t="s">
        <v>9</v>
      </c>
      <c r="D865">
        <v>0</v>
      </c>
      <c r="E865" s="15">
        <v>0</v>
      </c>
      <c r="F865">
        <v>0</v>
      </c>
      <c r="G865">
        <v>0</v>
      </c>
      <c r="H865">
        <f>IFERROR(VLOOKUP(CENTRAL[[#This Row],[Cód]],SUB[#All],4,0),0) + CENTRAL[[#This Row],[CMM]]</f>
        <v>0</v>
      </c>
    </row>
    <row r="866" spans="1:8" x14ac:dyDescent="0.25">
      <c r="A866">
        <v>200005985</v>
      </c>
      <c r="B866" t="s">
        <v>806</v>
      </c>
      <c r="C866" t="s">
        <v>96</v>
      </c>
      <c r="D866">
        <v>0.16</v>
      </c>
      <c r="E866" s="15">
        <v>0</v>
      </c>
      <c r="F866">
        <v>0</v>
      </c>
      <c r="G866">
        <v>0</v>
      </c>
      <c r="H866">
        <f>IFERROR(VLOOKUP(CENTRAL[[#This Row],[Cód]],SUB[#All],4,0),0) + CENTRAL[[#This Row],[CMM]]</f>
        <v>0.16</v>
      </c>
    </row>
    <row r="867" spans="1:8" x14ac:dyDescent="0.25">
      <c r="A867">
        <v>200005323</v>
      </c>
      <c r="B867" t="s">
        <v>807</v>
      </c>
      <c r="C867" t="s">
        <v>9</v>
      </c>
      <c r="D867">
        <v>0</v>
      </c>
      <c r="E867" s="15">
        <v>0</v>
      </c>
      <c r="F867">
        <v>0</v>
      </c>
      <c r="G867">
        <v>0</v>
      </c>
      <c r="H867">
        <f>IFERROR(VLOOKUP(CENTRAL[[#This Row],[Cód]],SUB[#All],4,0),0) + CENTRAL[[#This Row],[CMM]]</f>
        <v>0</v>
      </c>
    </row>
    <row r="868" spans="1:8" x14ac:dyDescent="0.25">
      <c r="A868">
        <v>200001077</v>
      </c>
      <c r="B868" t="s">
        <v>808</v>
      </c>
      <c r="C868" t="s">
        <v>9</v>
      </c>
      <c r="D868">
        <v>0</v>
      </c>
      <c r="E868" s="15">
        <v>0</v>
      </c>
      <c r="F868">
        <v>0</v>
      </c>
      <c r="G868">
        <v>0</v>
      </c>
      <c r="H868">
        <f>IFERROR(VLOOKUP(CENTRAL[[#This Row],[Cód]],SUB[#All],4,0),0) + CENTRAL[[#This Row],[CMM]]</f>
        <v>0</v>
      </c>
    </row>
    <row r="869" spans="1:8" x14ac:dyDescent="0.25">
      <c r="A869">
        <v>200005986</v>
      </c>
      <c r="B869" t="s">
        <v>809</v>
      </c>
      <c r="C869" t="s">
        <v>96</v>
      </c>
      <c r="D869">
        <v>0.25</v>
      </c>
      <c r="E869" s="15">
        <v>0</v>
      </c>
      <c r="F869">
        <v>0</v>
      </c>
      <c r="G869">
        <v>0</v>
      </c>
      <c r="H869">
        <f>IFERROR(VLOOKUP(CENTRAL[[#This Row],[Cód]],SUB[#All],4,0),0) + CENTRAL[[#This Row],[CMM]]</f>
        <v>0.25</v>
      </c>
    </row>
    <row r="870" spans="1:8" x14ac:dyDescent="0.25">
      <c r="A870">
        <v>200005987</v>
      </c>
      <c r="B870" t="s">
        <v>810</v>
      </c>
      <c r="C870" t="s">
        <v>96</v>
      </c>
      <c r="D870">
        <v>0.25</v>
      </c>
      <c r="E870" s="15">
        <v>210.23</v>
      </c>
      <c r="F870">
        <v>0</v>
      </c>
      <c r="G870">
        <v>255</v>
      </c>
      <c r="H870">
        <f>IFERROR(VLOOKUP(CENTRAL[[#This Row],[Cód]],SUB[#All],4,0),0) + CENTRAL[[#This Row],[CMM]]</f>
        <v>0.25</v>
      </c>
    </row>
    <row r="871" spans="1:8" x14ac:dyDescent="0.25">
      <c r="A871">
        <v>200004296</v>
      </c>
      <c r="B871" t="s">
        <v>811</v>
      </c>
      <c r="C871" t="s">
        <v>546</v>
      </c>
      <c r="D871">
        <v>3</v>
      </c>
      <c r="E871" s="15">
        <v>13.92</v>
      </c>
      <c r="F871">
        <v>0</v>
      </c>
      <c r="G871">
        <v>16</v>
      </c>
      <c r="H871">
        <f>IFERROR(VLOOKUP(CENTRAL[[#This Row],[Cód]],SUB[#All],4,0),0) + CENTRAL[[#This Row],[CMM]]</f>
        <v>3.5</v>
      </c>
    </row>
    <row r="872" spans="1:8" x14ac:dyDescent="0.25">
      <c r="A872">
        <v>200002005</v>
      </c>
      <c r="B872" t="s">
        <v>812</v>
      </c>
      <c r="C872" t="s">
        <v>9</v>
      </c>
      <c r="D872">
        <v>0.25</v>
      </c>
      <c r="E872" s="15">
        <v>0</v>
      </c>
      <c r="F872">
        <v>0</v>
      </c>
      <c r="G872">
        <v>0</v>
      </c>
      <c r="H872">
        <f>IFERROR(VLOOKUP(CENTRAL[[#This Row],[Cód]],SUB[#All],4,0),0) + CENTRAL[[#This Row],[CMM]]</f>
        <v>0.41000000000000003</v>
      </c>
    </row>
    <row r="873" spans="1:8" x14ac:dyDescent="0.25">
      <c r="A873">
        <v>200002006</v>
      </c>
      <c r="B873" t="s">
        <v>813</v>
      </c>
      <c r="C873" t="s">
        <v>9</v>
      </c>
      <c r="D873">
        <v>2.25</v>
      </c>
      <c r="E873" s="15">
        <v>8.11</v>
      </c>
      <c r="F873">
        <v>0</v>
      </c>
      <c r="G873">
        <v>24</v>
      </c>
      <c r="H873">
        <f>IFERROR(VLOOKUP(CENTRAL[[#This Row],[Cód]],SUB[#All],4,0),0) + CENTRAL[[#This Row],[CMM]]</f>
        <v>2.5</v>
      </c>
    </row>
    <row r="874" spans="1:8" x14ac:dyDescent="0.25">
      <c r="A874">
        <v>200002007</v>
      </c>
      <c r="B874" t="s">
        <v>814</v>
      </c>
      <c r="C874" t="s">
        <v>9</v>
      </c>
      <c r="D874">
        <v>0.08</v>
      </c>
      <c r="E874" s="15">
        <v>16.41</v>
      </c>
      <c r="F874">
        <v>0</v>
      </c>
      <c r="G874">
        <v>5</v>
      </c>
      <c r="H874">
        <f>IFERROR(VLOOKUP(CENTRAL[[#This Row],[Cód]],SUB[#All],4,0),0) + CENTRAL[[#This Row],[CMM]]</f>
        <v>0.08</v>
      </c>
    </row>
    <row r="875" spans="1:8" x14ac:dyDescent="0.25">
      <c r="A875">
        <v>200003656</v>
      </c>
      <c r="B875" t="s">
        <v>815</v>
      </c>
      <c r="C875" t="s">
        <v>9</v>
      </c>
      <c r="D875">
        <v>3.66</v>
      </c>
      <c r="E875" s="15">
        <v>5.91</v>
      </c>
      <c r="F875">
        <v>0</v>
      </c>
      <c r="G875">
        <v>16</v>
      </c>
      <c r="H875">
        <f>IFERROR(VLOOKUP(CENTRAL[[#This Row],[Cód]],SUB[#All],4,0),0) + CENTRAL[[#This Row],[CMM]]</f>
        <v>3.66</v>
      </c>
    </row>
    <row r="876" spans="1:8" x14ac:dyDescent="0.25">
      <c r="A876">
        <v>200002011</v>
      </c>
      <c r="B876" t="s">
        <v>816</v>
      </c>
      <c r="C876" t="s">
        <v>9</v>
      </c>
      <c r="D876">
        <v>0.08</v>
      </c>
      <c r="E876" s="15">
        <v>0</v>
      </c>
      <c r="F876">
        <v>0</v>
      </c>
      <c r="G876">
        <v>0</v>
      </c>
      <c r="H876">
        <f>IFERROR(VLOOKUP(CENTRAL[[#This Row],[Cód]],SUB[#All],4,0),0) + CENTRAL[[#This Row],[CMM]]</f>
        <v>0.41000000000000003</v>
      </c>
    </row>
    <row r="877" spans="1:8" x14ac:dyDescent="0.25">
      <c r="A877">
        <v>200002008</v>
      </c>
      <c r="B877" t="s">
        <v>817</v>
      </c>
      <c r="C877" t="s">
        <v>9</v>
      </c>
      <c r="D877">
        <v>2.25</v>
      </c>
      <c r="E877" s="15">
        <v>0</v>
      </c>
      <c r="F877">
        <v>0</v>
      </c>
      <c r="G877">
        <v>0</v>
      </c>
      <c r="H877">
        <f>IFERROR(VLOOKUP(CENTRAL[[#This Row],[Cód]],SUB[#All],4,0),0) + CENTRAL[[#This Row],[CMM]]</f>
        <v>2.66</v>
      </c>
    </row>
    <row r="878" spans="1:8" x14ac:dyDescent="0.25">
      <c r="A878">
        <v>200002009</v>
      </c>
      <c r="B878" t="s">
        <v>818</v>
      </c>
      <c r="C878" t="s">
        <v>9</v>
      </c>
      <c r="D878">
        <v>0</v>
      </c>
      <c r="E878" s="15">
        <v>0</v>
      </c>
      <c r="F878">
        <v>0</v>
      </c>
      <c r="G878">
        <v>0</v>
      </c>
      <c r="H878">
        <f>IFERROR(VLOOKUP(CENTRAL[[#This Row],[Cód]],SUB[#All],4,0),0) + CENTRAL[[#This Row],[CMM]]</f>
        <v>0.33</v>
      </c>
    </row>
    <row r="879" spans="1:8" x14ac:dyDescent="0.25">
      <c r="A879">
        <v>200002013</v>
      </c>
      <c r="B879" t="s">
        <v>819</v>
      </c>
      <c r="C879" t="s">
        <v>9</v>
      </c>
      <c r="D879">
        <v>0</v>
      </c>
      <c r="E879" s="15">
        <v>0</v>
      </c>
      <c r="F879">
        <v>0</v>
      </c>
      <c r="G879">
        <v>0</v>
      </c>
      <c r="H879">
        <f>IFERROR(VLOOKUP(CENTRAL[[#This Row],[Cód]],SUB[#All],4,0),0) + CENTRAL[[#This Row],[CMM]]</f>
        <v>0.08</v>
      </c>
    </row>
    <row r="880" spans="1:8" x14ac:dyDescent="0.25">
      <c r="A880">
        <v>200000591</v>
      </c>
      <c r="B880" t="s">
        <v>820</v>
      </c>
      <c r="C880" t="s">
        <v>9</v>
      </c>
      <c r="D880">
        <v>0</v>
      </c>
      <c r="E880" s="15">
        <v>0</v>
      </c>
      <c r="F880">
        <v>0</v>
      </c>
      <c r="G880">
        <v>0</v>
      </c>
      <c r="H880">
        <f>IFERROR(VLOOKUP(CENTRAL[[#This Row],[Cód]],SUB[#All],4,0),0) + CENTRAL[[#This Row],[CMM]]</f>
        <v>0</v>
      </c>
    </row>
    <row r="881" spans="1:8" x14ac:dyDescent="0.25">
      <c r="A881">
        <v>200000592</v>
      </c>
      <c r="B881" t="s">
        <v>821</v>
      </c>
      <c r="C881" t="s">
        <v>9</v>
      </c>
      <c r="D881">
        <v>0</v>
      </c>
      <c r="E881" s="15">
        <v>0</v>
      </c>
      <c r="F881">
        <v>0</v>
      </c>
      <c r="G881">
        <v>0</v>
      </c>
      <c r="H881">
        <f>IFERROR(VLOOKUP(CENTRAL[[#This Row],[Cód]],SUB[#All],4,0),0) + CENTRAL[[#This Row],[CMM]]</f>
        <v>0</v>
      </c>
    </row>
    <row r="882" spans="1:8" x14ac:dyDescent="0.25">
      <c r="A882">
        <v>200003553</v>
      </c>
      <c r="B882" t="s">
        <v>822</v>
      </c>
      <c r="C882" t="s">
        <v>9</v>
      </c>
      <c r="D882">
        <v>0</v>
      </c>
      <c r="E882" s="15">
        <v>0</v>
      </c>
      <c r="F882">
        <v>0</v>
      </c>
      <c r="G882">
        <v>0</v>
      </c>
      <c r="H882">
        <f>IFERROR(VLOOKUP(CENTRAL[[#This Row],[Cód]],SUB[#All],4,0),0) + CENTRAL[[#This Row],[CMM]]</f>
        <v>0</v>
      </c>
    </row>
    <row r="883" spans="1:8" x14ac:dyDescent="0.25">
      <c r="A883">
        <v>200000586</v>
      </c>
      <c r="B883" t="s">
        <v>823</v>
      </c>
      <c r="C883" t="s">
        <v>9</v>
      </c>
      <c r="D883">
        <v>0.33</v>
      </c>
      <c r="E883" s="15">
        <v>13.5</v>
      </c>
      <c r="F883">
        <v>0</v>
      </c>
      <c r="G883">
        <v>2</v>
      </c>
      <c r="H883">
        <f>IFERROR(VLOOKUP(CENTRAL[[#This Row],[Cód]],SUB[#All],4,0),0) + CENTRAL[[#This Row],[CMM]]</f>
        <v>0.33</v>
      </c>
    </row>
    <row r="884" spans="1:8" x14ac:dyDescent="0.25">
      <c r="A884">
        <v>200000587</v>
      </c>
      <c r="B884" t="s">
        <v>824</v>
      </c>
      <c r="C884" t="s">
        <v>9</v>
      </c>
      <c r="D884">
        <v>0.33</v>
      </c>
      <c r="E884" s="15">
        <v>0</v>
      </c>
      <c r="F884">
        <v>0</v>
      </c>
      <c r="G884">
        <v>0</v>
      </c>
      <c r="H884">
        <f>IFERROR(VLOOKUP(CENTRAL[[#This Row],[Cód]],SUB[#All],4,0),0) + CENTRAL[[#This Row],[CMM]]</f>
        <v>0.41000000000000003</v>
      </c>
    </row>
    <row r="885" spans="1:8" x14ac:dyDescent="0.25">
      <c r="A885">
        <v>200000588</v>
      </c>
      <c r="B885" t="s">
        <v>825</v>
      </c>
      <c r="C885" t="s">
        <v>9</v>
      </c>
      <c r="D885">
        <v>0.41</v>
      </c>
      <c r="E885" s="15">
        <v>17.5</v>
      </c>
      <c r="F885">
        <v>0</v>
      </c>
      <c r="G885">
        <v>3</v>
      </c>
      <c r="H885">
        <f>IFERROR(VLOOKUP(CENTRAL[[#This Row],[Cód]],SUB[#All],4,0),0) + CENTRAL[[#This Row],[CMM]]</f>
        <v>0.49</v>
      </c>
    </row>
    <row r="886" spans="1:8" x14ac:dyDescent="0.25">
      <c r="A886">
        <v>200000589</v>
      </c>
      <c r="B886" t="s">
        <v>826</v>
      </c>
      <c r="C886" t="s">
        <v>9</v>
      </c>
      <c r="D886">
        <v>0.16</v>
      </c>
      <c r="E886" s="15">
        <v>0</v>
      </c>
      <c r="F886">
        <v>0</v>
      </c>
      <c r="G886">
        <v>0</v>
      </c>
      <c r="H886">
        <f>IFERROR(VLOOKUP(CENTRAL[[#This Row],[Cód]],SUB[#All],4,0),0) + CENTRAL[[#This Row],[CMM]]</f>
        <v>0.16</v>
      </c>
    </row>
    <row r="887" spans="1:8" x14ac:dyDescent="0.25">
      <c r="A887">
        <v>200000590</v>
      </c>
      <c r="B887" t="s">
        <v>827</v>
      </c>
      <c r="C887" t="s">
        <v>9</v>
      </c>
      <c r="D887">
        <v>0.41</v>
      </c>
      <c r="E887" s="15">
        <v>0</v>
      </c>
      <c r="F887">
        <v>0</v>
      </c>
      <c r="G887">
        <v>0</v>
      </c>
      <c r="H887">
        <f>IFERROR(VLOOKUP(CENTRAL[[#This Row],[Cód]],SUB[#All],4,0),0) + CENTRAL[[#This Row],[CMM]]</f>
        <v>0.65999999999999992</v>
      </c>
    </row>
    <row r="888" spans="1:8" x14ac:dyDescent="0.25">
      <c r="A888">
        <v>200000593</v>
      </c>
      <c r="B888" t="s">
        <v>828</v>
      </c>
      <c r="C888" t="s">
        <v>9</v>
      </c>
      <c r="D888">
        <v>0</v>
      </c>
      <c r="E888" s="15">
        <v>0</v>
      </c>
      <c r="F888">
        <v>0</v>
      </c>
      <c r="G888">
        <v>0</v>
      </c>
      <c r="H888">
        <f>IFERROR(VLOOKUP(CENTRAL[[#This Row],[Cód]],SUB[#All],4,0),0) + CENTRAL[[#This Row],[CMM]]</f>
        <v>0.33</v>
      </c>
    </row>
    <row r="889" spans="1:8" x14ac:dyDescent="0.25">
      <c r="A889">
        <v>200000594</v>
      </c>
      <c r="B889" t="s">
        <v>829</v>
      </c>
      <c r="C889" t="s">
        <v>9</v>
      </c>
      <c r="D889">
        <v>0</v>
      </c>
      <c r="E889" s="15">
        <v>0</v>
      </c>
      <c r="F889">
        <v>0</v>
      </c>
      <c r="G889">
        <v>0</v>
      </c>
      <c r="H889">
        <f>IFERROR(VLOOKUP(CENTRAL[[#This Row],[Cód]],SUB[#All],4,0),0) + CENTRAL[[#This Row],[CMM]]</f>
        <v>0.41</v>
      </c>
    </row>
    <row r="890" spans="1:8" x14ac:dyDescent="0.25">
      <c r="A890">
        <v>200006045</v>
      </c>
      <c r="B890" t="s">
        <v>830</v>
      </c>
      <c r="C890" t="s">
        <v>9</v>
      </c>
      <c r="D890">
        <v>0</v>
      </c>
      <c r="E890" s="15">
        <v>0</v>
      </c>
      <c r="F890">
        <v>0</v>
      </c>
      <c r="G890">
        <v>0</v>
      </c>
      <c r="H890">
        <f>IFERROR(VLOOKUP(CENTRAL[[#This Row],[Cód]],SUB[#All],4,0),0) + CENTRAL[[#This Row],[CMM]]</f>
        <v>0</v>
      </c>
    </row>
    <row r="891" spans="1:8" x14ac:dyDescent="0.25">
      <c r="A891">
        <v>200005514</v>
      </c>
      <c r="B891" t="s">
        <v>831</v>
      </c>
      <c r="C891" t="s">
        <v>9</v>
      </c>
      <c r="D891">
        <v>8.41</v>
      </c>
      <c r="E891" s="15">
        <v>1.4</v>
      </c>
      <c r="F891">
        <v>0</v>
      </c>
      <c r="G891">
        <v>7491</v>
      </c>
      <c r="H891">
        <f>IFERROR(VLOOKUP(CENTRAL[[#This Row],[Cód]],SUB[#All],4,0),0) + CENTRAL[[#This Row],[CMM]]</f>
        <v>8.41</v>
      </c>
    </row>
    <row r="892" spans="1:8" x14ac:dyDescent="0.25">
      <c r="A892">
        <v>200006081</v>
      </c>
      <c r="B892" t="s">
        <v>832</v>
      </c>
      <c r="C892" t="s">
        <v>9</v>
      </c>
      <c r="D892">
        <v>31</v>
      </c>
      <c r="E892" s="15">
        <v>2.06</v>
      </c>
      <c r="F892">
        <v>0</v>
      </c>
      <c r="G892">
        <v>1576</v>
      </c>
      <c r="H892">
        <f>IFERROR(VLOOKUP(CENTRAL[[#This Row],[Cód]],SUB[#All],4,0),0) + CENTRAL[[#This Row],[CMM]]</f>
        <v>31</v>
      </c>
    </row>
    <row r="893" spans="1:8" x14ac:dyDescent="0.25">
      <c r="A893">
        <v>200005471</v>
      </c>
      <c r="B893" t="s">
        <v>833</v>
      </c>
      <c r="C893" t="s">
        <v>86</v>
      </c>
      <c r="D893">
        <v>3.08</v>
      </c>
      <c r="E893" s="15">
        <v>4.22</v>
      </c>
      <c r="F893">
        <v>0</v>
      </c>
      <c r="G893">
        <v>5</v>
      </c>
      <c r="H893">
        <f>IFERROR(VLOOKUP(CENTRAL[[#This Row],[Cód]],SUB[#All],4,0),0) + CENTRAL[[#This Row],[CMM]]</f>
        <v>3.08</v>
      </c>
    </row>
    <row r="894" spans="1:8" x14ac:dyDescent="0.25">
      <c r="A894">
        <v>200003965</v>
      </c>
      <c r="B894" t="s">
        <v>834</v>
      </c>
      <c r="C894" t="s">
        <v>86</v>
      </c>
      <c r="D894">
        <v>11.75</v>
      </c>
      <c r="E894" s="15">
        <v>3.31</v>
      </c>
      <c r="F894">
        <v>11</v>
      </c>
      <c r="G894">
        <v>190</v>
      </c>
      <c r="H894">
        <f>IFERROR(VLOOKUP(CENTRAL[[#This Row],[Cód]],SUB[#All],4,0),0) + CENTRAL[[#This Row],[CMM]]</f>
        <v>11.75</v>
      </c>
    </row>
    <row r="895" spans="1:8" x14ac:dyDescent="0.25">
      <c r="A895">
        <v>200004298</v>
      </c>
      <c r="B895" t="s">
        <v>835</v>
      </c>
      <c r="C895" t="s">
        <v>546</v>
      </c>
      <c r="D895">
        <v>0</v>
      </c>
      <c r="E895" s="15">
        <v>0</v>
      </c>
      <c r="F895">
        <v>0</v>
      </c>
      <c r="G895">
        <v>0</v>
      </c>
      <c r="H895">
        <f>IFERROR(VLOOKUP(CENTRAL[[#This Row],[Cód]],SUB[#All],4,0),0) + CENTRAL[[#This Row],[CMM]]</f>
        <v>0</v>
      </c>
    </row>
    <row r="896" spans="1:8" x14ac:dyDescent="0.25">
      <c r="A896">
        <v>200004298</v>
      </c>
      <c r="B896" t="s">
        <v>835</v>
      </c>
      <c r="C896" t="s">
        <v>546</v>
      </c>
      <c r="D896">
        <v>0</v>
      </c>
      <c r="E896" s="15">
        <v>0</v>
      </c>
      <c r="F896">
        <v>0</v>
      </c>
      <c r="G896">
        <v>0</v>
      </c>
      <c r="H896">
        <f>IFERROR(VLOOKUP(CENTRAL[[#This Row],[Cód]],SUB[#All],4,0),0) + CENTRAL[[#This Row],[CMM]]</f>
        <v>0</v>
      </c>
    </row>
    <row r="897" spans="1:8" x14ac:dyDescent="0.25">
      <c r="A897">
        <v>200000596</v>
      </c>
      <c r="B897" t="s">
        <v>836</v>
      </c>
      <c r="C897" t="s">
        <v>9</v>
      </c>
      <c r="D897">
        <v>0</v>
      </c>
      <c r="E897" s="15">
        <v>0</v>
      </c>
      <c r="F897">
        <v>0</v>
      </c>
      <c r="G897">
        <v>0</v>
      </c>
      <c r="H897">
        <f>IFERROR(VLOOKUP(CENTRAL[[#This Row],[Cód]],SUB[#All],4,0),0) + CENTRAL[[#This Row],[CMM]]</f>
        <v>0</v>
      </c>
    </row>
    <row r="898" spans="1:8" x14ac:dyDescent="0.25">
      <c r="A898">
        <v>200006049</v>
      </c>
      <c r="B898" t="s">
        <v>837</v>
      </c>
      <c r="C898" t="s">
        <v>9</v>
      </c>
      <c r="D898">
        <v>0</v>
      </c>
      <c r="E898" s="15">
        <v>0</v>
      </c>
      <c r="F898">
        <v>0</v>
      </c>
      <c r="G898">
        <v>0</v>
      </c>
      <c r="H898">
        <f>IFERROR(VLOOKUP(CENTRAL[[#This Row],[Cód]],SUB[#All],4,0),0) + CENTRAL[[#This Row],[CMM]]</f>
        <v>0</v>
      </c>
    </row>
    <row r="899" spans="1:8" x14ac:dyDescent="0.25">
      <c r="A899">
        <v>200003642</v>
      </c>
      <c r="B899" t="s">
        <v>838</v>
      </c>
      <c r="C899" t="s">
        <v>9</v>
      </c>
      <c r="D899">
        <v>0.16</v>
      </c>
      <c r="E899" s="15">
        <v>72.95</v>
      </c>
      <c r="F899">
        <v>0</v>
      </c>
      <c r="G899">
        <v>24</v>
      </c>
      <c r="H899">
        <f>IFERROR(VLOOKUP(CENTRAL[[#This Row],[Cód]],SUB[#All],4,0),0) + CENTRAL[[#This Row],[CMM]]</f>
        <v>0.49</v>
      </c>
    </row>
    <row r="900" spans="1:8" x14ac:dyDescent="0.25">
      <c r="A900">
        <v>200002353</v>
      </c>
      <c r="B900" t="s">
        <v>839</v>
      </c>
      <c r="C900" t="s">
        <v>9</v>
      </c>
      <c r="D900">
        <v>0</v>
      </c>
      <c r="E900" s="15">
        <v>35</v>
      </c>
      <c r="F900">
        <v>0</v>
      </c>
      <c r="G900">
        <v>2</v>
      </c>
      <c r="H900">
        <f>IFERROR(VLOOKUP(CENTRAL[[#This Row],[Cód]],SUB[#All],4,0),0) + CENTRAL[[#This Row],[CMM]]</f>
        <v>0.16</v>
      </c>
    </row>
    <row r="901" spans="1:8" x14ac:dyDescent="0.25">
      <c r="A901">
        <v>200000597</v>
      </c>
      <c r="B901" t="s">
        <v>840</v>
      </c>
      <c r="C901" t="s">
        <v>9</v>
      </c>
      <c r="D901">
        <v>0</v>
      </c>
      <c r="E901" s="15">
        <v>0</v>
      </c>
      <c r="F901">
        <v>0</v>
      </c>
      <c r="G901">
        <v>0</v>
      </c>
      <c r="H901">
        <f>IFERROR(VLOOKUP(CENTRAL[[#This Row],[Cód]],SUB[#All],4,0),0) + CENTRAL[[#This Row],[CMM]]</f>
        <v>0</v>
      </c>
    </row>
    <row r="902" spans="1:8" x14ac:dyDescent="0.25">
      <c r="A902">
        <v>200002216</v>
      </c>
      <c r="B902" t="s">
        <v>841</v>
      </c>
      <c r="C902" t="s">
        <v>9</v>
      </c>
      <c r="D902">
        <v>0</v>
      </c>
      <c r="E902" s="15">
        <v>0</v>
      </c>
      <c r="F902">
        <v>0</v>
      </c>
      <c r="G902">
        <v>0</v>
      </c>
      <c r="H902">
        <f>IFERROR(VLOOKUP(CENTRAL[[#This Row],[Cód]],SUB[#All],4,0),0) + CENTRAL[[#This Row],[CMM]]</f>
        <v>0</v>
      </c>
    </row>
    <row r="903" spans="1:8" x14ac:dyDescent="0.25">
      <c r="A903">
        <v>200003674</v>
      </c>
      <c r="B903" t="s">
        <v>842</v>
      </c>
      <c r="C903" t="s">
        <v>9</v>
      </c>
      <c r="D903">
        <v>0.08</v>
      </c>
      <c r="E903" s="15">
        <v>60.51</v>
      </c>
      <c r="F903">
        <v>0</v>
      </c>
      <c r="G903">
        <v>34</v>
      </c>
      <c r="H903">
        <f>IFERROR(VLOOKUP(CENTRAL[[#This Row],[Cód]],SUB[#All],4,0),0) + CENTRAL[[#This Row],[CMM]]</f>
        <v>0.08</v>
      </c>
    </row>
    <row r="904" spans="1:8" x14ac:dyDescent="0.25">
      <c r="A904">
        <v>200002217</v>
      </c>
      <c r="B904" t="s">
        <v>843</v>
      </c>
      <c r="C904" t="s">
        <v>9</v>
      </c>
      <c r="D904">
        <v>0</v>
      </c>
      <c r="E904" s="15">
        <v>0</v>
      </c>
      <c r="F904">
        <v>0</v>
      </c>
      <c r="G904">
        <v>0</v>
      </c>
      <c r="H904">
        <f>IFERROR(VLOOKUP(CENTRAL[[#This Row],[Cód]],SUB[#All],4,0),0) + CENTRAL[[#This Row],[CMM]]</f>
        <v>0</v>
      </c>
    </row>
    <row r="905" spans="1:8" x14ac:dyDescent="0.25">
      <c r="A905">
        <v>200003640</v>
      </c>
      <c r="B905" t="s">
        <v>844</v>
      </c>
      <c r="C905" t="s">
        <v>9</v>
      </c>
      <c r="D905">
        <v>0.33</v>
      </c>
      <c r="E905" s="15">
        <v>85.72</v>
      </c>
      <c r="F905">
        <v>0</v>
      </c>
      <c r="G905">
        <v>49</v>
      </c>
      <c r="H905">
        <f>IFERROR(VLOOKUP(CENTRAL[[#This Row],[Cód]],SUB[#All],4,0),0) + CENTRAL[[#This Row],[CMM]]</f>
        <v>0.49</v>
      </c>
    </row>
    <row r="906" spans="1:8" x14ac:dyDescent="0.25">
      <c r="A906">
        <v>200003641</v>
      </c>
      <c r="B906" t="s">
        <v>845</v>
      </c>
      <c r="C906" t="s">
        <v>9</v>
      </c>
      <c r="D906">
        <v>0.5</v>
      </c>
      <c r="E906" s="15">
        <v>100.55</v>
      </c>
      <c r="F906">
        <v>0</v>
      </c>
      <c r="G906">
        <v>62</v>
      </c>
      <c r="H906">
        <f>IFERROR(VLOOKUP(CENTRAL[[#This Row],[Cód]],SUB[#All],4,0),0) + CENTRAL[[#This Row],[CMM]]</f>
        <v>0.66</v>
      </c>
    </row>
    <row r="907" spans="1:8" x14ac:dyDescent="0.25">
      <c r="A907">
        <v>200002014</v>
      </c>
      <c r="B907" t="s">
        <v>846</v>
      </c>
      <c r="C907" t="s">
        <v>9</v>
      </c>
      <c r="D907">
        <v>0</v>
      </c>
      <c r="E907" s="15">
        <v>18.02</v>
      </c>
      <c r="F907">
        <v>0</v>
      </c>
      <c r="G907">
        <v>157</v>
      </c>
      <c r="H907">
        <f>IFERROR(VLOOKUP(CENTRAL[[#This Row],[Cód]],SUB[#All],4,0),0) + CENTRAL[[#This Row],[CMM]]</f>
        <v>0</v>
      </c>
    </row>
    <row r="908" spans="1:8" x14ac:dyDescent="0.25">
      <c r="A908">
        <v>200000598</v>
      </c>
      <c r="B908" t="s">
        <v>847</v>
      </c>
      <c r="C908" t="s">
        <v>9</v>
      </c>
      <c r="D908">
        <v>0</v>
      </c>
      <c r="E908" s="15">
        <v>21.74</v>
      </c>
      <c r="F908">
        <v>0</v>
      </c>
      <c r="G908">
        <v>18</v>
      </c>
      <c r="H908">
        <f>IFERROR(VLOOKUP(CENTRAL[[#This Row],[Cód]],SUB[#All],4,0),0) + CENTRAL[[#This Row],[CMM]]</f>
        <v>0</v>
      </c>
    </row>
    <row r="909" spans="1:8" x14ac:dyDescent="0.25">
      <c r="A909">
        <v>200000599</v>
      </c>
      <c r="B909" t="s">
        <v>848</v>
      </c>
      <c r="C909" t="s">
        <v>9</v>
      </c>
      <c r="D909">
        <v>0</v>
      </c>
      <c r="E909" s="15">
        <v>46.96</v>
      </c>
      <c r="F909">
        <v>0</v>
      </c>
      <c r="G909">
        <v>59</v>
      </c>
      <c r="H909">
        <f>IFERROR(VLOOKUP(CENTRAL[[#This Row],[Cód]],SUB[#All],4,0),0) + CENTRAL[[#This Row],[CMM]]</f>
        <v>0</v>
      </c>
    </row>
    <row r="910" spans="1:8" x14ac:dyDescent="0.25">
      <c r="A910">
        <v>200000599</v>
      </c>
      <c r="B910" t="s">
        <v>848</v>
      </c>
      <c r="C910" t="s">
        <v>9</v>
      </c>
      <c r="D910">
        <v>0</v>
      </c>
      <c r="E910" s="15">
        <v>0</v>
      </c>
      <c r="F910">
        <v>0</v>
      </c>
      <c r="G910">
        <v>0</v>
      </c>
      <c r="H910">
        <f>IFERROR(VLOOKUP(CENTRAL[[#This Row],[Cód]],SUB[#All],4,0),0) + CENTRAL[[#This Row],[CMM]]</f>
        <v>0</v>
      </c>
    </row>
    <row r="911" spans="1:8" x14ac:dyDescent="0.25">
      <c r="A911">
        <v>200006945</v>
      </c>
      <c r="B911" t="s">
        <v>849</v>
      </c>
      <c r="C911" t="s">
        <v>721</v>
      </c>
      <c r="D911">
        <v>0</v>
      </c>
      <c r="E911" s="15">
        <v>0</v>
      </c>
      <c r="F911">
        <v>0</v>
      </c>
      <c r="G911">
        <v>0</v>
      </c>
      <c r="H911">
        <f>IFERROR(VLOOKUP(CENTRAL[[#This Row],[Cód]],SUB[#All],4,0),0) + CENTRAL[[#This Row],[CMM]]</f>
        <v>0</v>
      </c>
    </row>
    <row r="912" spans="1:8" x14ac:dyDescent="0.25">
      <c r="A912">
        <v>200003964</v>
      </c>
      <c r="B912" t="s">
        <v>850</v>
      </c>
      <c r="C912" t="s">
        <v>110</v>
      </c>
      <c r="D912">
        <v>0</v>
      </c>
      <c r="E912" s="15">
        <v>0</v>
      </c>
      <c r="F912">
        <v>0</v>
      </c>
      <c r="G912">
        <v>0</v>
      </c>
      <c r="H912">
        <f>IFERROR(VLOOKUP(CENTRAL[[#This Row],[Cód]],SUB[#All],4,0),0) + CENTRAL[[#This Row],[CMM]]</f>
        <v>0</v>
      </c>
    </row>
    <row r="913" spans="1:8" x14ac:dyDescent="0.25">
      <c r="A913">
        <v>200005411</v>
      </c>
      <c r="B913" t="s">
        <v>851</v>
      </c>
      <c r="C913" t="s">
        <v>9</v>
      </c>
      <c r="D913">
        <v>0</v>
      </c>
      <c r="E913" s="15">
        <v>0</v>
      </c>
      <c r="F913">
        <v>0</v>
      </c>
      <c r="G913">
        <v>0</v>
      </c>
      <c r="H913">
        <f>IFERROR(VLOOKUP(CENTRAL[[#This Row],[Cód]],SUB[#All],4,0),0) + CENTRAL[[#This Row],[CMM]]</f>
        <v>0</v>
      </c>
    </row>
    <row r="914" spans="1:8" x14ac:dyDescent="0.25">
      <c r="A914">
        <v>200006357</v>
      </c>
      <c r="B914" t="s">
        <v>852</v>
      </c>
      <c r="C914" t="s">
        <v>9</v>
      </c>
      <c r="D914">
        <v>2.83</v>
      </c>
      <c r="E914" s="15">
        <v>0</v>
      </c>
      <c r="F914">
        <v>0</v>
      </c>
      <c r="G914">
        <v>0</v>
      </c>
      <c r="H914">
        <f>IFERROR(VLOOKUP(CENTRAL[[#This Row],[Cód]],SUB[#All],4,0),0) + CENTRAL[[#This Row],[CMM]]</f>
        <v>2.83</v>
      </c>
    </row>
    <row r="915" spans="1:8" x14ac:dyDescent="0.25">
      <c r="A915">
        <v>200004020</v>
      </c>
      <c r="B915" t="s">
        <v>853</v>
      </c>
      <c r="C915" t="s">
        <v>9</v>
      </c>
      <c r="D915">
        <v>0</v>
      </c>
      <c r="E915" s="15">
        <v>0</v>
      </c>
      <c r="F915">
        <v>0</v>
      </c>
      <c r="G915">
        <v>0</v>
      </c>
      <c r="H915">
        <f>IFERROR(VLOOKUP(CENTRAL[[#This Row],[Cód]],SUB[#All],4,0),0) + CENTRAL[[#This Row],[CMM]]</f>
        <v>0</v>
      </c>
    </row>
    <row r="916" spans="1:8" x14ac:dyDescent="0.25">
      <c r="A916">
        <v>200006330</v>
      </c>
      <c r="B916" t="s">
        <v>2310</v>
      </c>
      <c r="C916" t="s">
        <v>9</v>
      </c>
      <c r="D916">
        <v>0</v>
      </c>
      <c r="E916" s="15">
        <v>0</v>
      </c>
      <c r="F916">
        <v>0</v>
      </c>
      <c r="G916">
        <v>0</v>
      </c>
      <c r="H916">
        <f>IFERROR(VLOOKUP(CENTRAL[[#This Row],[Cód]],SUB[#All],4,0),0) + CENTRAL[[#This Row],[CMM]]</f>
        <v>0</v>
      </c>
    </row>
    <row r="917" spans="1:8" x14ac:dyDescent="0.25">
      <c r="A917">
        <v>200000604</v>
      </c>
      <c r="B917" t="s">
        <v>855</v>
      </c>
      <c r="C917" t="s">
        <v>9</v>
      </c>
      <c r="D917">
        <v>3.91</v>
      </c>
      <c r="E917" s="15">
        <v>0</v>
      </c>
      <c r="F917">
        <v>0</v>
      </c>
      <c r="G917">
        <v>0</v>
      </c>
      <c r="H917">
        <f>IFERROR(VLOOKUP(CENTRAL[[#This Row],[Cód]],SUB[#All],4,0),0) + CENTRAL[[#This Row],[CMM]]</f>
        <v>4.74</v>
      </c>
    </row>
    <row r="918" spans="1:8" x14ac:dyDescent="0.25">
      <c r="A918">
        <v>200000604</v>
      </c>
      <c r="B918" t="s">
        <v>855</v>
      </c>
      <c r="C918" t="s">
        <v>9</v>
      </c>
      <c r="D918">
        <v>3.91</v>
      </c>
      <c r="E918" s="15">
        <v>8.6300000000000008</v>
      </c>
      <c r="F918">
        <v>0</v>
      </c>
      <c r="G918">
        <v>67</v>
      </c>
      <c r="H918">
        <f>IFERROR(VLOOKUP(CENTRAL[[#This Row],[Cód]],SUB[#All],4,0),0) + CENTRAL[[#This Row],[CMM]]</f>
        <v>4.74</v>
      </c>
    </row>
    <row r="919" spans="1:8" x14ac:dyDescent="0.25">
      <c r="A919">
        <v>200001599</v>
      </c>
      <c r="B919" t="s">
        <v>856</v>
      </c>
      <c r="C919" t="s">
        <v>9</v>
      </c>
      <c r="D919">
        <v>21.83</v>
      </c>
      <c r="E919" s="15">
        <v>4.5199999999999996</v>
      </c>
      <c r="F919">
        <v>0</v>
      </c>
      <c r="G919">
        <v>155</v>
      </c>
      <c r="H919">
        <f>IFERROR(VLOOKUP(CENTRAL[[#This Row],[Cód]],SUB[#All],4,0),0) + CENTRAL[[#This Row],[CMM]]</f>
        <v>25.409999999999997</v>
      </c>
    </row>
    <row r="920" spans="1:8" x14ac:dyDescent="0.25">
      <c r="A920">
        <v>200001619</v>
      </c>
      <c r="B920" t="s">
        <v>857</v>
      </c>
      <c r="C920" t="s">
        <v>9</v>
      </c>
      <c r="D920">
        <v>7.5</v>
      </c>
      <c r="E920" s="15">
        <v>20</v>
      </c>
      <c r="F920">
        <v>0</v>
      </c>
      <c r="G920">
        <v>69</v>
      </c>
      <c r="H920">
        <f>IFERROR(VLOOKUP(CENTRAL[[#This Row],[Cód]],SUB[#All],4,0),0) + CENTRAL[[#This Row],[CMM]]</f>
        <v>7.5</v>
      </c>
    </row>
    <row r="921" spans="1:8" x14ac:dyDescent="0.25">
      <c r="A921">
        <v>200003675</v>
      </c>
      <c r="B921" t="s">
        <v>858</v>
      </c>
      <c r="C921" t="s">
        <v>9</v>
      </c>
      <c r="D921">
        <v>7.83</v>
      </c>
      <c r="E921" s="15">
        <v>18.62</v>
      </c>
      <c r="F921">
        <v>0</v>
      </c>
      <c r="G921">
        <v>123</v>
      </c>
      <c r="H921">
        <f>IFERROR(VLOOKUP(CENTRAL[[#This Row],[Cód]],SUB[#All],4,0),0) + CENTRAL[[#This Row],[CMM]]</f>
        <v>9.83</v>
      </c>
    </row>
    <row r="922" spans="1:8" x14ac:dyDescent="0.25">
      <c r="A922">
        <v>200007172</v>
      </c>
      <c r="B922" t="s">
        <v>859</v>
      </c>
      <c r="C922" t="s">
        <v>9</v>
      </c>
      <c r="D922">
        <v>32.4</v>
      </c>
      <c r="E922" s="15">
        <v>7.88</v>
      </c>
      <c r="F922">
        <v>0</v>
      </c>
      <c r="G922">
        <v>176</v>
      </c>
      <c r="H922">
        <f>IFERROR(VLOOKUP(CENTRAL[[#This Row],[Cód]],SUB[#All],4,0),0) + CENTRAL[[#This Row],[CMM]]</f>
        <v>32.4</v>
      </c>
    </row>
    <row r="923" spans="1:8" x14ac:dyDescent="0.25">
      <c r="A923">
        <v>200001594</v>
      </c>
      <c r="B923" t="s">
        <v>860</v>
      </c>
      <c r="C923" t="s">
        <v>9</v>
      </c>
      <c r="D923">
        <v>1.1599999999999999</v>
      </c>
      <c r="E923" s="15">
        <v>0</v>
      </c>
      <c r="F923">
        <v>0</v>
      </c>
      <c r="G923">
        <v>0</v>
      </c>
      <c r="H923">
        <f>IFERROR(VLOOKUP(CENTRAL[[#This Row],[Cód]],SUB[#All],4,0),0) + CENTRAL[[#This Row],[CMM]]</f>
        <v>2.41</v>
      </c>
    </row>
    <row r="924" spans="1:8" x14ac:dyDescent="0.25">
      <c r="A924">
        <v>200006035</v>
      </c>
      <c r="B924" t="s">
        <v>861</v>
      </c>
      <c r="C924" t="s">
        <v>9</v>
      </c>
      <c r="D924">
        <v>0</v>
      </c>
      <c r="E924" s="15">
        <v>0</v>
      </c>
      <c r="F924">
        <v>0</v>
      </c>
      <c r="G924">
        <v>0</v>
      </c>
      <c r="H924">
        <f>IFERROR(VLOOKUP(CENTRAL[[#This Row],[Cód]],SUB[#All],4,0),0) + CENTRAL[[#This Row],[CMM]]</f>
        <v>0</v>
      </c>
    </row>
    <row r="925" spans="1:8" x14ac:dyDescent="0.25">
      <c r="A925">
        <v>200000610</v>
      </c>
      <c r="B925" t="s">
        <v>862</v>
      </c>
      <c r="C925" t="s">
        <v>9</v>
      </c>
      <c r="D925">
        <v>151.83000000000001</v>
      </c>
      <c r="E925" s="15">
        <v>2.0299999999999998</v>
      </c>
      <c r="F925">
        <v>0</v>
      </c>
      <c r="G925">
        <v>53</v>
      </c>
      <c r="H925">
        <f>IFERROR(VLOOKUP(CENTRAL[[#This Row],[Cód]],SUB[#All],4,0),0) + CENTRAL[[#This Row],[CMM]]</f>
        <v>199.74</v>
      </c>
    </row>
    <row r="926" spans="1:8" x14ac:dyDescent="0.25">
      <c r="A926">
        <v>200004959</v>
      </c>
      <c r="B926" t="s">
        <v>863</v>
      </c>
      <c r="C926" t="s">
        <v>9</v>
      </c>
      <c r="D926">
        <v>0</v>
      </c>
      <c r="E926" s="15">
        <v>0</v>
      </c>
      <c r="F926">
        <v>0</v>
      </c>
      <c r="G926">
        <v>0</v>
      </c>
      <c r="H926">
        <f>IFERROR(VLOOKUP(CENTRAL[[#This Row],[Cód]],SUB[#All],4,0),0) + CENTRAL[[#This Row],[CMM]]</f>
        <v>0</v>
      </c>
    </row>
    <row r="927" spans="1:8" x14ac:dyDescent="0.25">
      <c r="A927">
        <v>200004960</v>
      </c>
      <c r="B927" t="s">
        <v>864</v>
      </c>
      <c r="C927" t="s">
        <v>9</v>
      </c>
      <c r="D927">
        <v>0</v>
      </c>
      <c r="E927" s="15">
        <v>0</v>
      </c>
      <c r="F927">
        <v>0</v>
      </c>
      <c r="G927">
        <v>0</v>
      </c>
      <c r="H927">
        <f>IFERROR(VLOOKUP(CENTRAL[[#This Row],[Cód]],SUB[#All],4,0),0) + CENTRAL[[#This Row],[CMM]]</f>
        <v>0</v>
      </c>
    </row>
    <row r="928" spans="1:8" x14ac:dyDescent="0.25">
      <c r="A928">
        <v>200004233</v>
      </c>
      <c r="B928" t="s">
        <v>865</v>
      </c>
      <c r="C928" t="s">
        <v>9</v>
      </c>
      <c r="D928">
        <v>0</v>
      </c>
      <c r="E928" s="15">
        <v>0</v>
      </c>
      <c r="F928">
        <v>0</v>
      </c>
      <c r="G928">
        <v>0</v>
      </c>
      <c r="H928">
        <f>IFERROR(VLOOKUP(CENTRAL[[#This Row],[Cód]],SUB[#All],4,0),0) + CENTRAL[[#This Row],[CMM]]</f>
        <v>0</v>
      </c>
    </row>
    <row r="929" spans="1:8" x14ac:dyDescent="0.25">
      <c r="A929">
        <v>200004233</v>
      </c>
      <c r="B929" t="s">
        <v>865</v>
      </c>
      <c r="C929" t="s">
        <v>9</v>
      </c>
      <c r="D929">
        <v>0</v>
      </c>
      <c r="E929" s="15">
        <v>0</v>
      </c>
      <c r="F929">
        <v>0</v>
      </c>
      <c r="G929">
        <v>0</v>
      </c>
      <c r="H929">
        <f>IFERROR(VLOOKUP(CENTRAL[[#This Row],[Cód]],SUB[#All],4,0),0) + CENTRAL[[#This Row],[CMM]]</f>
        <v>0</v>
      </c>
    </row>
    <row r="930" spans="1:8" x14ac:dyDescent="0.25">
      <c r="A930">
        <v>200007236</v>
      </c>
      <c r="B930" t="s">
        <v>866</v>
      </c>
      <c r="C930" t="s">
        <v>9</v>
      </c>
      <c r="D930">
        <v>0</v>
      </c>
      <c r="E930" s="15">
        <v>13.57</v>
      </c>
      <c r="F930">
        <v>0</v>
      </c>
      <c r="G930">
        <v>5</v>
      </c>
      <c r="H930">
        <f>IFERROR(VLOOKUP(CENTRAL[[#This Row],[Cód]],SUB[#All],4,0),0) + CENTRAL[[#This Row],[CMM]]</f>
        <v>0</v>
      </c>
    </row>
    <row r="931" spans="1:8" x14ac:dyDescent="0.25">
      <c r="A931">
        <v>200000614</v>
      </c>
      <c r="B931" t="s">
        <v>867</v>
      </c>
      <c r="C931" t="s">
        <v>9</v>
      </c>
      <c r="D931">
        <v>0.83</v>
      </c>
      <c r="E931" s="15">
        <v>21.49</v>
      </c>
      <c r="F931">
        <v>0</v>
      </c>
      <c r="G931">
        <v>85</v>
      </c>
      <c r="H931">
        <f>IFERROR(VLOOKUP(CENTRAL[[#This Row],[Cód]],SUB[#All],4,0),0) + CENTRAL[[#This Row],[CMM]]</f>
        <v>0.90999999999999992</v>
      </c>
    </row>
    <row r="932" spans="1:8" x14ac:dyDescent="0.25">
      <c r="A932">
        <v>200001617</v>
      </c>
      <c r="B932" t="s">
        <v>868</v>
      </c>
      <c r="C932" t="s">
        <v>63</v>
      </c>
      <c r="D932">
        <v>1.1599999999999999</v>
      </c>
      <c r="E932" s="15">
        <v>36.770000000000003</v>
      </c>
      <c r="F932">
        <v>0</v>
      </c>
      <c r="G932">
        <v>29</v>
      </c>
      <c r="H932">
        <f>IFERROR(VLOOKUP(CENTRAL[[#This Row],[Cód]],SUB[#All],4,0),0) + CENTRAL[[#This Row],[CMM]]</f>
        <v>1.1599999999999999</v>
      </c>
    </row>
    <row r="933" spans="1:8" x14ac:dyDescent="0.25">
      <c r="A933">
        <v>200001618</v>
      </c>
      <c r="B933" t="s">
        <v>869</v>
      </c>
      <c r="C933" t="s">
        <v>63</v>
      </c>
      <c r="D933">
        <v>0.91</v>
      </c>
      <c r="E933" s="15">
        <v>123.75</v>
      </c>
      <c r="F933">
        <v>0</v>
      </c>
      <c r="G933">
        <v>10</v>
      </c>
      <c r="H933">
        <f>IFERROR(VLOOKUP(CENTRAL[[#This Row],[Cód]],SUB[#All],4,0),0) + CENTRAL[[#This Row],[CMM]]</f>
        <v>1.07</v>
      </c>
    </row>
    <row r="934" spans="1:8" x14ac:dyDescent="0.25">
      <c r="A934">
        <v>200003117</v>
      </c>
      <c r="B934" t="s">
        <v>870</v>
      </c>
      <c r="C934" t="s">
        <v>871</v>
      </c>
      <c r="D934">
        <v>0</v>
      </c>
      <c r="E934" s="15">
        <v>0</v>
      </c>
      <c r="F934">
        <v>0</v>
      </c>
      <c r="G934">
        <v>0</v>
      </c>
      <c r="H934">
        <f>IFERROR(VLOOKUP(CENTRAL[[#This Row],[Cód]],SUB[#All],4,0),0) + CENTRAL[[#This Row],[CMM]]</f>
        <v>0</v>
      </c>
    </row>
    <row r="935" spans="1:8" x14ac:dyDescent="0.25">
      <c r="A935">
        <v>200000619</v>
      </c>
      <c r="B935" t="s">
        <v>872</v>
      </c>
      <c r="C935" t="s">
        <v>9</v>
      </c>
      <c r="D935">
        <v>0</v>
      </c>
      <c r="E935" s="15">
        <v>0</v>
      </c>
      <c r="F935">
        <v>0</v>
      </c>
      <c r="G935">
        <v>0</v>
      </c>
      <c r="H935">
        <f>IFERROR(VLOOKUP(CENTRAL[[#This Row],[Cód]],SUB[#All],4,0),0) + CENTRAL[[#This Row],[CMM]]</f>
        <v>0</v>
      </c>
    </row>
    <row r="936" spans="1:8" x14ac:dyDescent="0.25">
      <c r="A936">
        <v>200002057</v>
      </c>
      <c r="B936" t="s">
        <v>873</v>
      </c>
      <c r="C936" t="s">
        <v>9</v>
      </c>
      <c r="D936">
        <v>4.41</v>
      </c>
      <c r="E936" s="15">
        <v>140.99</v>
      </c>
      <c r="F936">
        <v>0</v>
      </c>
      <c r="G936">
        <v>56</v>
      </c>
      <c r="H936">
        <f>IFERROR(VLOOKUP(CENTRAL[[#This Row],[Cód]],SUB[#All],4,0),0) + CENTRAL[[#This Row],[CMM]]</f>
        <v>4.74</v>
      </c>
    </row>
    <row r="937" spans="1:8" x14ac:dyDescent="0.25">
      <c r="A937">
        <v>200004892</v>
      </c>
      <c r="B937" t="s">
        <v>874</v>
      </c>
      <c r="C937" t="s">
        <v>9</v>
      </c>
      <c r="D937">
        <v>0</v>
      </c>
      <c r="E937" s="15">
        <v>0</v>
      </c>
      <c r="F937">
        <v>0</v>
      </c>
      <c r="G937">
        <v>0</v>
      </c>
      <c r="H937">
        <f>IFERROR(VLOOKUP(CENTRAL[[#This Row],[Cód]],SUB[#All],4,0),0) + CENTRAL[[#This Row],[CMM]]</f>
        <v>0</v>
      </c>
    </row>
    <row r="938" spans="1:8" x14ac:dyDescent="0.25">
      <c r="A938">
        <v>200001036</v>
      </c>
      <c r="B938" t="s">
        <v>875</v>
      </c>
      <c r="C938" t="s">
        <v>9</v>
      </c>
      <c r="D938">
        <v>6.08</v>
      </c>
      <c r="E938" s="15">
        <v>254.82</v>
      </c>
      <c r="F938">
        <v>0</v>
      </c>
      <c r="G938">
        <v>10</v>
      </c>
      <c r="H938">
        <f>IFERROR(VLOOKUP(CENTRAL[[#This Row],[Cód]],SUB[#All],4,0),0) + CENTRAL[[#This Row],[CMM]]</f>
        <v>6.08</v>
      </c>
    </row>
    <row r="939" spans="1:8" x14ac:dyDescent="0.25">
      <c r="A939">
        <v>200002058</v>
      </c>
      <c r="B939" t="s">
        <v>876</v>
      </c>
      <c r="C939" t="s">
        <v>9</v>
      </c>
      <c r="D939">
        <v>2</v>
      </c>
      <c r="E939" s="15">
        <v>171.75</v>
      </c>
      <c r="F939">
        <v>0</v>
      </c>
      <c r="G939">
        <v>39</v>
      </c>
      <c r="H939">
        <f>IFERROR(VLOOKUP(CENTRAL[[#This Row],[Cód]],SUB[#All],4,0),0) + CENTRAL[[#This Row],[CMM]]</f>
        <v>2.83</v>
      </c>
    </row>
    <row r="940" spans="1:8" x14ac:dyDescent="0.25">
      <c r="A940">
        <v>200004985</v>
      </c>
      <c r="B940" t="s">
        <v>877</v>
      </c>
      <c r="C940" t="s">
        <v>9</v>
      </c>
      <c r="D940">
        <v>19.5</v>
      </c>
      <c r="E940" s="15">
        <v>5.77</v>
      </c>
      <c r="F940">
        <v>0</v>
      </c>
      <c r="G940">
        <v>81</v>
      </c>
      <c r="H940">
        <f>IFERROR(VLOOKUP(CENTRAL[[#This Row],[Cód]],SUB[#All],4,0),0) + CENTRAL[[#This Row],[CMM]]</f>
        <v>24.33</v>
      </c>
    </row>
    <row r="941" spans="1:8" x14ac:dyDescent="0.25">
      <c r="A941">
        <v>200002020</v>
      </c>
      <c r="B941" t="s">
        <v>878</v>
      </c>
      <c r="C941" t="s">
        <v>9</v>
      </c>
      <c r="D941">
        <v>0</v>
      </c>
      <c r="E941" s="15">
        <v>0</v>
      </c>
      <c r="F941">
        <v>0</v>
      </c>
      <c r="G941">
        <v>0</v>
      </c>
      <c r="H941">
        <f>IFERROR(VLOOKUP(CENTRAL[[#This Row],[Cód]],SUB[#All],4,0),0) + CENTRAL[[#This Row],[CMM]]</f>
        <v>0</v>
      </c>
    </row>
    <row r="942" spans="1:8" x14ac:dyDescent="0.25">
      <c r="A942">
        <v>200004669</v>
      </c>
      <c r="B942" t="s">
        <v>879</v>
      </c>
      <c r="C942" t="s">
        <v>9</v>
      </c>
      <c r="D942">
        <v>0</v>
      </c>
      <c r="E942" s="15">
        <v>0</v>
      </c>
      <c r="F942">
        <v>0</v>
      </c>
      <c r="G942">
        <v>0</v>
      </c>
      <c r="H942">
        <f>IFERROR(VLOOKUP(CENTRAL[[#This Row],[Cód]],SUB[#All],4,0),0) + CENTRAL[[#This Row],[CMM]]</f>
        <v>0</v>
      </c>
    </row>
    <row r="943" spans="1:8" x14ac:dyDescent="0.25">
      <c r="A943">
        <v>200001011</v>
      </c>
      <c r="B943" t="s">
        <v>880</v>
      </c>
      <c r="C943" t="s">
        <v>9</v>
      </c>
      <c r="D943">
        <v>14.58</v>
      </c>
      <c r="E943" s="15">
        <v>0</v>
      </c>
      <c r="F943">
        <v>0</v>
      </c>
      <c r="G943">
        <v>0</v>
      </c>
      <c r="H943">
        <f>IFERROR(VLOOKUP(CENTRAL[[#This Row],[Cód]],SUB[#All],4,0),0) + CENTRAL[[#This Row],[CMM]]</f>
        <v>19.990000000000002</v>
      </c>
    </row>
    <row r="944" spans="1:8" x14ac:dyDescent="0.25">
      <c r="A944">
        <v>200000620</v>
      </c>
      <c r="B944" t="s">
        <v>881</v>
      </c>
      <c r="C944" t="s">
        <v>82</v>
      </c>
      <c r="D944">
        <v>0</v>
      </c>
      <c r="E944" s="15">
        <v>0</v>
      </c>
      <c r="F944">
        <v>0</v>
      </c>
      <c r="G944">
        <v>0</v>
      </c>
      <c r="H944">
        <f>IFERROR(VLOOKUP(CENTRAL[[#This Row],[Cód]],SUB[#All],4,0),0) + CENTRAL[[#This Row],[CMM]]</f>
        <v>0</v>
      </c>
    </row>
    <row r="945" spans="1:8" x14ac:dyDescent="0.25">
      <c r="A945">
        <v>200002286</v>
      </c>
      <c r="B945" t="s">
        <v>882</v>
      </c>
      <c r="C945" t="s">
        <v>9</v>
      </c>
      <c r="D945">
        <v>0</v>
      </c>
      <c r="E945" s="15">
        <v>0</v>
      </c>
      <c r="F945">
        <v>0</v>
      </c>
      <c r="G945">
        <v>0</v>
      </c>
      <c r="H945">
        <f>IFERROR(VLOOKUP(CENTRAL[[#This Row],[Cód]],SUB[#All],4,0),0) + CENTRAL[[#This Row],[CMM]]</f>
        <v>0.25</v>
      </c>
    </row>
    <row r="946" spans="1:8" x14ac:dyDescent="0.25">
      <c r="A946">
        <v>200001558</v>
      </c>
      <c r="B946" t="s">
        <v>883</v>
      </c>
      <c r="C946" t="s">
        <v>9</v>
      </c>
      <c r="D946">
        <v>0</v>
      </c>
      <c r="E946" s="15">
        <v>0</v>
      </c>
      <c r="F946">
        <v>0</v>
      </c>
      <c r="G946">
        <v>0</v>
      </c>
      <c r="H946">
        <f>IFERROR(VLOOKUP(CENTRAL[[#This Row],[Cód]],SUB[#All],4,0),0) + CENTRAL[[#This Row],[CMM]]</f>
        <v>0</v>
      </c>
    </row>
    <row r="947" spans="1:8" x14ac:dyDescent="0.25">
      <c r="A947">
        <v>200001558</v>
      </c>
      <c r="B947" t="s">
        <v>883</v>
      </c>
      <c r="C947" t="s">
        <v>9</v>
      </c>
      <c r="D947">
        <v>0</v>
      </c>
      <c r="E947" s="15">
        <v>0</v>
      </c>
      <c r="F947">
        <v>0</v>
      </c>
      <c r="G947">
        <v>0</v>
      </c>
      <c r="H947">
        <f>IFERROR(VLOOKUP(CENTRAL[[#This Row],[Cód]],SUB[#All],4,0),0) + CENTRAL[[#This Row],[CMM]]</f>
        <v>0</v>
      </c>
    </row>
    <row r="948" spans="1:8" x14ac:dyDescent="0.25">
      <c r="A948">
        <v>200002277</v>
      </c>
      <c r="B948" t="s">
        <v>884</v>
      </c>
      <c r="C948" t="s">
        <v>546</v>
      </c>
      <c r="D948">
        <v>10</v>
      </c>
      <c r="E948" s="15">
        <v>14.56</v>
      </c>
      <c r="F948">
        <v>20</v>
      </c>
      <c r="G948">
        <v>163</v>
      </c>
      <c r="H948">
        <f>IFERROR(VLOOKUP(CENTRAL[[#This Row],[Cód]],SUB[#All],4,0),0) + CENTRAL[[#This Row],[CMM]]</f>
        <v>10.5</v>
      </c>
    </row>
    <row r="949" spans="1:8" x14ac:dyDescent="0.25">
      <c r="A949">
        <v>200000714</v>
      </c>
      <c r="B949" t="s">
        <v>885</v>
      </c>
      <c r="C949" t="s">
        <v>546</v>
      </c>
      <c r="D949">
        <v>5.66</v>
      </c>
      <c r="E949" s="15">
        <v>38.799999999999997</v>
      </c>
      <c r="F949">
        <v>0</v>
      </c>
      <c r="G949">
        <v>4</v>
      </c>
      <c r="H949">
        <f>IFERROR(VLOOKUP(CENTRAL[[#This Row],[Cód]],SUB[#All],4,0),0) + CENTRAL[[#This Row],[CMM]]</f>
        <v>5.66</v>
      </c>
    </row>
    <row r="950" spans="1:8" x14ac:dyDescent="0.25">
      <c r="A950">
        <v>200001090</v>
      </c>
      <c r="B950" t="s">
        <v>886</v>
      </c>
      <c r="C950" t="s">
        <v>9</v>
      </c>
      <c r="D950">
        <v>0</v>
      </c>
      <c r="E950" s="15">
        <v>0</v>
      </c>
      <c r="F950">
        <v>0</v>
      </c>
      <c r="G950">
        <v>0</v>
      </c>
      <c r="H950">
        <f>IFERROR(VLOOKUP(CENTRAL[[#This Row],[Cód]],SUB[#All],4,0),0) + CENTRAL[[#This Row],[CMM]]</f>
        <v>0</v>
      </c>
    </row>
    <row r="951" spans="1:8" x14ac:dyDescent="0.25">
      <c r="A951">
        <v>200001090</v>
      </c>
      <c r="B951" t="s">
        <v>886</v>
      </c>
      <c r="C951" t="s">
        <v>9</v>
      </c>
      <c r="D951">
        <v>0</v>
      </c>
      <c r="E951" s="15">
        <v>0</v>
      </c>
      <c r="F951">
        <v>0</v>
      </c>
      <c r="G951">
        <v>0</v>
      </c>
      <c r="H951">
        <f>IFERROR(VLOOKUP(CENTRAL[[#This Row],[Cód]],SUB[#All],4,0),0) + CENTRAL[[#This Row],[CMM]]</f>
        <v>0</v>
      </c>
    </row>
    <row r="952" spans="1:8" x14ac:dyDescent="0.25">
      <c r="A952">
        <v>200000625</v>
      </c>
      <c r="B952" t="s">
        <v>887</v>
      </c>
      <c r="C952" t="s">
        <v>9</v>
      </c>
      <c r="D952">
        <v>1</v>
      </c>
      <c r="E952" s="15">
        <v>42.54</v>
      </c>
      <c r="F952">
        <v>0</v>
      </c>
      <c r="G952">
        <v>4</v>
      </c>
      <c r="H952">
        <f>IFERROR(VLOOKUP(CENTRAL[[#This Row],[Cód]],SUB[#All],4,0),0) + CENTRAL[[#This Row],[CMM]]</f>
        <v>1.9100000000000001</v>
      </c>
    </row>
    <row r="953" spans="1:8" x14ac:dyDescent="0.25">
      <c r="A953">
        <v>200000626</v>
      </c>
      <c r="B953" t="s">
        <v>888</v>
      </c>
      <c r="C953" t="s">
        <v>9</v>
      </c>
      <c r="D953">
        <v>1.5</v>
      </c>
      <c r="E953" s="15">
        <v>12.16</v>
      </c>
      <c r="F953">
        <v>0</v>
      </c>
      <c r="G953">
        <v>17</v>
      </c>
      <c r="H953">
        <f>IFERROR(VLOOKUP(CENTRAL[[#This Row],[Cód]],SUB[#All],4,0),0) + CENTRAL[[#This Row],[CMM]]</f>
        <v>1.66</v>
      </c>
    </row>
    <row r="954" spans="1:8" x14ac:dyDescent="0.25">
      <c r="A954">
        <v>200003176</v>
      </c>
      <c r="B954" t="s">
        <v>889</v>
      </c>
      <c r="C954" t="s">
        <v>9</v>
      </c>
      <c r="D954">
        <v>9.08</v>
      </c>
      <c r="E954" s="15">
        <v>5.4</v>
      </c>
      <c r="F954">
        <v>0</v>
      </c>
      <c r="G954">
        <v>102</v>
      </c>
      <c r="H954">
        <f>IFERROR(VLOOKUP(CENTRAL[[#This Row],[Cód]],SUB[#All],4,0),0) + CENTRAL[[#This Row],[CMM]]</f>
        <v>11.33</v>
      </c>
    </row>
    <row r="955" spans="1:8" x14ac:dyDescent="0.25">
      <c r="A955">
        <v>200005835</v>
      </c>
      <c r="B955" t="s">
        <v>890</v>
      </c>
      <c r="C955" t="s">
        <v>9</v>
      </c>
      <c r="D955">
        <v>0</v>
      </c>
      <c r="E955" s="15">
        <v>0</v>
      </c>
      <c r="F955">
        <v>0</v>
      </c>
      <c r="G955">
        <v>0</v>
      </c>
      <c r="H955">
        <f>IFERROR(VLOOKUP(CENTRAL[[#This Row],[Cód]],SUB[#All],4,0),0) + CENTRAL[[#This Row],[CMM]]</f>
        <v>0</v>
      </c>
    </row>
    <row r="956" spans="1:8" x14ac:dyDescent="0.25">
      <c r="A956">
        <v>200004253</v>
      </c>
      <c r="B956" t="s">
        <v>891</v>
      </c>
      <c r="C956" t="s">
        <v>9</v>
      </c>
      <c r="D956">
        <v>0</v>
      </c>
      <c r="E956" s="15">
        <v>0</v>
      </c>
      <c r="F956">
        <v>0</v>
      </c>
      <c r="G956">
        <v>0</v>
      </c>
      <c r="H956">
        <f>IFERROR(VLOOKUP(CENTRAL[[#This Row],[Cód]],SUB[#All],4,0),0) + CENTRAL[[#This Row],[CMM]]</f>
        <v>0</v>
      </c>
    </row>
    <row r="957" spans="1:8" x14ac:dyDescent="0.25">
      <c r="A957">
        <v>200004252</v>
      </c>
      <c r="B957" t="s">
        <v>892</v>
      </c>
      <c r="C957" t="s">
        <v>9</v>
      </c>
      <c r="D957">
        <v>0</v>
      </c>
      <c r="E957" s="15">
        <v>0</v>
      </c>
      <c r="F957">
        <v>0</v>
      </c>
      <c r="G957">
        <v>0</v>
      </c>
      <c r="H957">
        <f>IFERROR(VLOOKUP(CENTRAL[[#This Row],[Cód]],SUB[#All],4,0),0) + CENTRAL[[#This Row],[CMM]]</f>
        <v>0</v>
      </c>
    </row>
    <row r="958" spans="1:8" x14ac:dyDescent="0.25">
      <c r="A958">
        <v>200004246</v>
      </c>
      <c r="B958" t="s">
        <v>893</v>
      </c>
      <c r="C958" t="s">
        <v>9</v>
      </c>
      <c r="D958">
        <v>0</v>
      </c>
      <c r="E958" s="15">
        <v>0</v>
      </c>
      <c r="F958">
        <v>0</v>
      </c>
      <c r="G958">
        <v>0</v>
      </c>
      <c r="H958">
        <f>IFERROR(VLOOKUP(CENTRAL[[#This Row],[Cód]],SUB[#All],4,0),0) + CENTRAL[[#This Row],[CMM]]</f>
        <v>0</v>
      </c>
    </row>
    <row r="959" spans="1:8" x14ac:dyDescent="0.25">
      <c r="A959">
        <v>200004247</v>
      </c>
      <c r="B959" t="s">
        <v>894</v>
      </c>
      <c r="C959" t="s">
        <v>9</v>
      </c>
      <c r="D959">
        <v>0</v>
      </c>
      <c r="E959" s="15">
        <v>0</v>
      </c>
      <c r="F959">
        <v>0</v>
      </c>
      <c r="G959">
        <v>0</v>
      </c>
      <c r="H959">
        <f>IFERROR(VLOOKUP(CENTRAL[[#This Row],[Cód]],SUB[#All],4,0),0) + CENTRAL[[#This Row],[CMM]]</f>
        <v>0</v>
      </c>
    </row>
    <row r="960" spans="1:8" x14ac:dyDescent="0.25">
      <c r="A960">
        <v>200005834</v>
      </c>
      <c r="B960" t="s">
        <v>895</v>
      </c>
      <c r="C960" t="s">
        <v>9</v>
      </c>
      <c r="D960">
        <v>0</v>
      </c>
      <c r="E960" s="15">
        <v>0</v>
      </c>
      <c r="F960">
        <v>0</v>
      </c>
      <c r="G960">
        <v>0</v>
      </c>
      <c r="H960">
        <f>IFERROR(VLOOKUP(CENTRAL[[#This Row],[Cód]],SUB[#All],4,0),0) + CENTRAL[[#This Row],[CMM]]</f>
        <v>0</v>
      </c>
    </row>
    <row r="961" spans="1:8" x14ac:dyDescent="0.25">
      <c r="A961">
        <v>200004250</v>
      </c>
      <c r="B961" t="s">
        <v>896</v>
      </c>
      <c r="C961" t="s">
        <v>9</v>
      </c>
      <c r="D961">
        <v>0</v>
      </c>
      <c r="E961" s="15">
        <v>0</v>
      </c>
      <c r="F961">
        <v>0</v>
      </c>
      <c r="G961">
        <v>0</v>
      </c>
      <c r="H961">
        <f>IFERROR(VLOOKUP(CENTRAL[[#This Row],[Cód]],SUB[#All],4,0),0) + CENTRAL[[#This Row],[CMM]]</f>
        <v>0</v>
      </c>
    </row>
    <row r="962" spans="1:8" x14ac:dyDescent="0.25">
      <c r="A962">
        <v>200004249</v>
      </c>
      <c r="B962" t="s">
        <v>897</v>
      </c>
      <c r="C962" t="s">
        <v>9</v>
      </c>
      <c r="D962">
        <v>0</v>
      </c>
      <c r="E962" s="15">
        <v>0</v>
      </c>
      <c r="F962">
        <v>0</v>
      </c>
      <c r="G962">
        <v>0</v>
      </c>
      <c r="H962">
        <f>IFERROR(VLOOKUP(CENTRAL[[#This Row],[Cód]],SUB[#All],4,0),0) + CENTRAL[[#This Row],[CMM]]</f>
        <v>0</v>
      </c>
    </row>
    <row r="963" spans="1:8" x14ac:dyDescent="0.25">
      <c r="A963">
        <v>200004248</v>
      </c>
      <c r="B963" t="s">
        <v>898</v>
      </c>
      <c r="C963" t="s">
        <v>9</v>
      </c>
      <c r="D963">
        <v>0</v>
      </c>
      <c r="E963" s="15">
        <v>0</v>
      </c>
      <c r="F963">
        <v>0</v>
      </c>
      <c r="G963">
        <v>0</v>
      </c>
      <c r="H963">
        <f>IFERROR(VLOOKUP(CENTRAL[[#This Row],[Cód]],SUB[#All],4,0),0) + CENTRAL[[#This Row],[CMM]]</f>
        <v>0</v>
      </c>
    </row>
    <row r="964" spans="1:8" x14ac:dyDescent="0.25">
      <c r="A964">
        <v>200003545</v>
      </c>
      <c r="B964" t="s">
        <v>899</v>
      </c>
      <c r="C964" t="s">
        <v>9</v>
      </c>
      <c r="D964">
        <v>0</v>
      </c>
      <c r="E964" s="15">
        <v>0</v>
      </c>
      <c r="F964">
        <v>0</v>
      </c>
      <c r="G964">
        <v>0</v>
      </c>
      <c r="H964">
        <f>IFERROR(VLOOKUP(CENTRAL[[#This Row],[Cód]],SUB[#All],4,0),0) + CENTRAL[[#This Row],[CMM]]</f>
        <v>0</v>
      </c>
    </row>
    <row r="965" spans="1:8" x14ac:dyDescent="0.25">
      <c r="A965">
        <v>200003546</v>
      </c>
      <c r="B965" t="s">
        <v>900</v>
      </c>
      <c r="C965" t="s">
        <v>9</v>
      </c>
      <c r="D965">
        <v>0</v>
      </c>
      <c r="E965" s="15">
        <v>0</v>
      </c>
      <c r="F965">
        <v>0</v>
      </c>
      <c r="G965">
        <v>0</v>
      </c>
      <c r="H965">
        <f>IFERROR(VLOOKUP(CENTRAL[[#This Row],[Cód]],SUB[#All],4,0),0) + CENTRAL[[#This Row],[CMM]]</f>
        <v>0</v>
      </c>
    </row>
    <row r="966" spans="1:8" x14ac:dyDescent="0.25">
      <c r="A966">
        <v>200003732</v>
      </c>
      <c r="B966" t="s">
        <v>901</v>
      </c>
      <c r="C966" t="s">
        <v>9</v>
      </c>
      <c r="D966">
        <v>0</v>
      </c>
      <c r="E966" s="15">
        <v>0</v>
      </c>
      <c r="F966">
        <v>0</v>
      </c>
      <c r="G966">
        <v>0</v>
      </c>
      <c r="H966">
        <f>IFERROR(VLOOKUP(CENTRAL[[#This Row],[Cód]],SUB[#All],4,0),0) + CENTRAL[[#This Row],[CMM]]</f>
        <v>0</v>
      </c>
    </row>
    <row r="967" spans="1:8" x14ac:dyDescent="0.25">
      <c r="A967">
        <v>200002813</v>
      </c>
      <c r="B967" t="s">
        <v>902</v>
      </c>
      <c r="C967" t="s">
        <v>9</v>
      </c>
      <c r="D967">
        <v>0</v>
      </c>
      <c r="E967" s="15">
        <v>0</v>
      </c>
      <c r="F967">
        <v>0</v>
      </c>
      <c r="G967">
        <v>0</v>
      </c>
      <c r="H967">
        <f>IFERROR(VLOOKUP(CENTRAL[[#This Row],[Cód]],SUB[#All],4,0),0) + CENTRAL[[#This Row],[CMM]]</f>
        <v>0</v>
      </c>
    </row>
    <row r="968" spans="1:8" x14ac:dyDescent="0.25">
      <c r="A968">
        <v>200002813</v>
      </c>
      <c r="B968" t="s">
        <v>902</v>
      </c>
      <c r="C968" t="s">
        <v>9</v>
      </c>
      <c r="D968">
        <v>0</v>
      </c>
      <c r="E968" s="15">
        <v>0</v>
      </c>
      <c r="F968">
        <v>0</v>
      </c>
      <c r="G968">
        <v>0</v>
      </c>
      <c r="H968">
        <f>IFERROR(VLOOKUP(CENTRAL[[#This Row],[Cód]],SUB[#All],4,0),0) + CENTRAL[[#This Row],[CMM]]</f>
        <v>0</v>
      </c>
    </row>
    <row r="969" spans="1:8" x14ac:dyDescent="0.25">
      <c r="A969">
        <v>200002812</v>
      </c>
      <c r="B969" t="s">
        <v>903</v>
      </c>
      <c r="C969" t="s">
        <v>9</v>
      </c>
      <c r="D969">
        <v>0</v>
      </c>
      <c r="E969" s="15">
        <v>0</v>
      </c>
      <c r="F969">
        <v>0</v>
      </c>
      <c r="G969">
        <v>0</v>
      </c>
      <c r="H969">
        <f>IFERROR(VLOOKUP(CENTRAL[[#This Row],[Cód]],SUB[#All],4,0),0) + CENTRAL[[#This Row],[CMM]]</f>
        <v>0</v>
      </c>
    </row>
    <row r="970" spans="1:8" x14ac:dyDescent="0.25">
      <c r="A970">
        <v>200002812</v>
      </c>
      <c r="B970" t="s">
        <v>903</v>
      </c>
      <c r="C970" t="s">
        <v>9</v>
      </c>
      <c r="D970">
        <v>0</v>
      </c>
      <c r="E970" s="15">
        <v>0</v>
      </c>
      <c r="F970">
        <v>0</v>
      </c>
      <c r="G970">
        <v>0</v>
      </c>
      <c r="H970">
        <f>IFERROR(VLOOKUP(CENTRAL[[#This Row],[Cód]],SUB[#All],4,0),0) + CENTRAL[[#This Row],[CMM]]</f>
        <v>0</v>
      </c>
    </row>
    <row r="971" spans="1:8" x14ac:dyDescent="0.25">
      <c r="A971">
        <v>200003725</v>
      </c>
      <c r="B971" t="s">
        <v>904</v>
      </c>
      <c r="C971" t="s">
        <v>9</v>
      </c>
      <c r="D971">
        <v>0</v>
      </c>
      <c r="E971" s="15">
        <v>0</v>
      </c>
      <c r="F971">
        <v>0</v>
      </c>
      <c r="G971">
        <v>0</v>
      </c>
      <c r="H971">
        <f>IFERROR(VLOOKUP(CENTRAL[[#This Row],[Cód]],SUB[#All],4,0),0) + CENTRAL[[#This Row],[CMM]]</f>
        <v>0</v>
      </c>
    </row>
    <row r="972" spans="1:8" x14ac:dyDescent="0.25">
      <c r="A972">
        <v>200003731</v>
      </c>
      <c r="B972" t="s">
        <v>905</v>
      </c>
      <c r="C972" t="s">
        <v>9</v>
      </c>
      <c r="D972">
        <v>0</v>
      </c>
      <c r="E972" s="15">
        <v>0</v>
      </c>
      <c r="F972">
        <v>0</v>
      </c>
      <c r="G972">
        <v>0</v>
      </c>
      <c r="H972">
        <f>IFERROR(VLOOKUP(CENTRAL[[#This Row],[Cód]],SUB[#All],4,0),0) + CENTRAL[[#This Row],[CMM]]</f>
        <v>0</v>
      </c>
    </row>
    <row r="973" spans="1:8" x14ac:dyDescent="0.25">
      <c r="A973">
        <v>200006048</v>
      </c>
      <c r="B973" t="s">
        <v>906</v>
      </c>
      <c r="C973" t="s">
        <v>9</v>
      </c>
      <c r="D973">
        <v>0</v>
      </c>
      <c r="E973" s="15">
        <v>0</v>
      </c>
      <c r="F973">
        <v>0</v>
      </c>
      <c r="G973">
        <v>0</v>
      </c>
      <c r="H973">
        <f>IFERROR(VLOOKUP(CENTRAL[[#This Row],[Cód]],SUB[#All],4,0),0) + CENTRAL[[#This Row],[CMM]]</f>
        <v>0</v>
      </c>
    </row>
    <row r="974" spans="1:8" x14ac:dyDescent="0.25">
      <c r="A974">
        <v>200006282</v>
      </c>
      <c r="B974" t="s">
        <v>907</v>
      </c>
      <c r="C974" t="s">
        <v>9</v>
      </c>
      <c r="D974">
        <v>2.33</v>
      </c>
      <c r="E974" s="15">
        <v>3.59</v>
      </c>
      <c r="F974">
        <v>0</v>
      </c>
      <c r="G974">
        <v>22</v>
      </c>
      <c r="H974">
        <f>IFERROR(VLOOKUP(CENTRAL[[#This Row],[Cód]],SUB[#All],4,0),0) + CENTRAL[[#This Row],[CMM]]</f>
        <v>2.33</v>
      </c>
    </row>
    <row r="975" spans="1:8" x14ac:dyDescent="0.25">
      <c r="A975">
        <v>200006848</v>
      </c>
      <c r="B975" t="s">
        <v>908</v>
      </c>
      <c r="C975" t="s">
        <v>9</v>
      </c>
      <c r="D975">
        <v>1.5</v>
      </c>
      <c r="E975" s="15">
        <v>5.88</v>
      </c>
      <c r="F975">
        <v>0</v>
      </c>
      <c r="G975">
        <v>15</v>
      </c>
      <c r="H975">
        <f>IFERROR(VLOOKUP(CENTRAL[[#This Row],[Cód]],SUB[#All],4,0),0) + CENTRAL[[#This Row],[CMM]]</f>
        <v>1.5</v>
      </c>
    </row>
    <row r="976" spans="1:8" x14ac:dyDescent="0.25">
      <c r="A976">
        <v>200003315</v>
      </c>
      <c r="B976" t="s">
        <v>909</v>
      </c>
      <c r="C976" t="s">
        <v>910</v>
      </c>
      <c r="D976">
        <v>0</v>
      </c>
      <c r="E976" s="15">
        <v>0</v>
      </c>
      <c r="F976">
        <v>0</v>
      </c>
      <c r="G976">
        <v>0</v>
      </c>
      <c r="H976">
        <f>IFERROR(VLOOKUP(CENTRAL[[#This Row],[Cód]],SUB[#All],4,0),0) + CENTRAL[[#This Row],[CMM]]</f>
        <v>0</v>
      </c>
    </row>
    <row r="977" spans="1:8" x14ac:dyDescent="0.25">
      <c r="A977">
        <v>200005814</v>
      </c>
      <c r="B977" t="s">
        <v>911</v>
      </c>
      <c r="C977" t="s">
        <v>294</v>
      </c>
      <c r="D977">
        <v>1.33</v>
      </c>
      <c r="E977" s="15">
        <v>47.48</v>
      </c>
      <c r="F977">
        <v>10</v>
      </c>
      <c r="G977">
        <v>9</v>
      </c>
      <c r="H977">
        <f>IFERROR(VLOOKUP(CENTRAL[[#This Row],[Cód]],SUB[#All],4,0),0) + CENTRAL[[#This Row],[CMM]]</f>
        <v>1.33</v>
      </c>
    </row>
    <row r="978" spans="1:8" x14ac:dyDescent="0.25">
      <c r="A978">
        <v>200006758</v>
      </c>
      <c r="B978" t="s">
        <v>912</v>
      </c>
      <c r="C978" t="s">
        <v>294</v>
      </c>
      <c r="D978">
        <v>0</v>
      </c>
      <c r="E978" s="15">
        <v>0</v>
      </c>
      <c r="F978">
        <v>0</v>
      </c>
      <c r="G978">
        <v>0</v>
      </c>
      <c r="H978">
        <f>IFERROR(VLOOKUP(CENTRAL[[#This Row],[Cód]],SUB[#All],4,0),0) + CENTRAL[[#This Row],[CMM]]</f>
        <v>0</v>
      </c>
    </row>
    <row r="979" spans="1:8" x14ac:dyDescent="0.25">
      <c r="A979">
        <v>200003316</v>
      </c>
      <c r="B979" t="s">
        <v>913</v>
      </c>
      <c r="C979" t="s">
        <v>910</v>
      </c>
      <c r="D979">
        <v>0</v>
      </c>
      <c r="E979" s="15">
        <v>0</v>
      </c>
      <c r="F979">
        <v>0</v>
      </c>
      <c r="G979">
        <v>0</v>
      </c>
      <c r="H979">
        <f>IFERROR(VLOOKUP(CENTRAL[[#This Row],[Cód]],SUB[#All],4,0),0) + CENTRAL[[#This Row],[CMM]]</f>
        <v>0</v>
      </c>
    </row>
    <row r="980" spans="1:8" x14ac:dyDescent="0.25">
      <c r="A980">
        <v>200003891</v>
      </c>
      <c r="B980" t="s">
        <v>914</v>
      </c>
      <c r="C980" t="s">
        <v>294</v>
      </c>
      <c r="D980">
        <v>0.83</v>
      </c>
      <c r="E980" s="15">
        <v>47.58</v>
      </c>
      <c r="F980">
        <v>2</v>
      </c>
      <c r="G980">
        <v>10</v>
      </c>
      <c r="H980">
        <f>IFERROR(VLOOKUP(CENTRAL[[#This Row],[Cód]],SUB[#All],4,0),0) + CENTRAL[[#This Row],[CMM]]</f>
        <v>0.83</v>
      </c>
    </row>
    <row r="981" spans="1:8" x14ac:dyDescent="0.25">
      <c r="A981">
        <v>200002038</v>
      </c>
      <c r="B981" t="s">
        <v>915</v>
      </c>
      <c r="C981" t="s">
        <v>9</v>
      </c>
      <c r="D981">
        <v>1.25</v>
      </c>
      <c r="E981" s="15">
        <v>0</v>
      </c>
      <c r="F981">
        <v>0</v>
      </c>
      <c r="G981">
        <v>0</v>
      </c>
      <c r="H981">
        <f>IFERROR(VLOOKUP(CENTRAL[[#This Row],[Cód]],SUB[#All],4,0),0) + CENTRAL[[#This Row],[CMM]]</f>
        <v>1.75</v>
      </c>
    </row>
    <row r="982" spans="1:8" x14ac:dyDescent="0.25">
      <c r="A982">
        <v>200002039</v>
      </c>
      <c r="B982" t="s">
        <v>916</v>
      </c>
      <c r="C982" t="s">
        <v>9</v>
      </c>
      <c r="D982">
        <v>0</v>
      </c>
      <c r="E982" s="15">
        <v>10.93</v>
      </c>
      <c r="F982">
        <v>0</v>
      </c>
      <c r="G982">
        <v>10</v>
      </c>
      <c r="H982">
        <f>IFERROR(VLOOKUP(CENTRAL[[#This Row],[Cód]],SUB[#All],4,0),0) + CENTRAL[[#This Row],[CMM]]</f>
        <v>0</v>
      </c>
    </row>
    <row r="983" spans="1:8" x14ac:dyDescent="0.25">
      <c r="A983">
        <v>200002037</v>
      </c>
      <c r="B983" t="s">
        <v>917</v>
      </c>
      <c r="C983" t="s">
        <v>9</v>
      </c>
      <c r="D983">
        <v>0.33</v>
      </c>
      <c r="E983" s="15">
        <v>2.13</v>
      </c>
      <c r="F983">
        <v>0</v>
      </c>
      <c r="G983">
        <v>11</v>
      </c>
      <c r="H983">
        <f>IFERROR(VLOOKUP(CENTRAL[[#This Row],[Cód]],SUB[#All],4,0),0) + CENTRAL[[#This Row],[CMM]]</f>
        <v>0.33</v>
      </c>
    </row>
    <row r="984" spans="1:8" x14ac:dyDescent="0.25">
      <c r="A984">
        <v>200002025</v>
      </c>
      <c r="B984" t="s">
        <v>918</v>
      </c>
      <c r="C984" t="s">
        <v>9</v>
      </c>
      <c r="D984">
        <v>0</v>
      </c>
      <c r="E984" s="15">
        <v>0</v>
      </c>
      <c r="F984">
        <v>0</v>
      </c>
      <c r="G984">
        <v>0</v>
      </c>
      <c r="H984">
        <f>IFERROR(VLOOKUP(CENTRAL[[#This Row],[Cód]],SUB[#All],4,0),0) + CENTRAL[[#This Row],[CMM]]</f>
        <v>0</v>
      </c>
    </row>
    <row r="985" spans="1:8" x14ac:dyDescent="0.25">
      <c r="A985">
        <v>200002031</v>
      </c>
      <c r="B985" t="s">
        <v>919</v>
      </c>
      <c r="C985" t="s">
        <v>9</v>
      </c>
      <c r="D985">
        <v>2.41</v>
      </c>
      <c r="E985" s="15">
        <v>0</v>
      </c>
      <c r="F985">
        <v>0</v>
      </c>
      <c r="G985">
        <v>0</v>
      </c>
      <c r="H985">
        <f>IFERROR(VLOOKUP(CENTRAL[[#This Row],[Cód]],SUB[#All],4,0),0) + CENTRAL[[#This Row],[CMM]]</f>
        <v>2.99</v>
      </c>
    </row>
    <row r="986" spans="1:8" x14ac:dyDescent="0.25">
      <c r="A986">
        <v>200002821</v>
      </c>
      <c r="B986" t="s">
        <v>920</v>
      </c>
      <c r="C986" t="s">
        <v>9</v>
      </c>
      <c r="D986">
        <v>0</v>
      </c>
      <c r="E986" s="15">
        <v>6.9</v>
      </c>
      <c r="F986">
        <v>2</v>
      </c>
      <c r="G986">
        <v>6</v>
      </c>
      <c r="H986">
        <f>IFERROR(VLOOKUP(CENTRAL[[#This Row],[Cód]],SUB[#All],4,0),0) + CENTRAL[[#This Row],[CMM]]</f>
        <v>0</v>
      </c>
    </row>
    <row r="987" spans="1:8" x14ac:dyDescent="0.25">
      <c r="A987">
        <v>200002023</v>
      </c>
      <c r="B987" t="s">
        <v>921</v>
      </c>
      <c r="C987" t="s">
        <v>9</v>
      </c>
      <c r="D987">
        <v>0.08</v>
      </c>
      <c r="E987" s="15">
        <v>2.68</v>
      </c>
      <c r="F987">
        <v>0</v>
      </c>
      <c r="G987">
        <v>40</v>
      </c>
      <c r="H987">
        <f>IFERROR(VLOOKUP(CENTRAL[[#This Row],[Cód]],SUB[#All],4,0),0) + CENTRAL[[#This Row],[CMM]]</f>
        <v>0.08</v>
      </c>
    </row>
    <row r="988" spans="1:8" x14ac:dyDescent="0.25">
      <c r="A988">
        <v>200003662</v>
      </c>
      <c r="B988" t="s">
        <v>922</v>
      </c>
      <c r="C988" t="s">
        <v>9</v>
      </c>
      <c r="D988">
        <v>0</v>
      </c>
      <c r="E988" s="15">
        <v>14.3</v>
      </c>
      <c r="F988">
        <v>0</v>
      </c>
      <c r="G988">
        <v>3</v>
      </c>
      <c r="H988">
        <f>IFERROR(VLOOKUP(CENTRAL[[#This Row],[Cód]],SUB[#All],4,0),0) + CENTRAL[[#This Row],[CMM]]</f>
        <v>0</v>
      </c>
    </row>
    <row r="989" spans="1:8" x14ac:dyDescent="0.25">
      <c r="A989">
        <v>200003663</v>
      </c>
      <c r="B989" t="s">
        <v>923</v>
      </c>
      <c r="C989" t="s">
        <v>9</v>
      </c>
      <c r="D989">
        <v>0</v>
      </c>
      <c r="E989" s="15">
        <v>7.42</v>
      </c>
      <c r="F989">
        <v>0</v>
      </c>
      <c r="G989">
        <v>5</v>
      </c>
      <c r="H989">
        <f>IFERROR(VLOOKUP(CENTRAL[[#This Row],[Cód]],SUB[#All],4,0),0) + CENTRAL[[#This Row],[CMM]]</f>
        <v>0</v>
      </c>
    </row>
    <row r="990" spans="1:8" x14ac:dyDescent="0.25">
      <c r="A990">
        <v>200001037</v>
      </c>
      <c r="B990" t="s">
        <v>924</v>
      </c>
      <c r="C990" t="s">
        <v>9</v>
      </c>
      <c r="D990">
        <v>0.16</v>
      </c>
      <c r="E990" s="15">
        <v>0</v>
      </c>
      <c r="F990">
        <v>0</v>
      </c>
      <c r="G990">
        <v>0</v>
      </c>
      <c r="H990">
        <f>IFERROR(VLOOKUP(CENTRAL[[#This Row],[Cód]],SUB[#All],4,0),0) + CENTRAL[[#This Row],[CMM]]</f>
        <v>0.16</v>
      </c>
    </row>
    <row r="991" spans="1:8" x14ac:dyDescent="0.25">
      <c r="A991">
        <v>200003664</v>
      </c>
      <c r="B991" t="s">
        <v>925</v>
      </c>
      <c r="C991" t="s">
        <v>9</v>
      </c>
      <c r="D991">
        <v>0</v>
      </c>
      <c r="E991" s="15">
        <v>25.41</v>
      </c>
      <c r="F991">
        <v>0</v>
      </c>
      <c r="G991">
        <v>2</v>
      </c>
      <c r="H991">
        <f>IFERROR(VLOOKUP(CENTRAL[[#This Row],[Cód]],SUB[#All],4,0),0) + CENTRAL[[#This Row],[CMM]]</f>
        <v>0</v>
      </c>
    </row>
    <row r="992" spans="1:8" x14ac:dyDescent="0.25">
      <c r="A992">
        <v>200001038</v>
      </c>
      <c r="B992" t="s">
        <v>926</v>
      </c>
      <c r="C992" t="s">
        <v>9</v>
      </c>
      <c r="D992">
        <v>0</v>
      </c>
      <c r="E992" s="15">
        <v>0</v>
      </c>
      <c r="F992">
        <v>0</v>
      </c>
      <c r="G992">
        <v>0</v>
      </c>
      <c r="H992">
        <f>IFERROR(VLOOKUP(CENTRAL[[#This Row],[Cód]],SUB[#All],4,0),0) + CENTRAL[[#This Row],[CMM]]</f>
        <v>0</v>
      </c>
    </row>
    <row r="993" spans="1:8" x14ac:dyDescent="0.25">
      <c r="A993">
        <v>200001038</v>
      </c>
      <c r="B993" t="s">
        <v>926</v>
      </c>
      <c r="C993" t="s">
        <v>9</v>
      </c>
      <c r="D993">
        <v>0</v>
      </c>
      <c r="E993" s="15">
        <v>1.39</v>
      </c>
      <c r="F993">
        <v>0</v>
      </c>
      <c r="G993">
        <v>62</v>
      </c>
      <c r="H993">
        <f>IFERROR(VLOOKUP(CENTRAL[[#This Row],[Cód]],SUB[#All],4,0),0) + CENTRAL[[#This Row],[CMM]]</f>
        <v>0</v>
      </c>
    </row>
    <row r="994" spans="1:8" x14ac:dyDescent="0.25">
      <c r="A994">
        <v>200002028</v>
      </c>
      <c r="B994" t="s">
        <v>927</v>
      </c>
      <c r="C994" t="s">
        <v>9</v>
      </c>
      <c r="D994">
        <v>0.41</v>
      </c>
      <c r="E994" s="15">
        <v>2.14</v>
      </c>
      <c r="F994">
        <v>4</v>
      </c>
      <c r="G994">
        <v>6</v>
      </c>
      <c r="H994">
        <f>IFERROR(VLOOKUP(CENTRAL[[#This Row],[Cód]],SUB[#All],4,0),0) + CENTRAL[[#This Row],[CMM]]</f>
        <v>0.41</v>
      </c>
    </row>
    <row r="995" spans="1:8" x14ac:dyDescent="0.25">
      <c r="A995">
        <v>200001579</v>
      </c>
      <c r="B995" t="s">
        <v>928</v>
      </c>
      <c r="C995" t="s">
        <v>9</v>
      </c>
      <c r="D995">
        <v>0.25</v>
      </c>
      <c r="E995" s="15">
        <v>5.2</v>
      </c>
      <c r="F995">
        <v>0</v>
      </c>
      <c r="G995">
        <v>118</v>
      </c>
      <c r="H995">
        <f>IFERROR(VLOOKUP(CENTRAL[[#This Row],[Cód]],SUB[#All],4,0),0) + CENTRAL[[#This Row],[CMM]]</f>
        <v>0.5</v>
      </c>
    </row>
    <row r="996" spans="1:8" x14ac:dyDescent="0.25">
      <c r="A996">
        <v>200001580</v>
      </c>
      <c r="B996" t="s">
        <v>929</v>
      </c>
      <c r="C996" t="s">
        <v>9</v>
      </c>
      <c r="D996">
        <v>6.25</v>
      </c>
      <c r="E996" s="15">
        <v>3.67</v>
      </c>
      <c r="F996">
        <v>0</v>
      </c>
      <c r="G996">
        <v>48</v>
      </c>
      <c r="H996">
        <f>IFERROR(VLOOKUP(CENTRAL[[#This Row],[Cód]],SUB[#All],4,0),0) + CENTRAL[[#This Row],[CMM]]</f>
        <v>6.25</v>
      </c>
    </row>
    <row r="997" spans="1:8" x14ac:dyDescent="0.25">
      <c r="A997">
        <v>200000639</v>
      </c>
      <c r="B997" t="s">
        <v>930</v>
      </c>
      <c r="C997" t="s">
        <v>9</v>
      </c>
      <c r="D997">
        <v>1.08</v>
      </c>
      <c r="E997" s="15">
        <v>0.54</v>
      </c>
      <c r="F997">
        <v>0</v>
      </c>
      <c r="G997">
        <v>21</v>
      </c>
      <c r="H997">
        <f>IFERROR(VLOOKUP(CENTRAL[[#This Row],[Cód]],SUB[#All],4,0),0) + CENTRAL[[#This Row],[CMM]]</f>
        <v>1.24</v>
      </c>
    </row>
    <row r="998" spans="1:8" x14ac:dyDescent="0.25">
      <c r="A998">
        <v>200000640</v>
      </c>
      <c r="B998" t="s">
        <v>931</v>
      </c>
      <c r="C998" t="s">
        <v>9</v>
      </c>
      <c r="D998">
        <v>5.08</v>
      </c>
      <c r="E998" s="15">
        <v>0</v>
      </c>
      <c r="F998">
        <v>0</v>
      </c>
      <c r="G998">
        <v>0</v>
      </c>
      <c r="H998">
        <f>IFERROR(VLOOKUP(CENTRAL[[#This Row],[Cód]],SUB[#All],4,0),0) + CENTRAL[[#This Row],[CMM]]</f>
        <v>5.91</v>
      </c>
    </row>
    <row r="999" spans="1:8" x14ac:dyDescent="0.25">
      <c r="A999">
        <v>200000640</v>
      </c>
      <c r="B999" t="s">
        <v>931</v>
      </c>
      <c r="C999" t="s">
        <v>9</v>
      </c>
      <c r="D999">
        <v>5.08</v>
      </c>
      <c r="E999" s="15">
        <v>0</v>
      </c>
      <c r="F999">
        <v>0</v>
      </c>
      <c r="G999">
        <v>0</v>
      </c>
      <c r="H999">
        <f>IFERROR(VLOOKUP(CENTRAL[[#This Row],[Cód]],SUB[#All],4,0),0) + CENTRAL[[#This Row],[CMM]]</f>
        <v>5.91</v>
      </c>
    </row>
    <row r="1000" spans="1:8" x14ac:dyDescent="0.25">
      <c r="A1000">
        <v>200001039</v>
      </c>
      <c r="B1000" t="s">
        <v>932</v>
      </c>
      <c r="C1000" t="s">
        <v>9</v>
      </c>
      <c r="D1000">
        <v>3.66</v>
      </c>
      <c r="E1000" s="15">
        <v>3.5</v>
      </c>
      <c r="F1000">
        <v>0</v>
      </c>
      <c r="G1000">
        <v>1</v>
      </c>
      <c r="H1000">
        <f>IFERROR(VLOOKUP(CENTRAL[[#This Row],[Cód]],SUB[#All],4,0),0) + CENTRAL[[#This Row],[CMM]]</f>
        <v>3.66</v>
      </c>
    </row>
    <row r="1001" spans="1:8" x14ac:dyDescent="0.25">
      <c r="A1001">
        <v>200002033</v>
      </c>
      <c r="B1001" t="s">
        <v>933</v>
      </c>
      <c r="C1001" t="s">
        <v>9</v>
      </c>
      <c r="D1001">
        <v>0.08</v>
      </c>
      <c r="E1001" s="15">
        <v>8</v>
      </c>
      <c r="F1001">
        <v>0</v>
      </c>
      <c r="G1001">
        <v>5</v>
      </c>
      <c r="H1001">
        <f>IFERROR(VLOOKUP(CENTRAL[[#This Row],[Cód]],SUB[#All],4,0),0) + CENTRAL[[#This Row],[CMM]]</f>
        <v>0.08</v>
      </c>
    </row>
    <row r="1002" spans="1:8" x14ac:dyDescent="0.25">
      <c r="A1002">
        <v>200002035</v>
      </c>
      <c r="B1002" t="s">
        <v>934</v>
      </c>
      <c r="C1002" t="s">
        <v>9</v>
      </c>
      <c r="D1002">
        <v>0.66</v>
      </c>
      <c r="E1002" s="15">
        <v>0</v>
      </c>
      <c r="F1002">
        <v>0</v>
      </c>
      <c r="G1002">
        <v>0</v>
      </c>
      <c r="H1002">
        <f>IFERROR(VLOOKUP(CENTRAL[[#This Row],[Cód]],SUB[#All],4,0),0) + CENTRAL[[#This Row],[CMM]]</f>
        <v>0.66</v>
      </c>
    </row>
    <row r="1003" spans="1:8" x14ac:dyDescent="0.25">
      <c r="A1003">
        <v>200002036</v>
      </c>
      <c r="B1003" t="s">
        <v>935</v>
      </c>
      <c r="C1003" t="s">
        <v>9</v>
      </c>
      <c r="D1003">
        <v>0</v>
      </c>
      <c r="E1003" s="15">
        <v>13.7</v>
      </c>
      <c r="F1003">
        <v>0</v>
      </c>
      <c r="G1003">
        <v>14</v>
      </c>
      <c r="H1003">
        <f>IFERROR(VLOOKUP(CENTRAL[[#This Row],[Cód]],SUB[#All],4,0),0) + CENTRAL[[#This Row],[CMM]]</f>
        <v>0</v>
      </c>
    </row>
    <row r="1004" spans="1:8" x14ac:dyDescent="0.25">
      <c r="A1004">
        <v>200007174</v>
      </c>
      <c r="B1004" t="s">
        <v>936</v>
      </c>
      <c r="C1004" t="s">
        <v>9</v>
      </c>
      <c r="D1004">
        <v>0.4</v>
      </c>
      <c r="E1004" s="15">
        <v>0</v>
      </c>
      <c r="F1004">
        <v>0</v>
      </c>
      <c r="G1004">
        <v>0</v>
      </c>
      <c r="H1004">
        <f>IFERROR(VLOOKUP(CENTRAL[[#This Row],[Cód]],SUB[#All],4,0),0) + CENTRAL[[#This Row],[CMM]]</f>
        <v>0.4</v>
      </c>
    </row>
    <row r="1005" spans="1:8" x14ac:dyDescent="0.25">
      <c r="A1005">
        <v>200000641</v>
      </c>
      <c r="B1005" t="s">
        <v>937</v>
      </c>
      <c r="C1005" t="s">
        <v>9</v>
      </c>
      <c r="D1005">
        <v>0</v>
      </c>
      <c r="E1005" s="15">
        <v>0</v>
      </c>
      <c r="F1005">
        <v>0</v>
      </c>
      <c r="G1005">
        <v>0</v>
      </c>
      <c r="H1005">
        <f>IFERROR(VLOOKUP(CENTRAL[[#This Row],[Cód]],SUB[#All],4,0),0) + CENTRAL[[#This Row],[CMM]]</f>
        <v>0</v>
      </c>
    </row>
    <row r="1006" spans="1:8" x14ac:dyDescent="0.25">
      <c r="A1006">
        <v>200006765</v>
      </c>
      <c r="B1006" t="s">
        <v>938</v>
      </c>
      <c r="C1006" t="s">
        <v>9</v>
      </c>
      <c r="D1006">
        <v>0.14000000000000001</v>
      </c>
      <c r="E1006" s="15">
        <v>11.3</v>
      </c>
      <c r="F1006">
        <v>0</v>
      </c>
      <c r="G1006">
        <v>39</v>
      </c>
      <c r="H1006">
        <f>IFERROR(VLOOKUP(CENTRAL[[#This Row],[Cód]],SUB[#All],4,0),0) + CENTRAL[[#This Row],[CMM]]</f>
        <v>0.14000000000000001</v>
      </c>
    </row>
    <row r="1007" spans="1:8" x14ac:dyDescent="0.25">
      <c r="A1007">
        <v>200006766</v>
      </c>
      <c r="B1007" t="s">
        <v>939</v>
      </c>
      <c r="C1007" t="s">
        <v>9</v>
      </c>
      <c r="D1007">
        <v>0</v>
      </c>
      <c r="E1007" s="15">
        <v>168.02</v>
      </c>
      <c r="F1007">
        <v>0</v>
      </c>
      <c r="G1007">
        <v>1</v>
      </c>
      <c r="H1007">
        <f>IFERROR(VLOOKUP(CENTRAL[[#This Row],[Cód]],SUB[#All],4,0),0) + CENTRAL[[#This Row],[CMM]]</f>
        <v>0</v>
      </c>
    </row>
    <row r="1008" spans="1:8" x14ac:dyDescent="0.25">
      <c r="A1008">
        <v>200004890</v>
      </c>
      <c r="B1008" t="s">
        <v>940</v>
      </c>
      <c r="C1008" t="s">
        <v>9</v>
      </c>
      <c r="D1008">
        <v>0</v>
      </c>
      <c r="E1008" s="15">
        <v>8.06</v>
      </c>
      <c r="F1008">
        <v>0</v>
      </c>
      <c r="G1008">
        <v>3</v>
      </c>
      <c r="H1008">
        <f>IFERROR(VLOOKUP(CENTRAL[[#This Row],[Cód]],SUB[#All],4,0),0) + CENTRAL[[#This Row],[CMM]]</f>
        <v>0</v>
      </c>
    </row>
    <row r="1009" spans="1:8" x14ac:dyDescent="0.25">
      <c r="A1009">
        <v>200006320</v>
      </c>
      <c r="B1009" t="s">
        <v>941</v>
      </c>
      <c r="C1009" t="s">
        <v>294</v>
      </c>
      <c r="D1009">
        <v>0</v>
      </c>
      <c r="E1009" s="15">
        <v>0</v>
      </c>
      <c r="F1009">
        <v>0</v>
      </c>
      <c r="G1009">
        <v>0</v>
      </c>
      <c r="H1009">
        <f>IFERROR(VLOOKUP(CENTRAL[[#This Row],[Cód]],SUB[#All],4,0),0) + CENTRAL[[#This Row],[CMM]]</f>
        <v>0</v>
      </c>
    </row>
    <row r="1010" spans="1:8" x14ac:dyDescent="0.25">
      <c r="A1010">
        <v>200005511</v>
      </c>
      <c r="B1010" t="s">
        <v>942</v>
      </c>
      <c r="C1010" t="s">
        <v>9</v>
      </c>
      <c r="D1010">
        <v>0</v>
      </c>
      <c r="E1010" s="15">
        <v>0</v>
      </c>
      <c r="F1010">
        <v>0</v>
      </c>
      <c r="G1010">
        <v>0</v>
      </c>
      <c r="H1010">
        <f>IFERROR(VLOOKUP(CENTRAL[[#This Row],[Cód]],SUB[#All],4,0),0) + CENTRAL[[#This Row],[CMM]]</f>
        <v>0</v>
      </c>
    </row>
    <row r="1011" spans="1:8" x14ac:dyDescent="0.25">
      <c r="A1011">
        <v>200005408</v>
      </c>
      <c r="B1011" t="s">
        <v>943</v>
      </c>
      <c r="C1011" t="s">
        <v>9</v>
      </c>
      <c r="D1011">
        <v>0</v>
      </c>
      <c r="E1011" s="15">
        <v>0</v>
      </c>
      <c r="F1011">
        <v>0</v>
      </c>
      <c r="G1011">
        <v>0</v>
      </c>
      <c r="H1011">
        <f>IFERROR(VLOOKUP(CENTRAL[[#This Row],[Cód]],SUB[#All],4,0),0) + CENTRAL[[#This Row],[CMM]]</f>
        <v>0</v>
      </c>
    </row>
    <row r="1012" spans="1:8" x14ac:dyDescent="0.25">
      <c r="A1012">
        <v>200004059</v>
      </c>
      <c r="B1012" t="s">
        <v>944</v>
      </c>
      <c r="C1012" t="s">
        <v>9</v>
      </c>
      <c r="D1012">
        <v>0</v>
      </c>
      <c r="E1012" s="15">
        <v>0</v>
      </c>
      <c r="F1012">
        <v>0</v>
      </c>
      <c r="G1012">
        <v>0</v>
      </c>
      <c r="H1012">
        <f>IFERROR(VLOOKUP(CENTRAL[[#This Row],[Cód]],SUB[#All],4,0),0) + CENTRAL[[#This Row],[CMM]]</f>
        <v>0</v>
      </c>
    </row>
    <row r="1013" spans="1:8" x14ac:dyDescent="0.25">
      <c r="A1013">
        <v>200005431</v>
      </c>
      <c r="B1013" t="s">
        <v>945</v>
      </c>
      <c r="C1013" t="s">
        <v>9</v>
      </c>
      <c r="D1013">
        <v>0</v>
      </c>
      <c r="E1013" s="15">
        <v>0</v>
      </c>
      <c r="F1013">
        <v>0</v>
      </c>
      <c r="G1013">
        <v>0</v>
      </c>
      <c r="H1013">
        <f>IFERROR(VLOOKUP(CENTRAL[[#This Row],[Cód]],SUB[#All],4,0),0) + CENTRAL[[#This Row],[CMM]]</f>
        <v>0</v>
      </c>
    </row>
    <row r="1014" spans="1:8" x14ac:dyDescent="0.25">
      <c r="A1014">
        <v>200005432</v>
      </c>
      <c r="B1014" t="s">
        <v>946</v>
      </c>
      <c r="C1014" t="s">
        <v>9</v>
      </c>
      <c r="D1014">
        <v>0</v>
      </c>
      <c r="E1014" s="15">
        <v>0</v>
      </c>
      <c r="F1014">
        <v>0</v>
      </c>
      <c r="G1014">
        <v>0</v>
      </c>
      <c r="H1014">
        <f>IFERROR(VLOOKUP(CENTRAL[[#This Row],[Cód]],SUB[#All],4,0),0) + CENTRAL[[#This Row],[CMM]]</f>
        <v>0</v>
      </c>
    </row>
    <row r="1015" spans="1:8" x14ac:dyDescent="0.25">
      <c r="A1015">
        <v>200005770</v>
      </c>
      <c r="B1015" t="s">
        <v>947</v>
      </c>
      <c r="C1015" t="s">
        <v>9</v>
      </c>
      <c r="D1015">
        <v>0</v>
      </c>
      <c r="E1015" s="15">
        <v>0</v>
      </c>
      <c r="F1015">
        <v>0</v>
      </c>
      <c r="G1015">
        <v>0</v>
      </c>
      <c r="H1015">
        <f>IFERROR(VLOOKUP(CENTRAL[[#This Row],[Cód]],SUB[#All],4,0),0) + CENTRAL[[#This Row],[CMM]]</f>
        <v>0</v>
      </c>
    </row>
    <row r="1016" spans="1:8" x14ac:dyDescent="0.25">
      <c r="A1016">
        <v>200005407</v>
      </c>
      <c r="B1016" t="s">
        <v>948</v>
      </c>
      <c r="C1016" t="s">
        <v>9</v>
      </c>
      <c r="D1016">
        <v>1.83</v>
      </c>
      <c r="E1016" s="15">
        <v>0</v>
      </c>
      <c r="F1016">
        <v>0</v>
      </c>
      <c r="G1016">
        <v>0</v>
      </c>
      <c r="H1016">
        <f>IFERROR(VLOOKUP(CENTRAL[[#This Row],[Cód]],SUB[#All],4,0),0) + CENTRAL[[#This Row],[CMM]]</f>
        <v>1.83</v>
      </c>
    </row>
    <row r="1017" spans="1:8" x14ac:dyDescent="0.25">
      <c r="A1017">
        <v>200004088</v>
      </c>
      <c r="B1017" t="s">
        <v>949</v>
      </c>
      <c r="C1017" t="s">
        <v>9</v>
      </c>
      <c r="D1017">
        <v>0</v>
      </c>
      <c r="E1017" s="15">
        <v>0</v>
      </c>
      <c r="F1017">
        <v>0</v>
      </c>
      <c r="G1017">
        <v>0</v>
      </c>
      <c r="H1017">
        <f>IFERROR(VLOOKUP(CENTRAL[[#This Row],[Cód]],SUB[#All],4,0),0) + CENTRAL[[#This Row],[CMM]]</f>
        <v>0</v>
      </c>
    </row>
    <row r="1018" spans="1:8" x14ac:dyDescent="0.25">
      <c r="A1018">
        <v>200006575</v>
      </c>
      <c r="B1018" t="s">
        <v>950</v>
      </c>
      <c r="C1018" t="s">
        <v>108</v>
      </c>
      <c r="D1018">
        <v>0</v>
      </c>
      <c r="E1018" s="15">
        <v>0</v>
      </c>
      <c r="F1018">
        <v>0</v>
      </c>
      <c r="G1018">
        <v>0</v>
      </c>
      <c r="H1018">
        <f>IFERROR(VLOOKUP(CENTRAL[[#This Row],[Cód]],SUB[#All],4,0),0) + CENTRAL[[#This Row],[CMM]]</f>
        <v>0</v>
      </c>
    </row>
    <row r="1019" spans="1:8" x14ac:dyDescent="0.25">
      <c r="A1019">
        <v>200004232</v>
      </c>
      <c r="B1019" t="s">
        <v>951</v>
      </c>
      <c r="C1019" t="s">
        <v>9</v>
      </c>
      <c r="D1019">
        <v>0</v>
      </c>
      <c r="E1019" s="15">
        <v>0</v>
      </c>
      <c r="F1019">
        <v>0</v>
      </c>
      <c r="G1019">
        <v>0</v>
      </c>
      <c r="H1019">
        <f>IFERROR(VLOOKUP(CENTRAL[[#This Row],[Cód]],SUB[#All],4,0),0) + CENTRAL[[#This Row],[CMM]]</f>
        <v>0</v>
      </c>
    </row>
    <row r="1020" spans="1:8" x14ac:dyDescent="0.25">
      <c r="A1020">
        <v>200005226</v>
      </c>
      <c r="B1020" t="s">
        <v>952</v>
      </c>
      <c r="C1020" t="s">
        <v>9</v>
      </c>
      <c r="D1020">
        <v>0</v>
      </c>
      <c r="E1020" s="15">
        <v>0</v>
      </c>
      <c r="F1020">
        <v>0</v>
      </c>
      <c r="G1020">
        <v>0</v>
      </c>
      <c r="H1020">
        <f>IFERROR(VLOOKUP(CENTRAL[[#This Row],[Cód]],SUB[#All],4,0),0) + CENTRAL[[#This Row],[CMM]]</f>
        <v>0</v>
      </c>
    </row>
    <row r="1021" spans="1:8" x14ac:dyDescent="0.25">
      <c r="A1021">
        <v>200006842</v>
      </c>
      <c r="B1021" t="s">
        <v>953</v>
      </c>
      <c r="C1021" t="s">
        <v>63</v>
      </c>
      <c r="D1021">
        <v>0</v>
      </c>
      <c r="E1021" s="15">
        <v>180.25</v>
      </c>
      <c r="F1021">
        <v>0</v>
      </c>
      <c r="G1021">
        <v>3</v>
      </c>
      <c r="H1021">
        <f>IFERROR(VLOOKUP(CENTRAL[[#This Row],[Cód]],SUB[#All],4,0),0) + CENTRAL[[#This Row],[CMM]]</f>
        <v>0</v>
      </c>
    </row>
    <row r="1022" spans="1:8" x14ac:dyDescent="0.25">
      <c r="A1022">
        <v>200006843</v>
      </c>
      <c r="B1022" t="s">
        <v>954</v>
      </c>
      <c r="C1022" t="s">
        <v>63</v>
      </c>
      <c r="D1022">
        <v>0.08</v>
      </c>
      <c r="E1022" s="15">
        <v>173.5</v>
      </c>
      <c r="F1022">
        <v>0</v>
      </c>
      <c r="G1022">
        <v>2</v>
      </c>
      <c r="H1022">
        <f>IFERROR(VLOOKUP(CENTRAL[[#This Row],[Cód]],SUB[#All],4,0),0) + CENTRAL[[#This Row],[CMM]]</f>
        <v>0.08</v>
      </c>
    </row>
    <row r="1023" spans="1:8" x14ac:dyDescent="0.25">
      <c r="A1023">
        <v>200006844</v>
      </c>
      <c r="B1023" t="s">
        <v>955</v>
      </c>
      <c r="C1023" t="s">
        <v>63</v>
      </c>
      <c r="D1023">
        <v>0</v>
      </c>
      <c r="E1023" s="15">
        <v>178.2</v>
      </c>
      <c r="F1023">
        <v>0</v>
      </c>
      <c r="G1023">
        <v>3</v>
      </c>
      <c r="H1023">
        <f>IFERROR(VLOOKUP(CENTRAL[[#This Row],[Cód]],SUB[#All],4,0),0) + CENTRAL[[#This Row],[CMM]]</f>
        <v>0</v>
      </c>
    </row>
    <row r="1024" spans="1:8" x14ac:dyDescent="0.25">
      <c r="A1024">
        <v>200000650</v>
      </c>
      <c r="B1024" t="s">
        <v>956</v>
      </c>
      <c r="C1024" t="s">
        <v>67</v>
      </c>
      <c r="D1024">
        <v>0</v>
      </c>
      <c r="E1024" s="15">
        <v>0</v>
      </c>
      <c r="F1024">
        <v>0</v>
      </c>
      <c r="G1024">
        <v>0</v>
      </c>
      <c r="H1024">
        <f>IFERROR(VLOOKUP(CENTRAL[[#This Row],[Cód]],SUB[#All],4,0),0) + CENTRAL[[#This Row],[CMM]]</f>
        <v>0</v>
      </c>
    </row>
    <row r="1025" spans="1:8" x14ac:dyDescent="0.25">
      <c r="A1025">
        <v>200006324</v>
      </c>
      <c r="B1025" t="s">
        <v>957</v>
      </c>
      <c r="C1025" t="s">
        <v>67</v>
      </c>
      <c r="D1025">
        <v>0.91</v>
      </c>
      <c r="E1025" s="15">
        <v>629.03</v>
      </c>
      <c r="F1025">
        <v>1</v>
      </c>
      <c r="G1025">
        <v>14</v>
      </c>
      <c r="H1025">
        <f>IFERROR(VLOOKUP(CENTRAL[[#This Row],[Cód]],SUB[#All],4,0),0) + CENTRAL[[#This Row],[CMM]]</f>
        <v>0.91</v>
      </c>
    </row>
    <row r="1026" spans="1:8" x14ac:dyDescent="0.25">
      <c r="A1026">
        <v>200000649</v>
      </c>
      <c r="B1026" t="s">
        <v>958</v>
      </c>
      <c r="C1026" t="s">
        <v>67</v>
      </c>
      <c r="D1026">
        <v>0</v>
      </c>
      <c r="E1026" s="15">
        <v>0</v>
      </c>
      <c r="F1026">
        <v>0</v>
      </c>
      <c r="G1026">
        <v>0</v>
      </c>
      <c r="H1026">
        <f>IFERROR(VLOOKUP(CENTRAL[[#This Row],[Cód]],SUB[#All],4,0),0) + CENTRAL[[#This Row],[CMM]]</f>
        <v>0</v>
      </c>
    </row>
    <row r="1027" spans="1:8" x14ac:dyDescent="0.25">
      <c r="A1027">
        <v>200001091</v>
      </c>
      <c r="B1027" t="s">
        <v>959</v>
      </c>
      <c r="C1027" t="s">
        <v>63</v>
      </c>
      <c r="D1027">
        <v>0</v>
      </c>
      <c r="E1027" s="15">
        <v>0</v>
      </c>
      <c r="F1027">
        <v>0</v>
      </c>
      <c r="G1027">
        <v>0</v>
      </c>
      <c r="H1027">
        <f>IFERROR(VLOOKUP(CENTRAL[[#This Row],[Cód]],SUB[#All],4,0),0) + CENTRAL[[#This Row],[CMM]]</f>
        <v>0</v>
      </c>
    </row>
    <row r="1028" spans="1:8" x14ac:dyDescent="0.25">
      <c r="A1028">
        <v>200000661</v>
      </c>
      <c r="B1028" t="s">
        <v>960</v>
      </c>
      <c r="C1028" t="s">
        <v>67</v>
      </c>
      <c r="D1028">
        <v>0</v>
      </c>
      <c r="E1028" s="15">
        <v>0</v>
      </c>
      <c r="F1028">
        <v>0</v>
      </c>
      <c r="G1028">
        <v>0</v>
      </c>
      <c r="H1028">
        <f>IFERROR(VLOOKUP(CENTRAL[[#This Row],[Cód]],SUB[#All],4,0),0) + CENTRAL[[#This Row],[CMM]]</f>
        <v>0</v>
      </c>
    </row>
    <row r="1029" spans="1:8" x14ac:dyDescent="0.25">
      <c r="A1029">
        <v>200002337</v>
      </c>
      <c r="B1029" t="s">
        <v>961</v>
      </c>
      <c r="C1029" t="s">
        <v>9</v>
      </c>
      <c r="D1029">
        <v>0</v>
      </c>
      <c r="E1029" s="15">
        <v>0</v>
      </c>
      <c r="F1029">
        <v>0</v>
      </c>
      <c r="G1029">
        <v>0</v>
      </c>
      <c r="H1029">
        <f>IFERROR(VLOOKUP(CENTRAL[[#This Row],[Cód]],SUB[#All],4,0),0) + CENTRAL[[#This Row],[CMM]]</f>
        <v>0</v>
      </c>
    </row>
    <row r="1030" spans="1:8" x14ac:dyDescent="0.25">
      <c r="A1030">
        <v>200000662</v>
      </c>
      <c r="B1030" t="s">
        <v>962</v>
      </c>
      <c r="C1030" t="s">
        <v>67</v>
      </c>
      <c r="D1030">
        <v>0</v>
      </c>
      <c r="E1030" s="15">
        <v>0</v>
      </c>
      <c r="F1030">
        <v>0</v>
      </c>
      <c r="G1030">
        <v>0</v>
      </c>
      <c r="H1030">
        <f>IFERROR(VLOOKUP(CENTRAL[[#This Row],[Cód]],SUB[#All],4,0),0) + CENTRAL[[#This Row],[CMM]]</f>
        <v>0</v>
      </c>
    </row>
    <row r="1031" spans="1:8" x14ac:dyDescent="0.25">
      <c r="A1031">
        <v>200002336</v>
      </c>
      <c r="B1031" t="s">
        <v>963</v>
      </c>
      <c r="C1031" t="s">
        <v>9</v>
      </c>
      <c r="D1031">
        <v>0</v>
      </c>
      <c r="E1031" s="15">
        <v>0</v>
      </c>
      <c r="F1031">
        <v>0</v>
      </c>
      <c r="G1031">
        <v>0</v>
      </c>
      <c r="H1031">
        <f>IFERROR(VLOOKUP(CENTRAL[[#This Row],[Cód]],SUB[#All],4,0),0) + CENTRAL[[#This Row],[CMM]]</f>
        <v>0</v>
      </c>
    </row>
    <row r="1032" spans="1:8" x14ac:dyDescent="0.25">
      <c r="A1032">
        <v>200006329</v>
      </c>
      <c r="B1032" t="s">
        <v>964</v>
      </c>
      <c r="C1032" t="s">
        <v>9</v>
      </c>
      <c r="D1032">
        <v>1.25</v>
      </c>
      <c r="E1032" s="15">
        <v>206.53</v>
      </c>
      <c r="F1032">
        <v>0</v>
      </c>
      <c r="G1032">
        <v>81</v>
      </c>
      <c r="H1032">
        <f>IFERROR(VLOOKUP(CENTRAL[[#This Row],[Cód]],SUB[#All],4,0),0) + CENTRAL[[#This Row],[CMM]]</f>
        <v>1.25</v>
      </c>
    </row>
    <row r="1033" spans="1:8" x14ac:dyDescent="0.25">
      <c r="A1033">
        <v>200000663</v>
      </c>
      <c r="B1033" t="s">
        <v>965</v>
      </c>
      <c r="C1033" t="s">
        <v>67</v>
      </c>
      <c r="D1033">
        <v>0</v>
      </c>
      <c r="E1033" s="15">
        <v>0</v>
      </c>
      <c r="F1033">
        <v>0</v>
      </c>
      <c r="G1033">
        <v>0</v>
      </c>
      <c r="H1033">
        <f>IFERROR(VLOOKUP(CENTRAL[[#This Row],[Cód]],SUB[#All],4,0),0) + CENTRAL[[#This Row],[CMM]]</f>
        <v>0</v>
      </c>
    </row>
    <row r="1034" spans="1:8" x14ac:dyDescent="0.25">
      <c r="A1034">
        <v>200002338</v>
      </c>
      <c r="B1034" t="s">
        <v>966</v>
      </c>
      <c r="C1034" t="s">
        <v>9</v>
      </c>
      <c r="D1034">
        <v>0</v>
      </c>
      <c r="E1034" s="15">
        <v>0</v>
      </c>
      <c r="F1034">
        <v>0</v>
      </c>
      <c r="G1034">
        <v>0</v>
      </c>
      <c r="H1034">
        <f>IFERROR(VLOOKUP(CENTRAL[[#This Row],[Cód]],SUB[#All],4,0),0) + CENTRAL[[#This Row],[CMM]]</f>
        <v>0</v>
      </c>
    </row>
    <row r="1035" spans="1:8" x14ac:dyDescent="0.25">
      <c r="A1035">
        <v>200000664</v>
      </c>
      <c r="B1035" t="s">
        <v>967</v>
      </c>
      <c r="C1035" t="s">
        <v>67</v>
      </c>
      <c r="D1035">
        <v>0</v>
      </c>
      <c r="E1035" s="15">
        <v>0</v>
      </c>
      <c r="F1035">
        <v>0</v>
      </c>
      <c r="G1035">
        <v>0</v>
      </c>
      <c r="H1035">
        <f>IFERROR(VLOOKUP(CENTRAL[[#This Row],[Cód]],SUB[#All],4,0),0) + CENTRAL[[#This Row],[CMM]]</f>
        <v>0</v>
      </c>
    </row>
    <row r="1036" spans="1:8" x14ac:dyDescent="0.25">
      <c r="A1036">
        <v>200001092</v>
      </c>
      <c r="B1036" t="s">
        <v>968</v>
      </c>
      <c r="C1036" t="s">
        <v>63</v>
      </c>
      <c r="D1036">
        <v>0</v>
      </c>
      <c r="E1036" s="15">
        <v>0</v>
      </c>
      <c r="F1036">
        <v>0</v>
      </c>
      <c r="G1036">
        <v>0</v>
      </c>
      <c r="H1036">
        <f>IFERROR(VLOOKUP(CENTRAL[[#This Row],[Cód]],SUB[#All],4,0),0) + CENTRAL[[#This Row],[CMM]]</f>
        <v>0</v>
      </c>
    </row>
    <row r="1037" spans="1:8" x14ac:dyDescent="0.25">
      <c r="A1037">
        <v>200003809</v>
      </c>
      <c r="B1037" t="s">
        <v>969</v>
      </c>
      <c r="C1037" t="s">
        <v>63</v>
      </c>
      <c r="D1037">
        <v>0</v>
      </c>
      <c r="E1037" s="15">
        <v>0</v>
      </c>
      <c r="F1037">
        <v>0</v>
      </c>
      <c r="G1037">
        <v>0</v>
      </c>
      <c r="H1037">
        <f>IFERROR(VLOOKUP(CENTRAL[[#This Row],[Cód]],SUB[#All],4,0),0) + CENTRAL[[#This Row],[CMM]]</f>
        <v>0</v>
      </c>
    </row>
    <row r="1038" spans="1:8" x14ac:dyDescent="0.25">
      <c r="A1038">
        <v>200004190</v>
      </c>
      <c r="B1038" t="s">
        <v>970</v>
      </c>
      <c r="C1038" t="s">
        <v>63</v>
      </c>
      <c r="D1038">
        <v>0</v>
      </c>
      <c r="E1038" s="15">
        <v>0</v>
      </c>
      <c r="F1038">
        <v>0</v>
      </c>
      <c r="G1038">
        <v>0</v>
      </c>
      <c r="H1038">
        <f>IFERROR(VLOOKUP(CENTRAL[[#This Row],[Cód]],SUB[#All],4,0),0) + CENTRAL[[#This Row],[CMM]]</f>
        <v>0</v>
      </c>
    </row>
    <row r="1039" spans="1:8" x14ac:dyDescent="0.25">
      <c r="A1039">
        <v>200006943</v>
      </c>
      <c r="B1039" t="s">
        <v>971</v>
      </c>
      <c r="C1039" t="s">
        <v>63</v>
      </c>
      <c r="D1039">
        <v>1.83</v>
      </c>
      <c r="E1039" s="15">
        <v>0</v>
      </c>
      <c r="F1039">
        <v>0</v>
      </c>
      <c r="G1039">
        <v>0</v>
      </c>
      <c r="H1039">
        <f>IFERROR(VLOOKUP(CENTRAL[[#This Row],[Cód]],SUB[#All],4,0),0) + CENTRAL[[#This Row],[CMM]]</f>
        <v>1.83</v>
      </c>
    </row>
    <row r="1040" spans="1:8" x14ac:dyDescent="0.25">
      <c r="A1040">
        <v>200006837</v>
      </c>
      <c r="B1040" t="s">
        <v>972</v>
      </c>
      <c r="C1040" t="s">
        <v>63</v>
      </c>
      <c r="D1040">
        <v>5.16</v>
      </c>
      <c r="E1040" s="15">
        <v>0</v>
      </c>
      <c r="F1040">
        <v>0</v>
      </c>
      <c r="G1040">
        <v>0</v>
      </c>
      <c r="H1040">
        <f>IFERROR(VLOOKUP(CENTRAL[[#This Row],[Cód]],SUB[#All],4,0),0) + CENTRAL[[#This Row],[CMM]]</f>
        <v>5.16</v>
      </c>
    </row>
    <row r="1041" spans="1:8" x14ac:dyDescent="0.25">
      <c r="A1041">
        <v>200006836</v>
      </c>
      <c r="B1041" t="s">
        <v>973</v>
      </c>
      <c r="C1041" t="s">
        <v>63</v>
      </c>
      <c r="D1041">
        <v>9.16</v>
      </c>
      <c r="E1041" s="15">
        <v>0</v>
      </c>
      <c r="F1041">
        <v>0</v>
      </c>
      <c r="G1041">
        <v>0</v>
      </c>
      <c r="H1041">
        <f>IFERROR(VLOOKUP(CENTRAL[[#This Row],[Cód]],SUB[#All],4,0),0) + CENTRAL[[#This Row],[CMM]]</f>
        <v>9.16</v>
      </c>
    </row>
    <row r="1042" spans="1:8" x14ac:dyDescent="0.25">
      <c r="A1042">
        <v>200006944</v>
      </c>
      <c r="B1042" t="s">
        <v>974</v>
      </c>
      <c r="C1042" t="s">
        <v>63</v>
      </c>
      <c r="D1042">
        <v>2.16</v>
      </c>
      <c r="E1042" s="15">
        <v>105</v>
      </c>
      <c r="F1042">
        <v>0</v>
      </c>
      <c r="G1042">
        <v>59</v>
      </c>
      <c r="H1042">
        <f>IFERROR(VLOOKUP(CENTRAL[[#This Row],[Cód]],SUB[#All],4,0),0) + CENTRAL[[#This Row],[CMM]]</f>
        <v>2.16</v>
      </c>
    </row>
    <row r="1043" spans="1:8" x14ac:dyDescent="0.25">
      <c r="A1043">
        <v>200001601</v>
      </c>
      <c r="B1043" t="s">
        <v>975</v>
      </c>
      <c r="C1043" t="s">
        <v>63</v>
      </c>
      <c r="D1043">
        <v>0</v>
      </c>
      <c r="E1043" s="15">
        <v>0</v>
      </c>
      <c r="F1043">
        <v>0</v>
      </c>
      <c r="G1043">
        <v>0</v>
      </c>
      <c r="H1043">
        <f>IFERROR(VLOOKUP(CENTRAL[[#This Row],[Cód]],SUB[#All],4,0),0) + CENTRAL[[#This Row],[CMM]]</f>
        <v>0</v>
      </c>
    </row>
    <row r="1044" spans="1:8" x14ac:dyDescent="0.25">
      <c r="A1044">
        <v>200001215</v>
      </c>
      <c r="B1044" t="s">
        <v>976</v>
      </c>
      <c r="C1044" t="s">
        <v>63</v>
      </c>
      <c r="D1044">
        <v>0</v>
      </c>
      <c r="E1044" s="15">
        <v>0</v>
      </c>
      <c r="F1044">
        <v>0</v>
      </c>
      <c r="G1044">
        <v>0</v>
      </c>
      <c r="H1044">
        <f>IFERROR(VLOOKUP(CENTRAL[[#This Row],[Cód]],SUB[#All],4,0),0) + CENTRAL[[#This Row],[CMM]]</f>
        <v>0</v>
      </c>
    </row>
    <row r="1045" spans="1:8" x14ac:dyDescent="0.25">
      <c r="A1045">
        <v>200001214</v>
      </c>
      <c r="B1045" t="s">
        <v>977</v>
      </c>
      <c r="C1045" t="s">
        <v>63</v>
      </c>
      <c r="D1045">
        <v>0</v>
      </c>
      <c r="E1045" s="15">
        <v>0</v>
      </c>
      <c r="F1045">
        <v>0</v>
      </c>
      <c r="G1045">
        <v>0</v>
      </c>
      <c r="H1045">
        <f>IFERROR(VLOOKUP(CENTRAL[[#This Row],[Cód]],SUB[#All],4,0),0) + CENTRAL[[#This Row],[CMM]]</f>
        <v>0</v>
      </c>
    </row>
    <row r="1046" spans="1:8" x14ac:dyDescent="0.25">
      <c r="A1046">
        <v>200001213</v>
      </c>
      <c r="B1046" t="s">
        <v>978</v>
      </c>
      <c r="C1046" t="s">
        <v>63</v>
      </c>
      <c r="D1046">
        <v>0</v>
      </c>
      <c r="E1046" s="15">
        <v>0</v>
      </c>
      <c r="F1046">
        <v>0</v>
      </c>
      <c r="G1046">
        <v>0</v>
      </c>
      <c r="H1046">
        <f>IFERROR(VLOOKUP(CENTRAL[[#This Row],[Cód]],SUB[#All],4,0),0) + CENTRAL[[#This Row],[CMM]]</f>
        <v>0</v>
      </c>
    </row>
    <row r="1047" spans="1:8" x14ac:dyDescent="0.25">
      <c r="A1047">
        <v>200001212</v>
      </c>
      <c r="B1047" t="s">
        <v>979</v>
      </c>
      <c r="C1047" t="s">
        <v>63</v>
      </c>
      <c r="D1047">
        <v>0.75</v>
      </c>
      <c r="E1047" s="15">
        <v>0</v>
      </c>
      <c r="F1047">
        <v>0</v>
      </c>
      <c r="G1047">
        <v>0</v>
      </c>
      <c r="H1047">
        <f>IFERROR(VLOOKUP(CENTRAL[[#This Row],[Cód]],SUB[#All],4,0),0) + CENTRAL[[#This Row],[CMM]]</f>
        <v>0.91</v>
      </c>
    </row>
    <row r="1048" spans="1:8" x14ac:dyDescent="0.25">
      <c r="A1048">
        <v>200004148</v>
      </c>
      <c r="B1048" t="s">
        <v>980</v>
      </c>
      <c r="C1048" t="s">
        <v>9</v>
      </c>
      <c r="D1048">
        <v>0</v>
      </c>
      <c r="E1048" s="15">
        <v>0</v>
      </c>
      <c r="F1048">
        <v>0</v>
      </c>
      <c r="G1048">
        <v>0</v>
      </c>
      <c r="H1048">
        <f>IFERROR(VLOOKUP(CENTRAL[[#This Row],[Cód]],SUB[#All],4,0),0) + CENTRAL[[#This Row],[CMM]]</f>
        <v>0</v>
      </c>
    </row>
    <row r="1049" spans="1:8" x14ac:dyDescent="0.25">
      <c r="A1049">
        <v>200005525</v>
      </c>
      <c r="B1049" t="s">
        <v>981</v>
      </c>
      <c r="C1049" t="s">
        <v>9</v>
      </c>
      <c r="D1049">
        <v>0</v>
      </c>
      <c r="E1049" s="15">
        <v>0</v>
      </c>
      <c r="F1049">
        <v>0</v>
      </c>
      <c r="G1049">
        <v>0</v>
      </c>
      <c r="H1049">
        <f>IFERROR(VLOOKUP(CENTRAL[[#This Row],[Cód]],SUB[#All],4,0),0) + CENTRAL[[#This Row],[CMM]]</f>
        <v>0</v>
      </c>
    </row>
    <row r="1050" spans="1:8" x14ac:dyDescent="0.25">
      <c r="A1050">
        <v>200004147</v>
      </c>
      <c r="B1050" t="s">
        <v>982</v>
      </c>
      <c r="C1050" t="s">
        <v>67</v>
      </c>
      <c r="D1050">
        <v>0</v>
      </c>
      <c r="E1050" s="15">
        <v>0</v>
      </c>
      <c r="F1050">
        <v>0</v>
      </c>
      <c r="G1050">
        <v>0</v>
      </c>
      <c r="H1050">
        <f>IFERROR(VLOOKUP(CENTRAL[[#This Row],[Cód]],SUB[#All],4,0),0) + CENTRAL[[#This Row],[CMM]]</f>
        <v>0</v>
      </c>
    </row>
    <row r="1051" spans="1:8" x14ac:dyDescent="0.25">
      <c r="A1051">
        <v>200003940</v>
      </c>
      <c r="B1051" t="s">
        <v>983</v>
      </c>
      <c r="C1051" t="s">
        <v>63</v>
      </c>
      <c r="D1051">
        <v>0</v>
      </c>
      <c r="E1051" s="15">
        <v>0</v>
      </c>
      <c r="F1051">
        <v>0</v>
      </c>
      <c r="G1051">
        <v>0</v>
      </c>
      <c r="H1051">
        <f>IFERROR(VLOOKUP(CENTRAL[[#This Row],[Cód]],SUB[#All],4,0),0) + CENTRAL[[#This Row],[CMM]]</f>
        <v>0</v>
      </c>
    </row>
    <row r="1052" spans="1:8" x14ac:dyDescent="0.25">
      <c r="A1052">
        <v>200000749</v>
      </c>
      <c r="B1052" t="s">
        <v>984</v>
      </c>
      <c r="C1052" t="s">
        <v>67</v>
      </c>
      <c r="D1052">
        <v>2.16</v>
      </c>
      <c r="E1052" s="15">
        <v>0</v>
      </c>
      <c r="F1052">
        <v>0</v>
      </c>
      <c r="G1052">
        <v>0</v>
      </c>
      <c r="H1052">
        <f>IFERROR(VLOOKUP(CENTRAL[[#This Row],[Cód]],SUB[#All],4,0),0) + CENTRAL[[#This Row],[CMM]]</f>
        <v>2.66</v>
      </c>
    </row>
    <row r="1053" spans="1:8" x14ac:dyDescent="0.25">
      <c r="A1053">
        <v>200000660</v>
      </c>
      <c r="B1053" t="s">
        <v>985</v>
      </c>
      <c r="C1053" t="s">
        <v>67</v>
      </c>
      <c r="D1053">
        <v>53.66</v>
      </c>
      <c r="E1053" s="15">
        <v>325.74</v>
      </c>
      <c r="F1053">
        <v>221</v>
      </c>
      <c r="G1053">
        <v>38</v>
      </c>
      <c r="H1053">
        <f>IFERROR(VLOOKUP(CENTRAL[[#This Row],[Cód]],SUB[#All],4,0),0) + CENTRAL[[#This Row],[CMM]]</f>
        <v>56.739999999999995</v>
      </c>
    </row>
    <row r="1054" spans="1:8" x14ac:dyDescent="0.25">
      <c r="A1054">
        <v>200002346</v>
      </c>
      <c r="B1054" t="s">
        <v>986</v>
      </c>
      <c r="C1054" t="s">
        <v>67</v>
      </c>
      <c r="D1054">
        <v>3.16</v>
      </c>
      <c r="E1054" s="15">
        <v>0</v>
      </c>
      <c r="F1054">
        <v>0</v>
      </c>
      <c r="G1054">
        <v>0</v>
      </c>
      <c r="H1054">
        <f>IFERROR(VLOOKUP(CENTRAL[[#This Row],[Cód]],SUB[#All],4,0),0) + CENTRAL[[#This Row],[CMM]]</f>
        <v>3.16</v>
      </c>
    </row>
    <row r="1055" spans="1:8" x14ac:dyDescent="0.25">
      <c r="A1055">
        <v>200002718</v>
      </c>
      <c r="B1055" t="s">
        <v>987</v>
      </c>
      <c r="C1055" t="s">
        <v>63</v>
      </c>
      <c r="D1055">
        <v>0</v>
      </c>
      <c r="E1055" s="15">
        <v>0</v>
      </c>
      <c r="F1055">
        <v>0</v>
      </c>
      <c r="G1055">
        <v>0</v>
      </c>
      <c r="H1055">
        <f>IFERROR(VLOOKUP(CENTRAL[[#This Row],[Cód]],SUB[#All],4,0),0) + CENTRAL[[#This Row],[CMM]]</f>
        <v>0</v>
      </c>
    </row>
    <row r="1056" spans="1:8" x14ac:dyDescent="0.25">
      <c r="A1056">
        <v>200002719</v>
      </c>
      <c r="B1056" t="s">
        <v>988</v>
      </c>
      <c r="C1056" t="s">
        <v>63</v>
      </c>
      <c r="D1056">
        <v>0</v>
      </c>
      <c r="E1056" s="15">
        <v>0</v>
      </c>
      <c r="F1056">
        <v>0</v>
      </c>
      <c r="G1056">
        <v>0</v>
      </c>
      <c r="H1056">
        <f>IFERROR(VLOOKUP(CENTRAL[[#This Row],[Cód]],SUB[#All],4,0),0) + CENTRAL[[#This Row],[CMM]]</f>
        <v>0</v>
      </c>
    </row>
    <row r="1057" spans="1:8" x14ac:dyDescent="0.25">
      <c r="A1057">
        <v>200001620</v>
      </c>
      <c r="B1057" t="s">
        <v>989</v>
      </c>
      <c r="C1057" t="s">
        <v>63</v>
      </c>
      <c r="D1057">
        <v>1.1599999999999999</v>
      </c>
      <c r="E1057" s="15">
        <v>0</v>
      </c>
      <c r="F1057">
        <v>0</v>
      </c>
      <c r="G1057">
        <v>0</v>
      </c>
      <c r="H1057">
        <f>IFERROR(VLOOKUP(CENTRAL[[#This Row],[Cód]],SUB[#All],4,0),0) + CENTRAL[[#This Row],[CMM]]</f>
        <v>2.0699999999999998</v>
      </c>
    </row>
    <row r="1058" spans="1:8" x14ac:dyDescent="0.25">
      <c r="A1058">
        <v>200001620</v>
      </c>
      <c r="B1058" t="s">
        <v>989</v>
      </c>
      <c r="C1058" t="s">
        <v>63</v>
      </c>
      <c r="D1058">
        <v>1.1599999999999999</v>
      </c>
      <c r="E1058" s="15">
        <v>0</v>
      </c>
      <c r="F1058">
        <v>0</v>
      </c>
      <c r="G1058">
        <v>0</v>
      </c>
      <c r="H1058">
        <f>IFERROR(VLOOKUP(CENTRAL[[#This Row],[Cód]],SUB[#All],4,0),0) + CENTRAL[[#This Row],[CMM]]</f>
        <v>2.0699999999999998</v>
      </c>
    </row>
    <row r="1059" spans="1:8" x14ac:dyDescent="0.25">
      <c r="A1059">
        <v>200001621</v>
      </c>
      <c r="B1059" t="s">
        <v>990</v>
      </c>
      <c r="C1059" t="s">
        <v>63</v>
      </c>
      <c r="D1059">
        <v>0</v>
      </c>
      <c r="E1059" s="15">
        <v>0</v>
      </c>
      <c r="F1059">
        <v>0</v>
      </c>
      <c r="G1059">
        <v>0</v>
      </c>
      <c r="H1059">
        <f>IFERROR(VLOOKUP(CENTRAL[[#This Row],[Cód]],SUB[#All],4,0),0) + CENTRAL[[#This Row],[CMM]]</f>
        <v>0</v>
      </c>
    </row>
    <row r="1060" spans="1:8" x14ac:dyDescent="0.25">
      <c r="A1060">
        <v>200001624</v>
      </c>
      <c r="B1060" t="s">
        <v>991</v>
      </c>
      <c r="C1060" t="s">
        <v>63</v>
      </c>
      <c r="D1060">
        <v>2.25</v>
      </c>
      <c r="E1060" s="15">
        <v>53.25</v>
      </c>
      <c r="F1060">
        <v>0</v>
      </c>
      <c r="G1060">
        <v>2</v>
      </c>
      <c r="H1060">
        <f>IFERROR(VLOOKUP(CENTRAL[[#This Row],[Cód]],SUB[#All],4,0),0) + CENTRAL[[#This Row],[CMM]]</f>
        <v>2.33</v>
      </c>
    </row>
    <row r="1061" spans="1:8" x14ac:dyDescent="0.25">
      <c r="A1061">
        <v>200005524</v>
      </c>
      <c r="B1061" t="s">
        <v>992</v>
      </c>
      <c r="C1061" t="s">
        <v>63</v>
      </c>
      <c r="D1061">
        <v>4.5</v>
      </c>
      <c r="E1061" s="15">
        <v>58.41</v>
      </c>
      <c r="F1061">
        <v>0</v>
      </c>
      <c r="G1061">
        <v>37</v>
      </c>
      <c r="H1061">
        <f>IFERROR(VLOOKUP(CENTRAL[[#This Row],[Cód]],SUB[#All],4,0),0) + CENTRAL[[#This Row],[CMM]]</f>
        <v>4.5</v>
      </c>
    </row>
    <row r="1062" spans="1:8" x14ac:dyDescent="0.25">
      <c r="A1062">
        <v>200001622</v>
      </c>
      <c r="B1062" t="s">
        <v>993</v>
      </c>
      <c r="C1062" t="s">
        <v>63</v>
      </c>
      <c r="D1062">
        <v>0</v>
      </c>
      <c r="E1062" s="15">
        <v>0</v>
      </c>
      <c r="F1062">
        <v>0</v>
      </c>
      <c r="G1062">
        <v>0</v>
      </c>
      <c r="H1062">
        <f>IFERROR(VLOOKUP(CENTRAL[[#This Row],[Cód]],SUB[#All],4,0),0) + CENTRAL[[#This Row],[CMM]]</f>
        <v>0</v>
      </c>
    </row>
    <row r="1063" spans="1:8" x14ac:dyDescent="0.25">
      <c r="A1063">
        <v>200001623</v>
      </c>
      <c r="B1063" t="s">
        <v>994</v>
      </c>
      <c r="C1063" t="s">
        <v>63</v>
      </c>
      <c r="D1063">
        <v>6.66</v>
      </c>
      <c r="E1063" s="15">
        <v>0</v>
      </c>
      <c r="F1063">
        <v>0</v>
      </c>
      <c r="G1063">
        <v>0</v>
      </c>
      <c r="H1063">
        <f>IFERROR(VLOOKUP(CENTRAL[[#This Row],[Cód]],SUB[#All],4,0),0) + CENTRAL[[#This Row],[CMM]]</f>
        <v>6.82</v>
      </c>
    </row>
    <row r="1064" spans="1:8" x14ac:dyDescent="0.25">
      <c r="A1064">
        <v>200001625</v>
      </c>
      <c r="B1064" t="s">
        <v>995</v>
      </c>
      <c r="C1064" t="s">
        <v>63</v>
      </c>
      <c r="D1064">
        <v>3</v>
      </c>
      <c r="E1064" s="15">
        <v>53.19</v>
      </c>
      <c r="F1064">
        <v>0</v>
      </c>
      <c r="G1064">
        <v>54</v>
      </c>
      <c r="H1064">
        <f>IFERROR(VLOOKUP(CENTRAL[[#This Row],[Cód]],SUB[#All],4,0),0) + CENTRAL[[#This Row],[CMM]]</f>
        <v>3.25</v>
      </c>
    </row>
    <row r="1065" spans="1:8" x14ac:dyDescent="0.25">
      <c r="A1065">
        <v>200001625</v>
      </c>
      <c r="B1065" t="s">
        <v>995</v>
      </c>
      <c r="C1065" t="s">
        <v>63</v>
      </c>
      <c r="D1065">
        <v>3</v>
      </c>
      <c r="E1065" s="15">
        <v>0</v>
      </c>
      <c r="F1065">
        <v>0</v>
      </c>
      <c r="G1065">
        <v>0</v>
      </c>
      <c r="H1065">
        <f>IFERROR(VLOOKUP(CENTRAL[[#This Row],[Cód]],SUB[#All],4,0),0) + CENTRAL[[#This Row],[CMM]]</f>
        <v>3.25</v>
      </c>
    </row>
    <row r="1066" spans="1:8" x14ac:dyDescent="0.25">
      <c r="A1066">
        <v>200001094</v>
      </c>
      <c r="B1066" t="s">
        <v>996</v>
      </c>
      <c r="C1066" t="s">
        <v>63</v>
      </c>
      <c r="D1066">
        <v>0</v>
      </c>
      <c r="E1066" s="15">
        <v>0</v>
      </c>
      <c r="F1066">
        <v>0</v>
      </c>
      <c r="G1066">
        <v>0</v>
      </c>
      <c r="H1066">
        <f>IFERROR(VLOOKUP(CENTRAL[[#This Row],[Cód]],SUB[#All],4,0),0) + CENTRAL[[#This Row],[CMM]]</f>
        <v>0</v>
      </c>
    </row>
    <row r="1067" spans="1:8" x14ac:dyDescent="0.25">
      <c r="A1067">
        <v>200005790</v>
      </c>
      <c r="B1067" t="s">
        <v>997</v>
      </c>
      <c r="C1067" t="s">
        <v>9</v>
      </c>
      <c r="D1067">
        <v>0</v>
      </c>
      <c r="E1067" s="15">
        <v>0</v>
      </c>
      <c r="F1067">
        <v>0</v>
      </c>
      <c r="G1067">
        <v>0</v>
      </c>
      <c r="H1067">
        <f>IFERROR(VLOOKUP(CENTRAL[[#This Row],[Cód]],SUB[#All],4,0),0) + CENTRAL[[#This Row],[CMM]]</f>
        <v>0</v>
      </c>
    </row>
    <row r="1068" spans="1:8" x14ac:dyDescent="0.25">
      <c r="A1068">
        <v>200002059</v>
      </c>
      <c r="B1068" t="s">
        <v>998</v>
      </c>
      <c r="C1068" t="s">
        <v>9</v>
      </c>
      <c r="D1068">
        <v>0.66</v>
      </c>
      <c r="E1068" s="15">
        <v>13.14</v>
      </c>
      <c r="F1068">
        <v>0</v>
      </c>
      <c r="G1068">
        <v>16</v>
      </c>
      <c r="H1068">
        <f>IFERROR(VLOOKUP(CENTRAL[[#This Row],[Cód]],SUB[#All],4,0),0) + CENTRAL[[#This Row],[CMM]]</f>
        <v>0.91</v>
      </c>
    </row>
    <row r="1069" spans="1:8" x14ac:dyDescent="0.25">
      <c r="A1069">
        <v>200005464</v>
      </c>
      <c r="B1069" t="s">
        <v>999</v>
      </c>
      <c r="C1069" t="s">
        <v>9</v>
      </c>
      <c r="D1069">
        <v>0.33</v>
      </c>
      <c r="E1069" s="15">
        <v>0</v>
      </c>
      <c r="F1069">
        <v>0</v>
      </c>
      <c r="G1069">
        <v>0</v>
      </c>
      <c r="H1069">
        <f>IFERROR(VLOOKUP(CENTRAL[[#This Row],[Cód]],SUB[#All],4,0),0) + CENTRAL[[#This Row],[CMM]]</f>
        <v>0.33</v>
      </c>
    </row>
    <row r="1070" spans="1:8" x14ac:dyDescent="0.25">
      <c r="A1070">
        <v>200003535</v>
      </c>
      <c r="B1070" t="s">
        <v>1000</v>
      </c>
      <c r="C1070" t="s">
        <v>9</v>
      </c>
      <c r="D1070">
        <v>0</v>
      </c>
      <c r="E1070" s="15">
        <v>52.39</v>
      </c>
      <c r="F1070">
        <v>0</v>
      </c>
      <c r="G1070">
        <v>1</v>
      </c>
      <c r="H1070">
        <f>IFERROR(VLOOKUP(CENTRAL[[#This Row],[Cód]],SUB[#All],4,0),0) + CENTRAL[[#This Row],[CMM]]</f>
        <v>0</v>
      </c>
    </row>
    <row r="1071" spans="1:8" x14ac:dyDescent="0.25">
      <c r="A1071">
        <v>200002218</v>
      </c>
      <c r="B1071" t="s">
        <v>1001</v>
      </c>
      <c r="C1071" t="s">
        <v>9</v>
      </c>
      <c r="D1071">
        <v>0.16</v>
      </c>
      <c r="E1071" s="15">
        <v>133.08000000000001</v>
      </c>
      <c r="F1071">
        <v>0</v>
      </c>
      <c r="G1071">
        <v>8</v>
      </c>
      <c r="H1071">
        <f>IFERROR(VLOOKUP(CENTRAL[[#This Row],[Cód]],SUB[#All],4,0),0) + CENTRAL[[#This Row],[CMM]]</f>
        <v>0.16</v>
      </c>
    </row>
    <row r="1072" spans="1:8" x14ac:dyDescent="0.25">
      <c r="A1072">
        <v>200002219</v>
      </c>
      <c r="B1072" t="s">
        <v>1002</v>
      </c>
      <c r="C1072" t="s">
        <v>9</v>
      </c>
      <c r="D1072">
        <v>0.25</v>
      </c>
      <c r="E1072" s="15">
        <v>397.35</v>
      </c>
      <c r="F1072">
        <v>0</v>
      </c>
      <c r="G1072">
        <v>22</v>
      </c>
      <c r="H1072">
        <f>IFERROR(VLOOKUP(CENTRAL[[#This Row],[Cód]],SUB[#All],4,0),0) + CENTRAL[[#This Row],[CMM]]</f>
        <v>0.41000000000000003</v>
      </c>
    </row>
    <row r="1073" spans="1:8" x14ac:dyDescent="0.25">
      <c r="A1073">
        <v>200002220</v>
      </c>
      <c r="B1073" t="s">
        <v>1003</v>
      </c>
      <c r="C1073" t="s">
        <v>9</v>
      </c>
      <c r="D1073">
        <v>0.08</v>
      </c>
      <c r="E1073" s="15">
        <v>256.35000000000002</v>
      </c>
      <c r="F1073">
        <v>0</v>
      </c>
      <c r="G1073">
        <v>33</v>
      </c>
      <c r="H1073">
        <f>IFERROR(VLOOKUP(CENTRAL[[#This Row],[Cód]],SUB[#All],4,0),0) + CENTRAL[[#This Row],[CMM]]</f>
        <v>0.16</v>
      </c>
    </row>
    <row r="1074" spans="1:8" x14ac:dyDescent="0.25">
      <c r="A1074">
        <v>200002823</v>
      </c>
      <c r="B1074" t="s">
        <v>1004</v>
      </c>
      <c r="C1074" t="s">
        <v>9</v>
      </c>
      <c r="D1074">
        <v>0</v>
      </c>
      <c r="E1074" s="15">
        <v>150</v>
      </c>
      <c r="F1074">
        <v>0</v>
      </c>
      <c r="G1074">
        <v>2</v>
      </c>
      <c r="H1074">
        <f>IFERROR(VLOOKUP(CENTRAL[[#This Row],[Cód]],SUB[#All],4,0),0) + CENTRAL[[#This Row],[CMM]]</f>
        <v>0</v>
      </c>
    </row>
    <row r="1075" spans="1:8" x14ac:dyDescent="0.25">
      <c r="A1075">
        <v>200002822</v>
      </c>
      <c r="B1075" t="s">
        <v>1005</v>
      </c>
      <c r="C1075" t="s">
        <v>9</v>
      </c>
      <c r="D1075">
        <v>0</v>
      </c>
      <c r="E1075" s="15">
        <v>0</v>
      </c>
      <c r="F1075">
        <v>0</v>
      </c>
      <c r="G1075">
        <v>0</v>
      </c>
      <c r="H1075">
        <f>IFERROR(VLOOKUP(CENTRAL[[#This Row],[Cód]],SUB[#All],4,0),0) + CENTRAL[[#This Row],[CMM]]</f>
        <v>0</v>
      </c>
    </row>
    <row r="1076" spans="1:8" x14ac:dyDescent="0.25">
      <c r="A1076">
        <v>200006036</v>
      </c>
      <c r="B1076" t="s">
        <v>1006</v>
      </c>
      <c r="C1076" t="s">
        <v>9</v>
      </c>
      <c r="D1076">
        <v>0</v>
      </c>
      <c r="E1076" s="15">
        <v>0</v>
      </c>
      <c r="F1076">
        <v>0</v>
      </c>
      <c r="G1076">
        <v>0</v>
      </c>
      <c r="H1076">
        <f>IFERROR(VLOOKUP(CENTRAL[[#This Row],[Cód]],SUB[#All],4,0),0) + CENTRAL[[#This Row],[CMM]]</f>
        <v>0</v>
      </c>
    </row>
    <row r="1077" spans="1:8" x14ac:dyDescent="0.25">
      <c r="A1077">
        <v>200005231</v>
      </c>
      <c r="B1077" t="s">
        <v>1007</v>
      </c>
      <c r="C1077" t="s">
        <v>9</v>
      </c>
      <c r="D1077">
        <v>5.41</v>
      </c>
      <c r="E1077" s="15">
        <v>172.69</v>
      </c>
      <c r="F1077">
        <v>0</v>
      </c>
      <c r="G1077">
        <v>11</v>
      </c>
      <c r="H1077">
        <f>IFERROR(VLOOKUP(CENTRAL[[#This Row],[Cód]],SUB[#All],4,0),0) + CENTRAL[[#This Row],[CMM]]</f>
        <v>7.24</v>
      </c>
    </row>
    <row r="1078" spans="1:8" x14ac:dyDescent="0.25">
      <c r="A1078">
        <v>200004191</v>
      </c>
      <c r="B1078" t="s">
        <v>1008</v>
      </c>
      <c r="C1078" t="s">
        <v>9</v>
      </c>
      <c r="D1078">
        <v>0.41</v>
      </c>
      <c r="E1078" s="15">
        <v>0</v>
      </c>
      <c r="F1078">
        <v>0</v>
      </c>
      <c r="G1078">
        <v>0</v>
      </c>
      <c r="H1078">
        <f>IFERROR(VLOOKUP(CENTRAL[[#This Row],[Cód]],SUB[#All],4,0),0) + CENTRAL[[#This Row],[CMM]]</f>
        <v>0.41</v>
      </c>
    </row>
    <row r="1079" spans="1:8" x14ac:dyDescent="0.25">
      <c r="A1079">
        <v>200003671</v>
      </c>
      <c r="B1079" t="s">
        <v>1009</v>
      </c>
      <c r="C1079" t="s">
        <v>9</v>
      </c>
      <c r="D1079">
        <v>3.08</v>
      </c>
      <c r="E1079" s="15">
        <v>248.43</v>
      </c>
      <c r="F1079">
        <v>0</v>
      </c>
      <c r="G1079">
        <v>2</v>
      </c>
      <c r="H1079">
        <f>IFERROR(VLOOKUP(CENTRAL[[#This Row],[Cód]],SUB[#All],4,0),0) + CENTRAL[[#This Row],[CMM]]</f>
        <v>4.58</v>
      </c>
    </row>
    <row r="1080" spans="1:8" x14ac:dyDescent="0.25">
      <c r="A1080">
        <v>200003672</v>
      </c>
      <c r="B1080" t="s">
        <v>1010</v>
      </c>
      <c r="C1080" t="s">
        <v>9</v>
      </c>
      <c r="D1080">
        <v>2.66</v>
      </c>
      <c r="E1080" s="15">
        <v>0</v>
      </c>
      <c r="F1080">
        <v>0</v>
      </c>
      <c r="G1080">
        <v>0</v>
      </c>
      <c r="H1080">
        <f>IFERROR(VLOOKUP(CENTRAL[[#This Row],[Cód]],SUB[#All],4,0),0) + CENTRAL[[#This Row],[CMM]]</f>
        <v>3.5700000000000003</v>
      </c>
    </row>
    <row r="1081" spans="1:8" x14ac:dyDescent="0.25">
      <c r="A1081">
        <v>200004946</v>
      </c>
      <c r="B1081" t="s">
        <v>1011</v>
      </c>
      <c r="C1081" t="s">
        <v>9</v>
      </c>
      <c r="D1081">
        <v>0.16</v>
      </c>
      <c r="E1081" s="15">
        <v>132</v>
      </c>
      <c r="F1081">
        <v>0</v>
      </c>
      <c r="G1081">
        <v>2</v>
      </c>
      <c r="H1081">
        <f>IFERROR(VLOOKUP(CENTRAL[[#This Row],[Cód]],SUB[#All],4,0),0) + CENTRAL[[#This Row],[CMM]]</f>
        <v>0.16</v>
      </c>
    </row>
    <row r="1082" spans="1:8" x14ac:dyDescent="0.25">
      <c r="A1082">
        <v>200006037</v>
      </c>
      <c r="B1082" t="s">
        <v>1012</v>
      </c>
      <c r="C1082" t="s">
        <v>9</v>
      </c>
      <c r="D1082">
        <v>0.57999999999999996</v>
      </c>
      <c r="E1082" s="15">
        <v>0</v>
      </c>
      <c r="F1082">
        <v>0</v>
      </c>
      <c r="G1082">
        <v>0</v>
      </c>
      <c r="H1082">
        <f>IFERROR(VLOOKUP(CENTRAL[[#This Row],[Cód]],SUB[#All],4,0),0) + CENTRAL[[#This Row],[CMM]]</f>
        <v>0.57999999999999996</v>
      </c>
    </row>
    <row r="1083" spans="1:8" x14ac:dyDescent="0.25">
      <c r="A1083">
        <v>200007034</v>
      </c>
      <c r="B1083" t="s">
        <v>1013</v>
      </c>
      <c r="C1083" t="s">
        <v>9</v>
      </c>
      <c r="D1083">
        <v>1.27</v>
      </c>
      <c r="E1083" s="15">
        <v>182.22</v>
      </c>
      <c r="F1083">
        <v>0</v>
      </c>
      <c r="G1083">
        <v>19</v>
      </c>
      <c r="H1083">
        <f>IFERROR(VLOOKUP(CENTRAL[[#This Row],[Cód]],SUB[#All],4,0),0) + CENTRAL[[#This Row],[CMM]]</f>
        <v>1.27</v>
      </c>
    </row>
    <row r="1084" spans="1:8" x14ac:dyDescent="0.25">
      <c r="A1084">
        <v>200004133</v>
      </c>
      <c r="B1084" t="s">
        <v>1014</v>
      </c>
      <c r="C1084" t="s">
        <v>9</v>
      </c>
      <c r="D1084">
        <v>0</v>
      </c>
      <c r="E1084" s="15">
        <v>0</v>
      </c>
      <c r="F1084">
        <v>0</v>
      </c>
      <c r="G1084">
        <v>0</v>
      </c>
      <c r="H1084">
        <f>IFERROR(VLOOKUP(CENTRAL[[#This Row],[Cód]],SUB[#All],4,0),0) + CENTRAL[[#This Row],[CMM]]</f>
        <v>0</v>
      </c>
    </row>
    <row r="1085" spans="1:8" x14ac:dyDescent="0.25">
      <c r="A1085">
        <v>200001582</v>
      </c>
      <c r="B1085" t="s">
        <v>1015</v>
      </c>
      <c r="C1085" t="s">
        <v>9</v>
      </c>
      <c r="D1085">
        <v>0</v>
      </c>
      <c r="E1085" s="15">
        <v>0</v>
      </c>
      <c r="F1085">
        <v>0</v>
      </c>
      <c r="G1085">
        <v>0</v>
      </c>
      <c r="H1085">
        <f>IFERROR(VLOOKUP(CENTRAL[[#This Row],[Cód]],SUB[#All],4,0),0) + CENTRAL[[#This Row],[CMM]]</f>
        <v>0</v>
      </c>
    </row>
    <row r="1086" spans="1:8" x14ac:dyDescent="0.25">
      <c r="A1086">
        <v>200001581</v>
      </c>
      <c r="B1086" t="s">
        <v>1016</v>
      </c>
      <c r="C1086" t="s">
        <v>9</v>
      </c>
      <c r="D1086">
        <v>0</v>
      </c>
      <c r="E1086" s="15">
        <v>0</v>
      </c>
      <c r="F1086">
        <v>0</v>
      </c>
      <c r="G1086">
        <v>0</v>
      </c>
      <c r="H1086">
        <f>IFERROR(VLOOKUP(CENTRAL[[#This Row],[Cód]],SUB[#All],4,0),0) + CENTRAL[[#This Row],[CMM]]</f>
        <v>0</v>
      </c>
    </row>
    <row r="1087" spans="1:8" x14ac:dyDescent="0.25">
      <c r="A1087">
        <v>200002223</v>
      </c>
      <c r="B1087" t="s">
        <v>1017</v>
      </c>
      <c r="C1087" t="s">
        <v>9</v>
      </c>
      <c r="D1087">
        <v>0</v>
      </c>
      <c r="E1087" s="15">
        <v>0</v>
      </c>
      <c r="F1087">
        <v>0</v>
      </c>
      <c r="G1087">
        <v>0</v>
      </c>
      <c r="H1087">
        <f>IFERROR(VLOOKUP(CENTRAL[[#This Row],[Cód]],SUB[#All],4,0),0) + CENTRAL[[#This Row],[CMM]]</f>
        <v>0</v>
      </c>
    </row>
    <row r="1088" spans="1:8" x14ac:dyDescent="0.25">
      <c r="A1088">
        <v>200002225</v>
      </c>
      <c r="B1088" t="s">
        <v>1018</v>
      </c>
      <c r="C1088" t="s">
        <v>9</v>
      </c>
      <c r="D1088">
        <v>0</v>
      </c>
      <c r="E1088" s="15">
        <v>0</v>
      </c>
      <c r="F1088">
        <v>0</v>
      </c>
      <c r="G1088">
        <v>0</v>
      </c>
      <c r="H1088">
        <f>IFERROR(VLOOKUP(CENTRAL[[#This Row],[Cód]],SUB[#All],4,0),0) + CENTRAL[[#This Row],[CMM]]</f>
        <v>0</v>
      </c>
    </row>
    <row r="1089" spans="1:8" x14ac:dyDescent="0.25">
      <c r="A1089">
        <v>200001042</v>
      </c>
      <c r="B1089" t="s">
        <v>1019</v>
      </c>
      <c r="C1089" t="s">
        <v>9</v>
      </c>
      <c r="D1089">
        <v>0</v>
      </c>
      <c r="E1089" s="15">
        <v>0</v>
      </c>
      <c r="F1089">
        <v>0</v>
      </c>
      <c r="G1089">
        <v>0</v>
      </c>
      <c r="H1089">
        <f>IFERROR(VLOOKUP(CENTRAL[[#This Row],[Cód]],SUB[#All],4,0),0) + CENTRAL[[#This Row],[CMM]]</f>
        <v>0</v>
      </c>
    </row>
    <row r="1090" spans="1:8" x14ac:dyDescent="0.25">
      <c r="A1090">
        <v>200006426</v>
      </c>
      <c r="B1090" t="s">
        <v>1020</v>
      </c>
      <c r="C1090" t="s">
        <v>9</v>
      </c>
      <c r="D1090">
        <v>0</v>
      </c>
      <c r="E1090" s="15">
        <v>0</v>
      </c>
      <c r="F1090">
        <v>0</v>
      </c>
      <c r="G1090">
        <v>0</v>
      </c>
      <c r="H1090">
        <f>IFERROR(VLOOKUP(CENTRAL[[#This Row],[Cód]],SUB[#All],4,0),0) + CENTRAL[[#This Row],[CMM]]</f>
        <v>0</v>
      </c>
    </row>
    <row r="1091" spans="1:8" x14ac:dyDescent="0.25">
      <c r="A1091">
        <v>200002221</v>
      </c>
      <c r="B1091" t="s">
        <v>1021</v>
      </c>
      <c r="C1091" t="s">
        <v>9</v>
      </c>
      <c r="D1091">
        <v>0</v>
      </c>
      <c r="E1091" s="15">
        <v>0</v>
      </c>
      <c r="F1091">
        <v>0</v>
      </c>
      <c r="G1091">
        <v>0</v>
      </c>
      <c r="H1091">
        <f>IFERROR(VLOOKUP(CENTRAL[[#This Row],[Cód]],SUB[#All],4,0),0) + CENTRAL[[#This Row],[CMM]]</f>
        <v>0</v>
      </c>
    </row>
    <row r="1092" spans="1:8" x14ac:dyDescent="0.25">
      <c r="A1092">
        <v>200000677</v>
      </c>
      <c r="B1092" t="s">
        <v>1022</v>
      </c>
      <c r="C1092" t="s">
        <v>9</v>
      </c>
      <c r="D1092">
        <v>0</v>
      </c>
      <c r="E1092" s="15">
        <v>0</v>
      </c>
      <c r="F1092">
        <v>0</v>
      </c>
      <c r="G1092">
        <v>0</v>
      </c>
      <c r="H1092">
        <f>IFERROR(VLOOKUP(CENTRAL[[#This Row],[Cód]],SUB[#All],4,0),0) + CENTRAL[[#This Row],[CMM]]</f>
        <v>0</v>
      </c>
    </row>
    <row r="1093" spans="1:8" x14ac:dyDescent="0.25">
      <c r="A1093">
        <v>200000678</v>
      </c>
      <c r="B1093" t="s">
        <v>1023</v>
      </c>
      <c r="C1093" t="s">
        <v>9</v>
      </c>
      <c r="D1093">
        <v>0</v>
      </c>
      <c r="E1093" s="15">
        <v>0</v>
      </c>
      <c r="F1093">
        <v>0</v>
      </c>
      <c r="G1093">
        <v>0</v>
      </c>
      <c r="H1093">
        <f>IFERROR(VLOOKUP(CENTRAL[[#This Row],[Cód]],SUB[#All],4,0),0) + CENTRAL[[#This Row],[CMM]]</f>
        <v>0</v>
      </c>
    </row>
    <row r="1094" spans="1:8" x14ac:dyDescent="0.25">
      <c r="A1094">
        <v>200000679</v>
      </c>
      <c r="B1094" t="s">
        <v>1024</v>
      </c>
      <c r="C1094" t="s">
        <v>9</v>
      </c>
      <c r="D1094">
        <v>0</v>
      </c>
      <c r="E1094" s="15">
        <v>0</v>
      </c>
      <c r="F1094">
        <v>0</v>
      </c>
      <c r="G1094">
        <v>0</v>
      </c>
      <c r="H1094">
        <f>IFERROR(VLOOKUP(CENTRAL[[#This Row],[Cód]],SUB[#All],4,0),0) + CENTRAL[[#This Row],[CMM]]</f>
        <v>0</v>
      </c>
    </row>
    <row r="1095" spans="1:8" x14ac:dyDescent="0.25">
      <c r="A1095">
        <v>200001583</v>
      </c>
      <c r="B1095" t="s">
        <v>1025</v>
      </c>
      <c r="C1095" t="s">
        <v>9</v>
      </c>
      <c r="D1095">
        <v>0</v>
      </c>
      <c r="E1095" s="15">
        <v>0</v>
      </c>
      <c r="F1095">
        <v>0</v>
      </c>
      <c r="G1095">
        <v>0</v>
      </c>
      <c r="H1095">
        <f>IFERROR(VLOOKUP(CENTRAL[[#This Row],[Cód]],SUB[#All],4,0),0) + CENTRAL[[#This Row],[CMM]]</f>
        <v>0</v>
      </c>
    </row>
    <row r="1096" spans="1:8" x14ac:dyDescent="0.25">
      <c r="A1096">
        <v>200002224</v>
      </c>
      <c r="B1096" t="s">
        <v>1026</v>
      </c>
      <c r="C1096" t="s">
        <v>9</v>
      </c>
      <c r="D1096">
        <v>4.91</v>
      </c>
      <c r="E1096" s="15">
        <v>82.27</v>
      </c>
      <c r="F1096">
        <v>0</v>
      </c>
      <c r="G1096">
        <v>51</v>
      </c>
      <c r="H1096">
        <f>IFERROR(VLOOKUP(CENTRAL[[#This Row],[Cód]],SUB[#All],4,0),0) + CENTRAL[[#This Row],[CMM]]</f>
        <v>6.07</v>
      </c>
    </row>
    <row r="1097" spans="1:8" x14ac:dyDescent="0.25">
      <c r="A1097">
        <v>200002222</v>
      </c>
      <c r="B1097" t="s">
        <v>1027</v>
      </c>
      <c r="C1097" t="s">
        <v>9</v>
      </c>
      <c r="D1097">
        <v>0</v>
      </c>
      <c r="E1097" s="15">
        <v>0</v>
      </c>
      <c r="F1097">
        <v>0</v>
      </c>
      <c r="G1097">
        <v>0</v>
      </c>
      <c r="H1097">
        <f>IFERROR(VLOOKUP(CENTRAL[[#This Row],[Cód]],SUB[#All],4,0),0) + CENTRAL[[#This Row],[CMM]]</f>
        <v>0</v>
      </c>
    </row>
    <row r="1098" spans="1:8" x14ac:dyDescent="0.25">
      <c r="A1098">
        <v>200005992</v>
      </c>
      <c r="B1098" t="s">
        <v>1028</v>
      </c>
      <c r="C1098" t="s">
        <v>9</v>
      </c>
      <c r="D1098">
        <v>0</v>
      </c>
      <c r="E1098" s="15">
        <v>0</v>
      </c>
      <c r="F1098">
        <v>0</v>
      </c>
      <c r="G1098">
        <v>0</v>
      </c>
      <c r="H1098">
        <f>IFERROR(VLOOKUP(CENTRAL[[#This Row],[Cód]],SUB[#All],4,0),0) + CENTRAL[[#This Row],[CMM]]</f>
        <v>0</v>
      </c>
    </row>
    <row r="1099" spans="1:8" x14ac:dyDescent="0.25">
      <c r="A1099">
        <v>200002340</v>
      </c>
      <c r="B1099" t="s">
        <v>1029</v>
      </c>
      <c r="C1099" t="s">
        <v>9</v>
      </c>
      <c r="D1099">
        <v>1</v>
      </c>
      <c r="E1099" s="15">
        <v>0</v>
      </c>
      <c r="F1099">
        <v>0</v>
      </c>
      <c r="G1099">
        <v>0</v>
      </c>
      <c r="H1099">
        <f>IFERROR(VLOOKUP(CENTRAL[[#This Row],[Cód]],SUB[#All],4,0),0) + CENTRAL[[#This Row],[CMM]]</f>
        <v>1</v>
      </c>
    </row>
    <row r="1100" spans="1:8" x14ac:dyDescent="0.25">
      <c r="A1100">
        <v>200007237</v>
      </c>
      <c r="B1100" t="s">
        <v>1030</v>
      </c>
      <c r="C1100" t="s">
        <v>9</v>
      </c>
      <c r="D1100">
        <v>0</v>
      </c>
      <c r="E1100" s="15">
        <v>3.06</v>
      </c>
      <c r="F1100">
        <v>0</v>
      </c>
      <c r="G1100">
        <v>48</v>
      </c>
      <c r="H1100">
        <f>IFERROR(VLOOKUP(CENTRAL[[#This Row],[Cód]],SUB[#All],4,0),0) + CENTRAL[[#This Row],[CMM]]</f>
        <v>0</v>
      </c>
    </row>
    <row r="1101" spans="1:8" x14ac:dyDescent="0.25">
      <c r="A1101">
        <v>200006079</v>
      </c>
      <c r="B1101" t="s">
        <v>1031</v>
      </c>
      <c r="C1101" t="s">
        <v>9</v>
      </c>
      <c r="D1101">
        <v>31.16</v>
      </c>
      <c r="E1101" s="15">
        <v>2.63</v>
      </c>
      <c r="F1101">
        <v>0</v>
      </c>
      <c r="G1101">
        <v>474</v>
      </c>
      <c r="H1101">
        <f>IFERROR(VLOOKUP(CENTRAL[[#This Row],[Cód]],SUB[#All],4,0),0) + CENTRAL[[#This Row],[CMM]]</f>
        <v>31.16</v>
      </c>
    </row>
    <row r="1102" spans="1:8" x14ac:dyDescent="0.25">
      <c r="A1102">
        <v>200004314</v>
      </c>
      <c r="B1102" t="s">
        <v>1032</v>
      </c>
      <c r="C1102" t="s">
        <v>9</v>
      </c>
      <c r="D1102">
        <v>0</v>
      </c>
      <c r="E1102" s="15">
        <v>0</v>
      </c>
      <c r="F1102">
        <v>0</v>
      </c>
      <c r="G1102">
        <v>0</v>
      </c>
      <c r="H1102">
        <f>IFERROR(VLOOKUP(CENTRAL[[#This Row],[Cód]],SUB[#All],4,0),0) + CENTRAL[[#This Row],[CMM]]</f>
        <v>0</v>
      </c>
    </row>
    <row r="1103" spans="1:8" x14ac:dyDescent="0.25">
      <c r="A1103">
        <v>200000682</v>
      </c>
      <c r="B1103" t="s">
        <v>1033</v>
      </c>
      <c r="C1103" t="s">
        <v>9</v>
      </c>
      <c r="D1103">
        <v>11.33</v>
      </c>
      <c r="E1103" s="15">
        <v>2.25</v>
      </c>
      <c r="F1103">
        <v>0</v>
      </c>
      <c r="G1103">
        <v>156</v>
      </c>
      <c r="H1103">
        <f>IFERROR(VLOOKUP(CENTRAL[[#This Row],[Cód]],SUB[#All],4,0),0) + CENTRAL[[#This Row],[CMM]]</f>
        <v>13.66</v>
      </c>
    </row>
    <row r="1104" spans="1:8" x14ac:dyDescent="0.25">
      <c r="A1104">
        <v>200000681</v>
      </c>
      <c r="B1104" t="s">
        <v>1034</v>
      </c>
      <c r="C1104" t="s">
        <v>9</v>
      </c>
      <c r="D1104">
        <v>0</v>
      </c>
      <c r="E1104" s="15">
        <v>0</v>
      </c>
      <c r="F1104">
        <v>0</v>
      </c>
      <c r="G1104">
        <v>0</v>
      </c>
      <c r="H1104">
        <f>IFERROR(VLOOKUP(CENTRAL[[#This Row],[Cód]],SUB[#All],4,0),0) + CENTRAL[[#This Row],[CMM]]</f>
        <v>0</v>
      </c>
    </row>
    <row r="1105" spans="1:8" x14ac:dyDescent="0.25">
      <c r="A1105">
        <v>200000683</v>
      </c>
      <c r="B1105" t="s">
        <v>1035</v>
      </c>
      <c r="C1105" t="s">
        <v>9</v>
      </c>
      <c r="D1105">
        <v>21.41</v>
      </c>
      <c r="E1105" s="15">
        <v>4.79</v>
      </c>
      <c r="F1105">
        <v>0</v>
      </c>
      <c r="G1105">
        <v>261</v>
      </c>
      <c r="H1105">
        <f>IFERROR(VLOOKUP(CENTRAL[[#This Row],[Cód]],SUB[#All],4,0),0) + CENTRAL[[#This Row],[CMM]]</f>
        <v>24.740000000000002</v>
      </c>
    </row>
    <row r="1106" spans="1:8" x14ac:dyDescent="0.25">
      <c r="A1106">
        <v>200001642</v>
      </c>
      <c r="B1106" t="s">
        <v>1036</v>
      </c>
      <c r="C1106" t="s">
        <v>9</v>
      </c>
      <c r="D1106">
        <v>13.75</v>
      </c>
      <c r="E1106" s="15">
        <v>6.81</v>
      </c>
      <c r="F1106">
        <v>0</v>
      </c>
      <c r="G1106">
        <v>90</v>
      </c>
      <c r="H1106">
        <f>IFERROR(VLOOKUP(CENTRAL[[#This Row],[Cód]],SUB[#All],4,0),0) + CENTRAL[[#This Row],[CMM]]</f>
        <v>14.41</v>
      </c>
    </row>
    <row r="1107" spans="1:8" x14ac:dyDescent="0.25">
      <c r="A1107">
        <v>200000684</v>
      </c>
      <c r="B1107" t="s">
        <v>1037</v>
      </c>
      <c r="C1107" t="s">
        <v>9</v>
      </c>
      <c r="D1107">
        <v>0</v>
      </c>
      <c r="E1107" s="15">
        <v>0</v>
      </c>
      <c r="F1107">
        <v>0</v>
      </c>
      <c r="G1107">
        <v>0</v>
      </c>
      <c r="H1107">
        <f>IFERROR(VLOOKUP(CENTRAL[[#This Row],[Cód]],SUB[#All],4,0),0) + CENTRAL[[#This Row],[CMM]]</f>
        <v>0</v>
      </c>
    </row>
    <row r="1108" spans="1:8" x14ac:dyDescent="0.25">
      <c r="A1108">
        <v>200006399</v>
      </c>
      <c r="B1108" t="s">
        <v>1038</v>
      </c>
      <c r="C1108" t="s">
        <v>9</v>
      </c>
      <c r="D1108">
        <v>0</v>
      </c>
      <c r="E1108" s="15">
        <v>10</v>
      </c>
      <c r="F1108">
        <v>0</v>
      </c>
      <c r="G1108">
        <v>42</v>
      </c>
      <c r="H1108">
        <f>IFERROR(VLOOKUP(CENTRAL[[#This Row],[Cód]],SUB[#All],4,0),0) + CENTRAL[[#This Row],[CMM]]</f>
        <v>0</v>
      </c>
    </row>
    <row r="1109" spans="1:8" x14ac:dyDescent="0.25">
      <c r="A1109">
        <v>200004671</v>
      </c>
      <c r="B1109" t="s">
        <v>1039</v>
      </c>
      <c r="C1109" t="s">
        <v>9</v>
      </c>
      <c r="D1109">
        <v>0</v>
      </c>
      <c r="E1109" s="15">
        <v>0</v>
      </c>
      <c r="F1109">
        <v>0</v>
      </c>
      <c r="G1109">
        <v>0</v>
      </c>
      <c r="H1109">
        <f>IFERROR(VLOOKUP(CENTRAL[[#This Row],[Cód]],SUB[#All],4,0),0) + CENTRAL[[#This Row],[CMM]]</f>
        <v>0</v>
      </c>
    </row>
    <row r="1110" spans="1:8" x14ac:dyDescent="0.25">
      <c r="A1110">
        <v>200000685</v>
      </c>
      <c r="B1110" t="s">
        <v>1040</v>
      </c>
      <c r="C1110" t="s">
        <v>9</v>
      </c>
      <c r="D1110">
        <v>0</v>
      </c>
      <c r="E1110" s="15">
        <v>0</v>
      </c>
      <c r="F1110">
        <v>0</v>
      </c>
      <c r="G1110">
        <v>0</v>
      </c>
      <c r="H1110">
        <f>IFERROR(VLOOKUP(CENTRAL[[#This Row],[Cód]],SUB[#All],4,0),0) + CENTRAL[[#This Row],[CMM]]</f>
        <v>0</v>
      </c>
    </row>
    <row r="1111" spans="1:8" x14ac:dyDescent="0.25">
      <c r="A1111">
        <v>200000717</v>
      </c>
      <c r="B1111" t="s">
        <v>1041</v>
      </c>
      <c r="C1111" t="s">
        <v>9</v>
      </c>
      <c r="D1111">
        <v>0</v>
      </c>
      <c r="E1111" s="15">
        <v>0</v>
      </c>
      <c r="F1111">
        <v>0</v>
      </c>
      <c r="G1111">
        <v>0</v>
      </c>
      <c r="H1111">
        <f>IFERROR(VLOOKUP(CENTRAL[[#This Row],[Cód]],SUB[#All],4,0),0) + CENTRAL[[#This Row],[CMM]]</f>
        <v>0</v>
      </c>
    </row>
    <row r="1112" spans="1:8" x14ac:dyDescent="0.25">
      <c r="A1112">
        <v>200005794</v>
      </c>
      <c r="B1112" t="s">
        <v>1042</v>
      </c>
      <c r="C1112" t="s">
        <v>9</v>
      </c>
      <c r="D1112">
        <v>0</v>
      </c>
      <c r="E1112" s="15">
        <v>0</v>
      </c>
      <c r="F1112">
        <v>0</v>
      </c>
      <c r="G1112">
        <v>0</v>
      </c>
      <c r="H1112">
        <f>IFERROR(VLOOKUP(CENTRAL[[#This Row],[Cód]],SUB[#All],4,0),0) + CENTRAL[[#This Row],[CMM]]</f>
        <v>0</v>
      </c>
    </row>
    <row r="1113" spans="1:8" x14ac:dyDescent="0.25">
      <c r="A1113">
        <v>200005796</v>
      </c>
      <c r="B1113" t="s">
        <v>1043</v>
      </c>
      <c r="C1113" t="s">
        <v>9</v>
      </c>
      <c r="D1113">
        <v>0</v>
      </c>
      <c r="E1113" s="15">
        <v>0</v>
      </c>
      <c r="F1113">
        <v>0</v>
      </c>
      <c r="G1113">
        <v>0</v>
      </c>
      <c r="H1113">
        <f>IFERROR(VLOOKUP(CENTRAL[[#This Row],[Cód]],SUB[#All],4,0),0) + CENTRAL[[#This Row],[CMM]]</f>
        <v>0</v>
      </c>
    </row>
    <row r="1114" spans="1:8" x14ac:dyDescent="0.25">
      <c r="A1114">
        <v>200003533</v>
      </c>
      <c r="B1114" t="s">
        <v>1044</v>
      </c>
      <c r="C1114" t="s">
        <v>9</v>
      </c>
      <c r="D1114">
        <v>0</v>
      </c>
      <c r="E1114" s="15">
        <v>0</v>
      </c>
      <c r="F1114">
        <v>0</v>
      </c>
      <c r="G1114">
        <v>0</v>
      </c>
      <c r="H1114">
        <f>IFERROR(VLOOKUP(CENTRAL[[#This Row],[Cód]],SUB[#All],4,0),0) + CENTRAL[[#This Row],[CMM]]</f>
        <v>0</v>
      </c>
    </row>
    <row r="1115" spans="1:8" x14ac:dyDescent="0.25">
      <c r="A1115">
        <v>200003673</v>
      </c>
      <c r="B1115" t="s">
        <v>1045</v>
      </c>
      <c r="C1115" t="s">
        <v>9</v>
      </c>
      <c r="D1115">
        <v>3.58</v>
      </c>
      <c r="E1115" s="15">
        <v>19.170000000000002</v>
      </c>
      <c r="F1115">
        <v>0</v>
      </c>
      <c r="G1115">
        <v>10</v>
      </c>
      <c r="H1115">
        <f>IFERROR(VLOOKUP(CENTRAL[[#This Row],[Cód]],SUB[#All],4,0),0) + CENTRAL[[#This Row],[CMM]]</f>
        <v>4.33</v>
      </c>
    </row>
    <row r="1116" spans="1:8" x14ac:dyDescent="0.25">
      <c r="A1116">
        <v>200000695</v>
      </c>
      <c r="B1116" t="s">
        <v>1046</v>
      </c>
      <c r="C1116" t="s">
        <v>9</v>
      </c>
      <c r="D1116">
        <v>0</v>
      </c>
      <c r="E1116" s="15">
        <v>0</v>
      </c>
      <c r="F1116">
        <v>0</v>
      </c>
      <c r="G1116">
        <v>0</v>
      </c>
      <c r="H1116">
        <f>IFERROR(VLOOKUP(CENTRAL[[#This Row],[Cód]],SUB[#All],4,0),0) + CENTRAL[[#This Row],[CMM]]</f>
        <v>0</v>
      </c>
    </row>
    <row r="1117" spans="1:8" x14ac:dyDescent="0.25">
      <c r="A1117">
        <v>200000696</v>
      </c>
      <c r="B1117" t="s">
        <v>1047</v>
      </c>
      <c r="C1117" t="s">
        <v>9</v>
      </c>
      <c r="D1117">
        <v>0</v>
      </c>
      <c r="E1117" s="15">
        <v>0</v>
      </c>
      <c r="F1117">
        <v>0</v>
      </c>
      <c r="G1117">
        <v>0</v>
      </c>
      <c r="H1117">
        <f>IFERROR(VLOOKUP(CENTRAL[[#This Row],[Cód]],SUB[#All],4,0),0) + CENTRAL[[#This Row],[CMM]]</f>
        <v>0</v>
      </c>
    </row>
    <row r="1118" spans="1:8" x14ac:dyDescent="0.25">
      <c r="A1118">
        <v>200003665</v>
      </c>
      <c r="B1118" t="s">
        <v>1048</v>
      </c>
      <c r="C1118" t="s">
        <v>9</v>
      </c>
      <c r="D1118">
        <v>0</v>
      </c>
      <c r="E1118" s="15">
        <v>107.29</v>
      </c>
      <c r="F1118">
        <v>0</v>
      </c>
      <c r="G1118">
        <v>10</v>
      </c>
      <c r="H1118">
        <f>IFERROR(VLOOKUP(CENTRAL[[#This Row],[Cód]],SUB[#All],4,0),0) + CENTRAL[[#This Row],[CMM]]</f>
        <v>0</v>
      </c>
    </row>
    <row r="1119" spans="1:8" x14ac:dyDescent="0.25">
      <c r="A1119">
        <v>200003666</v>
      </c>
      <c r="B1119" t="s">
        <v>1049</v>
      </c>
      <c r="C1119" t="s">
        <v>9</v>
      </c>
      <c r="D1119">
        <v>0</v>
      </c>
      <c r="E1119" s="15">
        <v>0</v>
      </c>
      <c r="F1119">
        <v>0</v>
      </c>
      <c r="G1119">
        <v>0</v>
      </c>
      <c r="H1119">
        <f>IFERROR(VLOOKUP(CENTRAL[[#This Row],[Cód]],SUB[#All],4,0),0) + CENTRAL[[#This Row],[CMM]]</f>
        <v>0</v>
      </c>
    </row>
    <row r="1120" spans="1:8" x14ac:dyDescent="0.25">
      <c r="A1120">
        <v>200003667</v>
      </c>
      <c r="B1120" t="s">
        <v>1050</v>
      </c>
      <c r="C1120" t="s">
        <v>9</v>
      </c>
      <c r="D1120">
        <v>0</v>
      </c>
      <c r="E1120" s="15">
        <v>0</v>
      </c>
      <c r="F1120">
        <v>0</v>
      </c>
      <c r="G1120">
        <v>0</v>
      </c>
      <c r="H1120">
        <f>IFERROR(VLOOKUP(CENTRAL[[#This Row],[Cód]],SUB[#All],4,0),0) + CENTRAL[[#This Row],[CMM]]</f>
        <v>0</v>
      </c>
    </row>
    <row r="1121" spans="1:8" x14ac:dyDescent="0.25">
      <c r="A1121">
        <v>200003668</v>
      </c>
      <c r="B1121" t="s">
        <v>1051</v>
      </c>
      <c r="C1121" t="s">
        <v>9</v>
      </c>
      <c r="D1121">
        <v>0.83</v>
      </c>
      <c r="E1121" s="15">
        <v>0</v>
      </c>
      <c r="F1121">
        <v>0</v>
      </c>
      <c r="G1121">
        <v>0</v>
      </c>
      <c r="H1121">
        <f>IFERROR(VLOOKUP(CENTRAL[[#This Row],[Cód]],SUB[#All],4,0),0) + CENTRAL[[#This Row],[CMM]]</f>
        <v>0.83</v>
      </c>
    </row>
    <row r="1122" spans="1:8" x14ac:dyDescent="0.25">
      <c r="A1122">
        <v>200003669</v>
      </c>
      <c r="B1122" t="s">
        <v>1052</v>
      </c>
      <c r="C1122" t="s">
        <v>9</v>
      </c>
      <c r="D1122">
        <v>0</v>
      </c>
      <c r="E1122" s="15">
        <v>0</v>
      </c>
      <c r="F1122">
        <v>0</v>
      </c>
      <c r="G1122">
        <v>0</v>
      </c>
      <c r="H1122">
        <f>IFERROR(VLOOKUP(CENTRAL[[#This Row],[Cód]],SUB[#All],4,0),0) + CENTRAL[[#This Row],[CMM]]</f>
        <v>0</v>
      </c>
    </row>
    <row r="1123" spans="1:8" x14ac:dyDescent="0.25">
      <c r="A1123">
        <v>200003670</v>
      </c>
      <c r="B1123" t="s">
        <v>1053</v>
      </c>
      <c r="C1123" t="s">
        <v>9</v>
      </c>
      <c r="D1123">
        <v>0.16</v>
      </c>
      <c r="E1123" s="15">
        <v>61.9</v>
      </c>
      <c r="F1123">
        <v>0</v>
      </c>
      <c r="G1123">
        <v>8</v>
      </c>
      <c r="H1123">
        <f>IFERROR(VLOOKUP(CENTRAL[[#This Row],[Cód]],SUB[#All],4,0),0) + CENTRAL[[#This Row],[CMM]]</f>
        <v>0.16</v>
      </c>
    </row>
    <row r="1124" spans="1:8" x14ac:dyDescent="0.25">
      <c r="A1124">
        <v>200000687</v>
      </c>
      <c r="B1124" t="s">
        <v>1054</v>
      </c>
      <c r="C1124" t="s">
        <v>9</v>
      </c>
      <c r="D1124">
        <v>1.66</v>
      </c>
      <c r="E1124" s="15">
        <v>0</v>
      </c>
      <c r="F1124">
        <v>0</v>
      </c>
      <c r="G1124">
        <v>0</v>
      </c>
      <c r="H1124">
        <f>IFERROR(VLOOKUP(CENTRAL[[#This Row],[Cód]],SUB[#All],4,0),0) + CENTRAL[[#This Row],[CMM]]</f>
        <v>1.66</v>
      </c>
    </row>
    <row r="1125" spans="1:8" x14ac:dyDescent="0.25">
      <c r="A1125">
        <v>200002043</v>
      </c>
      <c r="B1125" t="s">
        <v>1055</v>
      </c>
      <c r="C1125" t="s">
        <v>9</v>
      </c>
      <c r="D1125">
        <v>5</v>
      </c>
      <c r="E1125" s="15">
        <v>0</v>
      </c>
      <c r="F1125">
        <v>0</v>
      </c>
      <c r="G1125">
        <v>0</v>
      </c>
      <c r="H1125">
        <f>IFERROR(VLOOKUP(CENTRAL[[#This Row],[Cód]],SUB[#All],4,0),0) + CENTRAL[[#This Row],[CMM]]</f>
        <v>5</v>
      </c>
    </row>
    <row r="1126" spans="1:8" x14ac:dyDescent="0.25">
      <c r="A1126">
        <v>200001046</v>
      </c>
      <c r="B1126" t="s">
        <v>1056</v>
      </c>
      <c r="C1126" t="s">
        <v>9</v>
      </c>
      <c r="D1126">
        <v>6.16</v>
      </c>
      <c r="E1126" s="15">
        <v>30</v>
      </c>
      <c r="F1126">
        <v>0</v>
      </c>
      <c r="G1126">
        <v>26</v>
      </c>
      <c r="H1126">
        <f>IFERROR(VLOOKUP(CENTRAL[[#This Row],[Cód]],SUB[#All],4,0),0) + CENTRAL[[#This Row],[CMM]]</f>
        <v>6.16</v>
      </c>
    </row>
    <row r="1127" spans="1:8" x14ac:dyDescent="0.25">
      <c r="A1127">
        <v>200000688</v>
      </c>
      <c r="B1127" t="s">
        <v>1057</v>
      </c>
      <c r="C1127" t="s">
        <v>9</v>
      </c>
      <c r="D1127">
        <v>0.66</v>
      </c>
      <c r="E1127" s="15">
        <v>0</v>
      </c>
      <c r="F1127">
        <v>0</v>
      </c>
      <c r="G1127">
        <v>0</v>
      </c>
      <c r="H1127">
        <f>IFERROR(VLOOKUP(CENTRAL[[#This Row],[Cód]],SUB[#All],4,0),0) + CENTRAL[[#This Row],[CMM]]</f>
        <v>0.66</v>
      </c>
    </row>
    <row r="1128" spans="1:8" x14ac:dyDescent="0.25">
      <c r="A1128">
        <v>200000688</v>
      </c>
      <c r="B1128" t="s">
        <v>1057</v>
      </c>
      <c r="C1128" t="s">
        <v>9</v>
      </c>
      <c r="D1128">
        <v>0.66</v>
      </c>
      <c r="E1128" s="15">
        <v>0</v>
      </c>
      <c r="F1128">
        <v>0</v>
      </c>
      <c r="G1128">
        <v>0</v>
      </c>
      <c r="H1128">
        <f>IFERROR(VLOOKUP(CENTRAL[[#This Row],[Cód]],SUB[#All],4,0),0) + CENTRAL[[#This Row],[CMM]]</f>
        <v>0.66</v>
      </c>
    </row>
    <row r="1129" spans="1:8" x14ac:dyDescent="0.25">
      <c r="A1129">
        <v>200002045</v>
      </c>
      <c r="B1129" t="s">
        <v>1058</v>
      </c>
      <c r="C1129" t="s">
        <v>9</v>
      </c>
      <c r="D1129">
        <v>0.33</v>
      </c>
      <c r="E1129" s="15">
        <v>0</v>
      </c>
      <c r="F1129">
        <v>0</v>
      </c>
      <c r="G1129">
        <v>0</v>
      </c>
      <c r="H1129">
        <f>IFERROR(VLOOKUP(CENTRAL[[#This Row],[Cód]],SUB[#All],4,0),0) + CENTRAL[[#This Row],[CMM]]</f>
        <v>0.33</v>
      </c>
    </row>
    <row r="1130" spans="1:8" x14ac:dyDescent="0.25">
      <c r="A1130">
        <v>200000697</v>
      </c>
      <c r="B1130" t="s">
        <v>1059</v>
      </c>
      <c r="C1130" t="s">
        <v>9</v>
      </c>
      <c r="D1130">
        <v>0</v>
      </c>
      <c r="E1130" s="15">
        <v>0</v>
      </c>
      <c r="F1130">
        <v>0</v>
      </c>
      <c r="G1130">
        <v>0</v>
      </c>
      <c r="H1130">
        <f>IFERROR(VLOOKUP(CENTRAL[[#This Row],[Cód]],SUB[#All],4,0),0) + CENTRAL[[#This Row],[CMM]]</f>
        <v>0</v>
      </c>
    </row>
    <row r="1131" spans="1:8" x14ac:dyDescent="0.25">
      <c r="A1131">
        <v>200002047</v>
      </c>
      <c r="B1131" t="s">
        <v>1060</v>
      </c>
      <c r="C1131" t="s">
        <v>9</v>
      </c>
      <c r="D1131">
        <v>0.08</v>
      </c>
      <c r="E1131" s="15">
        <v>139</v>
      </c>
      <c r="F1131">
        <v>0</v>
      </c>
      <c r="G1131">
        <v>1</v>
      </c>
      <c r="H1131">
        <f>IFERROR(VLOOKUP(CENTRAL[[#This Row],[Cód]],SUB[#All],4,0),0) + CENTRAL[[#This Row],[CMM]]</f>
        <v>0.08</v>
      </c>
    </row>
    <row r="1132" spans="1:8" x14ac:dyDescent="0.25">
      <c r="A1132">
        <v>200003580</v>
      </c>
      <c r="B1132" t="s">
        <v>1061</v>
      </c>
      <c r="C1132" t="s">
        <v>9</v>
      </c>
      <c r="D1132">
        <v>0</v>
      </c>
      <c r="E1132" s="15">
        <v>330</v>
      </c>
      <c r="F1132">
        <v>0</v>
      </c>
      <c r="G1132">
        <v>5</v>
      </c>
      <c r="H1132">
        <f>IFERROR(VLOOKUP(CENTRAL[[#This Row],[Cód]],SUB[#All],4,0),0) + CENTRAL[[#This Row],[CMM]]</f>
        <v>0</v>
      </c>
    </row>
    <row r="1133" spans="1:8" x14ac:dyDescent="0.25">
      <c r="A1133">
        <v>200003581</v>
      </c>
      <c r="B1133" t="s">
        <v>1062</v>
      </c>
      <c r="C1133" t="s">
        <v>9</v>
      </c>
      <c r="D1133">
        <v>0</v>
      </c>
      <c r="E1133" s="15">
        <v>119.14</v>
      </c>
      <c r="F1133">
        <v>0</v>
      </c>
      <c r="G1133">
        <v>2</v>
      </c>
      <c r="H1133">
        <f>IFERROR(VLOOKUP(CENTRAL[[#This Row],[Cód]],SUB[#All],4,0),0) + CENTRAL[[#This Row],[CMM]]</f>
        <v>0</v>
      </c>
    </row>
    <row r="1134" spans="1:8" x14ac:dyDescent="0.25">
      <c r="A1134">
        <v>200002040</v>
      </c>
      <c r="B1134" t="s">
        <v>1063</v>
      </c>
      <c r="C1134" t="s">
        <v>9</v>
      </c>
      <c r="D1134">
        <v>2.16</v>
      </c>
      <c r="E1134" s="15">
        <v>59.09</v>
      </c>
      <c r="F1134">
        <v>0</v>
      </c>
      <c r="G1134">
        <v>14</v>
      </c>
      <c r="H1134">
        <f>IFERROR(VLOOKUP(CENTRAL[[#This Row],[Cód]],SUB[#All],4,0),0) + CENTRAL[[#This Row],[CMM]]</f>
        <v>2.16</v>
      </c>
    </row>
    <row r="1135" spans="1:8" x14ac:dyDescent="0.25">
      <c r="A1135">
        <v>200001587</v>
      </c>
      <c r="B1135" t="s">
        <v>1064</v>
      </c>
      <c r="C1135" t="s">
        <v>9</v>
      </c>
      <c r="D1135">
        <v>0</v>
      </c>
      <c r="E1135" s="15">
        <v>0</v>
      </c>
      <c r="F1135">
        <v>0</v>
      </c>
      <c r="G1135">
        <v>0</v>
      </c>
      <c r="H1135">
        <f>IFERROR(VLOOKUP(CENTRAL[[#This Row],[Cód]],SUB[#All],4,0),0) + CENTRAL[[#This Row],[CMM]]</f>
        <v>0.16</v>
      </c>
    </row>
    <row r="1136" spans="1:8" x14ac:dyDescent="0.25">
      <c r="A1136">
        <v>200000686</v>
      </c>
      <c r="B1136" t="s">
        <v>1065</v>
      </c>
      <c r="C1136" t="s">
        <v>9</v>
      </c>
      <c r="D1136">
        <v>0.41</v>
      </c>
      <c r="E1136" s="15">
        <v>18.260000000000002</v>
      </c>
      <c r="F1136">
        <v>0</v>
      </c>
      <c r="G1136">
        <v>19</v>
      </c>
      <c r="H1136">
        <f>IFERROR(VLOOKUP(CENTRAL[[#This Row],[Cód]],SUB[#All],4,0),0) + CENTRAL[[#This Row],[CMM]]</f>
        <v>0.56999999999999995</v>
      </c>
    </row>
    <row r="1137" spans="1:8" x14ac:dyDescent="0.25">
      <c r="A1137">
        <v>200001584</v>
      </c>
      <c r="B1137" t="s">
        <v>1066</v>
      </c>
      <c r="C1137" t="s">
        <v>9</v>
      </c>
      <c r="D1137">
        <v>0</v>
      </c>
      <c r="E1137" s="15">
        <v>0</v>
      </c>
      <c r="F1137">
        <v>0</v>
      </c>
      <c r="G1137">
        <v>0</v>
      </c>
      <c r="H1137">
        <f>IFERROR(VLOOKUP(CENTRAL[[#This Row],[Cód]],SUB[#All],4,0),0) + CENTRAL[[#This Row],[CMM]]</f>
        <v>0</v>
      </c>
    </row>
    <row r="1138" spans="1:8" x14ac:dyDescent="0.25">
      <c r="A1138">
        <v>200001044</v>
      </c>
      <c r="B1138" t="s">
        <v>1067</v>
      </c>
      <c r="C1138" t="s">
        <v>9</v>
      </c>
      <c r="D1138">
        <v>0</v>
      </c>
      <c r="E1138" s="15">
        <v>0</v>
      </c>
      <c r="F1138">
        <v>0</v>
      </c>
      <c r="G1138">
        <v>0</v>
      </c>
      <c r="H1138">
        <f>IFERROR(VLOOKUP(CENTRAL[[#This Row],[Cód]],SUB[#All],4,0),0) + CENTRAL[[#This Row],[CMM]]</f>
        <v>0</v>
      </c>
    </row>
    <row r="1139" spans="1:8" x14ac:dyDescent="0.25">
      <c r="A1139">
        <v>200001585</v>
      </c>
      <c r="B1139" t="s">
        <v>1067</v>
      </c>
      <c r="C1139" t="s">
        <v>9</v>
      </c>
      <c r="D1139">
        <v>0.75</v>
      </c>
      <c r="E1139" s="15">
        <v>27.17</v>
      </c>
      <c r="F1139">
        <v>0</v>
      </c>
      <c r="G1139">
        <v>31</v>
      </c>
      <c r="H1139">
        <f>IFERROR(VLOOKUP(CENTRAL[[#This Row],[Cód]],SUB[#All],4,0),0) + CENTRAL[[#This Row],[CMM]]</f>
        <v>1.5</v>
      </c>
    </row>
    <row r="1140" spans="1:8" x14ac:dyDescent="0.25">
      <c r="A1140">
        <v>200001045</v>
      </c>
      <c r="B1140" t="s">
        <v>1068</v>
      </c>
      <c r="C1140" t="s">
        <v>9</v>
      </c>
      <c r="D1140">
        <v>2.91</v>
      </c>
      <c r="E1140" s="15">
        <v>42.34</v>
      </c>
      <c r="F1140">
        <v>0</v>
      </c>
      <c r="G1140">
        <v>44</v>
      </c>
      <c r="H1140">
        <f>IFERROR(VLOOKUP(CENTRAL[[#This Row],[Cód]],SUB[#All],4,0),0) + CENTRAL[[#This Row],[CMM]]</f>
        <v>2.91</v>
      </c>
    </row>
    <row r="1141" spans="1:8" x14ac:dyDescent="0.25">
      <c r="A1141">
        <v>200001586</v>
      </c>
      <c r="B1141" t="s">
        <v>1069</v>
      </c>
      <c r="C1141" t="s">
        <v>9</v>
      </c>
      <c r="D1141">
        <v>0</v>
      </c>
      <c r="E1141" s="15">
        <v>0</v>
      </c>
      <c r="F1141">
        <v>0</v>
      </c>
      <c r="G1141">
        <v>0</v>
      </c>
      <c r="H1141">
        <f>IFERROR(VLOOKUP(CENTRAL[[#This Row],[Cód]],SUB[#All],4,0),0) + CENTRAL[[#This Row],[CMM]]</f>
        <v>0</v>
      </c>
    </row>
    <row r="1142" spans="1:8" x14ac:dyDescent="0.25">
      <c r="A1142">
        <v>200006410</v>
      </c>
      <c r="B1142" t="s">
        <v>1070</v>
      </c>
      <c r="C1142" t="s">
        <v>9</v>
      </c>
      <c r="D1142">
        <v>0</v>
      </c>
      <c r="E1142" s="15">
        <v>0</v>
      </c>
      <c r="F1142">
        <v>0</v>
      </c>
      <c r="G1142">
        <v>0</v>
      </c>
      <c r="H1142">
        <f>IFERROR(VLOOKUP(CENTRAL[[#This Row],[Cód]],SUB[#All],4,0),0) + CENTRAL[[#This Row],[CMM]]</f>
        <v>0</v>
      </c>
    </row>
    <row r="1143" spans="1:8" x14ac:dyDescent="0.25">
      <c r="A1143">
        <v>200005430</v>
      </c>
      <c r="B1143" t="s">
        <v>1071</v>
      </c>
      <c r="C1143" t="s">
        <v>9</v>
      </c>
      <c r="D1143">
        <v>0</v>
      </c>
      <c r="E1143" s="15">
        <v>0</v>
      </c>
      <c r="F1143">
        <v>0</v>
      </c>
      <c r="G1143">
        <v>0</v>
      </c>
      <c r="H1143">
        <f>IFERROR(VLOOKUP(CENTRAL[[#This Row],[Cód]],SUB[#All],4,0),0) + CENTRAL[[#This Row],[CMM]]</f>
        <v>0</v>
      </c>
    </row>
    <row r="1144" spans="1:8" x14ac:dyDescent="0.25">
      <c r="A1144">
        <v>200004626</v>
      </c>
      <c r="B1144" t="s">
        <v>1072</v>
      </c>
      <c r="C1144" t="s">
        <v>108</v>
      </c>
      <c r="D1144">
        <v>0</v>
      </c>
      <c r="E1144" s="15">
        <v>0</v>
      </c>
      <c r="F1144">
        <v>0</v>
      </c>
      <c r="G1144">
        <v>0</v>
      </c>
      <c r="H1144">
        <f>IFERROR(VLOOKUP(CENTRAL[[#This Row],[Cód]],SUB[#All],4,0),0) + CENTRAL[[#This Row],[CMM]]</f>
        <v>0</v>
      </c>
    </row>
    <row r="1145" spans="1:8" x14ac:dyDescent="0.25">
      <c r="A1145">
        <v>200004627</v>
      </c>
      <c r="B1145" t="s">
        <v>1073</v>
      </c>
      <c r="C1145" t="s">
        <v>108</v>
      </c>
      <c r="D1145">
        <v>0</v>
      </c>
      <c r="E1145" s="15">
        <v>0</v>
      </c>
      <c r="F1145">
        <v>0</v>
      </c>
      <c r="G1145">
        <v>0</v>
      </c>
      <c r="H1145">
        <f>IFERROR(VLOOKUP(CENTRAL[[#This Row],[Cód]],SUB[#All],4,0),0) + CENTRAL[[#This Row],[CMM]]</f>
        <v>0</v>
      </c>
    </row>
    <row r="1146" spans="1:8" x14ac:dyDescent="0.25">
      <c r="A1146">
        <v>200006576</v>
      </c>
      <c r="B1146" t="s">
        <v>1074</v>
      </c>
      <c r="C1146" t="s">
        <v>9</v>
      </c>
      <c r="D1146">
        <v>0</v>
      </c>
      <c r="E1146" s="15">
        <v>0</v>
      </c>
      <c r="F1146">
        <v>0</v>
      </c>
      <c r="G1146">
        <v>0</v>
      </c>
      <c r="H1146">
        <f>IFERROR(VLOOKUP(CENTRAL[[#This Row],[Cód]],SUB[#All],4,0),0) + CENTRAL[[#This Row],[CMM]]</f>
        <v>0</v>
      </c>
    </row>
    <row r="1147" spans="1:8" x14ac:dyDescent="0.25">
      <c r="A1147">
        <v>200002167</v>
      </c>
      <c r="B1147" t="s">
        <v>1075</v>
      </c>
      <c r="C1147" t="s">
        <v>9</v>
      </c>
      <c r="D1147">
        <v>0</v>
      </c>
      <c r="E1147" s="15">
        <v>0</v>
      </c>
      <c r="F1147">
        <v>0</v>
      </c>
      <c r="G1147">
        <v>0</v>
      </c>
      <c r="H1147">
        <f>IFERROR(VLOOKUP(CENTRAL[[#This Row],[Cód]],SUB[#All],4,0),0) + CENTRAL[[#This Row],[CMM]]</f>
        <v>0</v>
      </c>
    </row>
    <row r="1148" spans="1:8" x14ac:dyDescent="0.25">
      <c r="A1148">
        <v>200003430</v>
      </c>
      <c r="B1148" t="s">
        <v>1076</v>
      </c>
      <c r="C1148" t="s">
        <v>9</v>
      </c>
      <c r="D1148">
        <v>0</v>
      </c>
      <c r="E1148" s="15">
        <v>0</v>
      </c>
      <c r="F1148">
        <v>0</v>
      </c>
      <c r="G1148">
        <v>0</v>
      </c>
      <c r="H1148">
        <f>IFERROR(VLOOKUP(CENTRAL[[#This Row],[Cód]],SUB[#All],4,0),0) + CENTRAL[[#This Row],[CMM]]</f>
        <v>0</v>
      </c>
    </row>
    <row r="1149" spans="1:8" x14ac:dyDescent="0.25">
      <c r="A1149">
        <v>200002166</v>
      </c>
      <c r="B1149" t="s">
        <v>1077</v>
      </c>
      <c r="C1149" t="s">
        <v>9</v>
      </c>
      <c r="D1149">
        <v>3.33</v>
      </c>
      <c r="E1149" s="15">
        <v>31.5</v>
      </c>
      <c r="F1149">
        <v>0</v>
      </c>
      <c r="G1149">
        <v>21</v>
      </c>
      <c r="H1149">
        <f>IFERROR(VLOOKUP(CENTRAL[[#This Row],[Cód]],SUB[#All],4,0),0) + CENTRAL[[#This Row],[CMM]]</f>
        <v>3.33</v>
      </c>
    </row>
    <row r="1150" spans="1:8" x14ac:dyDescent="0.25">
      <c r="A1150">
        <v>200005832</v>
      </c>
      <c r="B1150" t="s">
        <v>1078</v>
      </c>
      <c r="C1150" t="s">
        <v>9</v>
      </c>
      <c r="D1150">
        <v>0</v>
      </c>
      <c r="E1150" s="15">
        <v>0</v>
      </c>
      <c r="F1150">
        <v>0</v>
      </c>
      <c r="G1150">
        <v>0</v>
      </c>
      <c r="H1150">
        <f>IFERROR(VLOOKUP(CENTRAL[[#This Row],[Cód]],SUB[#All],4,0),0) + CENTRAL[[#This Row],[CMM]]</f>
        <v>0</v>
      </c>
    </row>
    <row r="1151" spans="1:8" x14ac:dyDescent="0.25">
      <c r="A1151">
        <v>200002351</v>
      </c>
      <c r="B1151" t="s">
        <v>1079</v>
      </c>
      <c r="C1151" t="s">
        <v>9</v>
      </c>
      <c r="D1151">
        <v>0.08</v>
      </c>
      <c r="E1151" s="15">
        <v>26</v>
      </c>
      <c r="F1151">
        <v>0</v>
      </c>
      <c r="G1151">
        <v>3</v>
      </c>
      <c r="H1151">
        <f>IFERROR(VLOOKUP(CENTRAL[[#This Row],[Cód]],SUB[#All],4,0),0) + CENTRAL[[#This Row],[CMM]]</f>
        <v>0.08</v>
      </c>
    </row>
    <row r="1152" spans="1:8" x14ac:dyDescent="0.25">
      <c r="A1152">
        <v>200002352</v>
      </c>
      <c r="B1152" t="s">
        <v>1080</v>
      </c>
      <c r="C1152" t="s">
        <v>9</v>
      </c>
      <c r="D1152">
        <v>1</v>
      </c>
      <c r="E1152" s="15">
        <v>30.11</v>
      </c>
      <c r="F1152">
        <v>0</v>
      </c>
      <c r="G1152">
        <v>19</v>
      </c>
      <c r="H1152">
        <f>IFERROR(VLOOKUP(CENTRAL[[#This Row],[Cód]],SUB[#All],4,0),0) + CENTRAL[[#This Row],[CMM]]</f>
        <v>1.33</v>
      </c>
    </row>
    <row r="1153" spans="1:8" x14ac:dyDescent="0.25">
      <c r="A1153">
        <v>200003623</v>
      </c>
      <c r="B1153" t="s">
        <v>1081</v>
      </c>
      <c r="C1153" t="s">
        <v>9</v>
      </c>
      <c r="D1153">
        <v>0</v>
      </c>
      <c r="E1153" s="15">
        <v>6.3</v>
      </c>
      <c r="F1153">
        <v>0</v>
      </c>
      <c r="G1153">
        <v>15</v>
      </c>
      <c r="H1153">
        <f>IFERROR(VLOOKUP(CENTRAL[[#This Row],[Cód]],SUB[#All],4,0),0) + CENTRAL[[#This Row],[CMM]]</f>
        <v>0.08</v>
      </c>
    </row>
    <row r="1154" spans="1:8" x14ac:dyDescent="0.25">
      <c r="A1154">
        <v>200003657</v>
      </c>
      <c r="B1154" t="s">
        <v>1082</v>
      </c>
      <c r="C1154" t="s">
        <v>9</v>
      </c>
      <c r="D1154">
        <v>0</v>
      </c>
      <c r="E1154" s="15">
        <v>0</v>
      </c>
      <c r="F1154">
        <v>0</v>
      </c>
      <c r="G1154">
        <v>0</v>
      </c>
      <c r="H1154">
        <f>IFERROR(VLOOKUP(CENTRAL[[#This Row],[Cód]],SUB[#All],4,0),0) + CENTRAL[[#This Row],[CMM]]</f>
        <v>0.08</v>
      </c>
    </row>
    <row r="1155" spans="1:8" x14ac:dyDescent="0.25">
      <c r="A1155">
        <v>200003658</v>
      </c>
      <c r="B1155" t="s">
        <v>1083</v>
      </c>
      <c r="C1155" t="s">
        <v>9</v>
      </c>
      <c r="D1155">
        <v>0</v>
      </c>
      <c r="E1155" s="15">
        <v>0</v>
      </c>
      <c r="F1155">
        <v>0</v>
      </c>
      <c r="G1155">
        <v>0</v>
      </c>
      <c r="H1155">
        <f>IFERROR(VLOOKUP(CENTRAL[[#This Row],[Cód]],SUB[#All],4,0),0) + CENTRAL[[#This Row],[CMM]]</f>
        <v>0</v>
      </c>
    </row>
    <row r="1156" spans="1:8" x14ac:dyDescent="0.25">
      <c r="A1156">
        <v>200003659</v>
      </c>
      <c r="B1156" t="s">
        <v>1084</v>
      </c>
      <c r="C1156" t="s">
        <v>9</v>
      </c>
      <c r="D1156">
        <v>0</v>
      </c>
      <c r="E1156" s="15">
        <v>0</v>
      </c>
      <c r="F1156">
        <v>0</v>
      </c>
      <c r="G1156">
        <v>0</v>
      </c>
      <c r="H1156">
        <f>IFERROR(VLOOKUP(CENTRAL[[#This Row],[Cód]],SUB[#All],4,0),0) + CENTRAL[[#This Row],[CMM]]</f>
        <v>0</v>
      </c>
    </row>
    <row r="1157" spans="1:8" x14ac:dyDescent="0.25">
      <c r="A1157">
        <v>200003660</v>
      </c>
      <c r="B1157" t="s">
        <v>1085</v>
      </c>
      <c r="C1157" t="s">
        <v>9</v>
      </c>
      <c r="D1157">
        <v>0</v>
      </c>
      <c r="E1157" s="15">
        <v>0</v>
      </c>
      <c r="F1157">
        <v>0</v>
      </c>
      <c r="G1157">
        <v>0</v>
      </c>
      <c r="H1157">
        <f>IFERROR(VLOOKUP(CENTRAL[[#This Row],[Cód]],SUB[#All],4,0),0) + CENTRAL[[#This Row],[CMM]]</f>
        <v>0</v>
      </c>
    </row>
    <row r="1158" spans="1:8" x14ac:dyDescent="0.25">
      <c r="A1158">
        <v>200003661</v>
      </c>
      <c r="B1158" t="s">
        <v>1086</v>
      </c>
      <c r="C1158" t="s">
        <v>9</v>
      </c>
      <c r="D1158">
        <v>0</v>
      </c>
      <c r="E1158" s="15">
        <v>0</v>
      </c>
      <c r="F1158">
        <v>0</v>
      </c>
      <c r="G1158">
        <v>0</v>
      </c>
      <c r="H1158">
        <f>IFERROR(VLOOKUP(CENTRAL[[#This Row],[Cód]],SUB[#All],4,0),0) + CENTRAL[[#This Row],[CMM]]</f>
        <v>0</v>
      </c>
    </row>
    <row r="1159" spans="1:8" x14ac:dyDescent="0.25">
      <c r="A1159">
        <v>200003604</v>
      </c>
      <c r="B1159" t="s">
        <v>1087</v>
      </c>
      <c r="C1159" t="s">
        <v>9</v>
      </c>
      <c r="D1159">
        <v>0</v>
      </c>
      <c r="E1159" s="15">
        <v>3.42</v>
      </c>
      <c r="F1159">
        <v>0</v>
      </c>
      <c r="G1159">
        <v>27</v>
      </c>
      <c r="H1159">
        <f>IFERROR(VLOOKUP(CENTRAL[[#This Row],[Cód]],SUB[#All],4,0),0) + CENTRAL[[#This Row],[CMM]]</f>
        <v>0</v>
      </c>
    </row>
    <row r="1160" spans="1:8" x14ac:dyDescent="0.25">
      <c r="A1160">
        <v>200003605</v>
      </c>
      <c r="B1160" t="s">
        <v>1088</v>
      </c>
      <c r="C1160" t="s">
        <v>9</v>
      </c>
      <c r="D1160">
        <v>1.83</v>
      </c>
      <c r="E1160" s="15">
        <v>0</v>
      </c>
      <c r="F1160">
        <v>0</v>
      </c>
      <c r="G1160">
        <v>0</v>
      </c>
      <c r="H1160">
        <f>IFERROR(VLOOKUP(CENTRAL[[#This Row],[Cód]],SUB[#All],4,0),0) + CENTRAL[[#This Row],[CMM]]</f>
        <v>2.16</v>
      </c>
    </row>
    <row r="1161" spans="1:8" x14ac:dyDescent="0.25">
      <c r="A1161">
        <v>200001047</v>
      </c>
      <c r="B1161" t="s">
        <v>1089</v>
      </c>
      <c r="C1161" t="s">
        <v>9</v>
      </c>
      <c r="D1161">
        <v>2.16</v>
      </c>
      <c r="E1161" s="15">
        <v>0</v>
      </c>
      <c r="F1161">
        <v>0</v>
      </c>
      <c r="G1161">
        <v>0</v>
      </c>
      <c r="H1161">
        <f>IFERROR(VLOOKUP(CENTRAL[[#This Row],[Cód]],SUB[#All],4,0),0) + CENTRAL[[#This Row],[CMM]]</f>
        <v>2.16</v>
      </c>
    </row>
    <row r="1162" spans="1:8" x14ac:dyDescent="0.25">
      <c r="A1162">
        <v>200003606</v>
      </c>
      <c r="B1162" t="s">
        <v>1090</v>
      </c>
      <c r="C1162" t="s">
        <v>9</v>
      </c>
      <c r="D1162">
        <v>0.16</v>
      </c>
      <c r="E1162" s="15">
        <v>10.77</v>
      </c>
      <c r="F1162">
        <v>0</v>
      </c>
      <c r="G1162">
        <v>76</v>
      </c>
      <c r="H1162">
        <f>IFERROR(VLOOKUP(CENTRAL[[#This Row],[Cód]],SUB[#All],4,0),0) + CENTRAL[[#This Row],[CMM]]</f>
        <v>0.16</v>
      </c>
    </row>
    <row r="1163" spans="1:8" x14ac:dyDescent="0.25">
      <c r="A1163">
        <v>200003607</v>
      </c>
      <c r="B1163" t="s">
        <v>1091</v>
      </c>
      <c r="C1163" t="s">
        <v>9</v>
      </c>
      <c r="D1163">
        <v>0.16</v>
      </c>
      <c r="E1163" s="15">
        <v>173</v>
      </c>
      <c r="F1163">
        <v>0</v>
      </c>
      <c r="G1163">
        <v>4</v>
      </c>
      <c r="H1163">
        <f>IFERROR(VLOOKUP(CENTRAL[[#This Row],[Cód]],SUB[#All],4,0),0) + CENTRAL[[#This Row],[CMM]]</f>
        <v>0.16</v>
      </c>
    </row>
    <row r="1164" spans="1:8" x14ac:dyDescent="0.25">
      <c r="A1164">
        <v>200003608</v>
      </c>
      <c r="B1164" t="s">
        <v>1092</v>
      </c>
      <c r="C1164" t="s">
        <v>9</v>
      </c>
      <c r="D1164">
        <v>0.08</v>
      </c>
      <c r="E1164" s="15">
        <v>211</v>
      </c>
      <c r="F1164">
        <v>0</v>
      </c>
      <c r="G1164">
        <v>1</v>
      </c>
      <c r="H1164">
        <f>IFERROR(VLOOKUP(CENTRAL[[#This Row],[Cód]],SUB[#All],4,0),0) + CENTRAL[[#This Row],[CMM]]</f>
        <v>0.08</v>
      </c>
    </row>
    <row r="1165" spans="1:8" x14ac:dyDescent="0.25">
      <c r="A1165">
        <v>200003304</v>
      </c>
      <c r="B1165" t="s">
        <v>1093</v>
      </c>
      <c r="C1165" t="s">
        <v>9</v>
      </c>
      <c r="D1165">
        <v>0</v>
      </c>
      <c r="E1165" s="15">
        <v>0</v>
      </c>
      <c r="F1165">
        <v>0</v>
      </c>
      <c r="G1165">
        <v>0</v>
      </c>
      <c r="H1165">
        <f>IFERROR(VLOOKUP(CENTRAL[[#This Row],[Cód]],SUB[#All],4,0),0) + CENTRAL[[#This Row],[CMM]]</f>
        <v>0</v>
      </c>
    </row>
    <row r="1166" spans="1:8" x14ac:dyDescent="0.25">
      <c r="A1166">
        <v>200001012</v>
      </c>
      <c r="B1166" t="s">
        <v>1094</v>
      </c>
      <c r="C1166" t="s">
        <v>9</v>
      </c>
      <c r="D1166">
        <v>0</v>
      </c>
      <c r="E1166" s="15">
        <v>0</v>
      </c>
      <c r="F1166">
        <v>0</v>
      </c>
      <c r="G1166">
        <v>0</v>
      </c>
      <c r="H1166">
        <f>IFERROR(VLOOKUP(CENTRAL[[#This Row],[Cód]],SUB[#All],4,0),0) + CENTRAL[[#This Row],[CMM]]</f>
        <v>0</v>
      </c>
    </row>
    <row r="1167" spans="1:8" x14ac:dyDescent="0.25">
      <c r="A1167">
        <v>200002060</v>
      </c>
      <c r="B1167" t="s">
        <v>1095</v>
      </c>
      <c r="C1167" t="s">
        <v>9</v>
      </c>
      <c r="D1167">
        <v>1.58</v>
      </c>
      <c r="E1167" s="15">
        <v>9.5299999999999994</v>
      </c>
      <c r="F1167">
        <v>0</v>
      </c>
      <c r="G1167">
        <v>151</v>
      </c>
      <c r="H1167">
        <f>IFERROR(VLOOKUP(CENTRAL[[#This Row],[Cód]],SUB[#All],4,0),0) + CENTRAL[[#This Row],[CMM]]</f>
        <v>2.33</v>
      </c>
    </row>
    <row r="1168" spans="1:8" x14ac:dyDescent="0.25">
      <c r="A1168">
        <v>200001344</v>
      </c>
      <c r="B1168" t="s">
        <v>1096</v>
      </c>
      <c r="C1168" t="s">
        <v>9</v>
      </c>
      <c r="D1168">
        <v>0</v>
      </c>
      <c r="E1168" s="15">
        <v>75.02</v>
      </c>
      <c r="F1168">
        <v>0</v>
      </c>
      <c r="G1168">
        <v>35</v>
      </c>
      <c r="H1168">
        <f>IFERROR(VLOOKUP(CENTRAL[[#This Row],[Cód]],SUB[#All],4,0),0) + CENTRAL[[#This Row],[CMM]]</f>
        <v>0</v>
      </c>
    </row>
    <row r="1169" spans="1:8" x14ac:dyDescent="0.25">
      <c r="A1169">
        <v>200002228</v>
      </c>
      <c r="B1169" t="s">
        <v>1097</v>
      </c>
      <c r="C1169" t="s">
        <v>9</v>
      </c>
      <c r="D1169">
        <v>0</v>
      </c>
      <c r="E1169" s="15">
        <v>33.44</v>
      </c>
      <c r="F1169">
        <v>0</v>
      </c>
      <c r="G1169">
        <v>18</v>
      </c>
      <c r="H1169">
        <f>IFERROR(VLOOKUP(CENTRAL[[#This Row],[Cód]],SUB[#All],4,0),0) + CENTRAL[[#This Row],[CMM]]</f>
        <v>0.33</v>
      </c>
    </row>
    <row r="1170" spans="1:8" x14ac:dyDescent="0.25">
      <c r="A1170">
        <v>200002229</v>
      </c>
      <c r="B1170" t="s">
        <v>1098</v>
      </c>
      <c r="C1170" t="s">
        <v>9</v>
      </c>
      <c r="D1170">
        <v>0.08</v>
      </c>
      <c r="E1170" s="15">
        <v>24.48</v>
      </c>
      <c r="F1170">
        <v>0</v>
      </c>
      <c r="G1170">
        <v>10</v>
      </c>
      <c r="H1170">
        <f>IFERROR(VLOOKUP(CENTRAL[[#This Row],[Cód]],SUB[#All],4,0),0) + CENTRAL[[#This Row],[CMM]]</f>
        <v>0.41000000000000003</v>
      </c>
    </row>
    <row r="1171" spans="1:8" x14ac:dyDescent="0.25">
      <c r="A1171">
        <v>200006834</v>
      </c>
      <c r="B1171" t="s">
        <v>1099</v>
      </c>
      <c r="C1171" t="s">
        <v>63</v>
      </c>
      <c r="D1171">
        <v>0</v>
      </c>
      <c r="E1171" s="15">
        <v>98.15</v>
      </c>
      <c r="F1171">
        <v>0</v>
      </c>
      <c r="G1171">
        <v>2</v>
      </c>
      <c r="H1171">
        <f>IFERROR(VLOOKUP(CENTRAL[[#This Row],[Cód]],SUB[#All],4,0),0) + CENTRAL[[#This Row],[CMM]]</f>
        <v>0</v>
      </c>
    </row>
    <row r="1172" spans="1:8" x14ac:dyDescent="0.25">
      <c r="A1172">
        <v>200004295</v>
      </c>
      <c r="B1172" t="s">
        <v>1100</v>
      </c>
      <c r="C1172" t="s">
        <v>546</v>
      </c>
      <c r="D1172">
        <v>1.33</v>
      </c>
      <c r="E1172" s="15">
        <v>0</v>
      </c>
      <c r="F1172">
        <v>0</v>
      </c>
      <c r="G1172">
        <v>0</v>
      </c>
      <c r="H1172">
        <f>IFERROR(VLOOKUP(CENTRAL[[#This Row],[Cód]],SUB[#All],4,0),0) + CENTRAL[[#This Row],[CMM]]</f>
        <v>1.33</v>
      </c>
    </row>
    <row r="1173" spans="1:8" x14ac:dyDescent="0.25">
      <c r="A1173">
        <v>200001627</v>
      </c>
      <c r="B1173" t="s">
        <v>1101</v>
      </c>
      <c r="C1173" t="s">
        <v>63</v>
      </c>
      <c r="D1173">
        <v>0</v>
      </c>
      <c r="E1173" s="15">
        <v>0</v>
      </c>
      <c r="F1173">
        <v>0</v>
      </c>
      <c r="G1173">
        <v>0</v>
      </c>
      <c r="H1173">
        <f>IFERROR(VLOOKUP(CENTRAL[[#This Row],[Cód]],SUB[#All],4,0),0) + CENTRAL[[#This Row],[CMM]]</f>
        <v>0</v>
      </c>
    </row>
    <row r="1174" spans="1:8" x14ac:dyDescent="0.25">
      <c r="A1174">
        <v>200005146</v>
      </c>
      <c r="B1174" t="s">
        <v>1102</v>
      </c>
      <c r="C1174" t="s">
        <v>9</v>
      </c>
      <c r="D1174">
        <v>1</v>
      </c>
      <c r="E1174" s="15">
        <v>0</v>
      </c>
      <c r="F1174">
        <v>0</v>
      </c>
      <c r="G1174">
        <v>0</v>
      </c>
      <c r="H1174">
        <f>IFERROR(VLOOKUP(CENTRAL[[#This Row],[Cód]],SUB[#All],4,0),0) + CENTRAL[[#This Row],[CMM]]</f>
        <v>1</v>
      </c>
    </row>
    <row r="1175" spans="1:8" x14ac:dyDescent="0.25">
      <c r="A1175">
        <v>200007173</v>
      </c>
      <c r="B1175" t="s">
        <v>1103</v>
      </c>
      <c r="C1175" t="s">
        <v>546</v>
      </c>
      <c r="D1175">
        <v>1.2</v>
      </c>
      <c r="E1175" s="15">
        <v>89.12</v>
      </c>
      <c r="F1175">
        <v>1</v>
      </c>
      <c r="G1175">
        <v>60</v>
      </c>
      <c r="H1175">
        <f>IFERROR(VLOOKUP(CENTRAL[[#This Row],[Cód]],SUB[#All],4,0),0) + CENTRAL[[#This Row],[CMM]]</f>
        <v>1.2</v>
      </c>
    </row>
    <row r="1176" spans="1:8" x14ac:dyDescent="0.25">
      <c r="A1176">
        <v>200006832</v>
      </c>
      <c r="B1176" t="s">
        <v>1104</v>
      </c>
      <c r="C1176" t="s">
        <v>63</v>
      </c>
      <c r="D1176">
        <v>0</v>
      </c>
      <c r="E1176" s="15">
        <v>90</v>
      </c>
      <c r="F1176">
        <v>0</v>
      </c>
      <c r="G1176">
        <v>3</v>
      </c>
      <c r="H1176">
        <f>IFERROR(VLOOKUP(CENTRAL[[#This Row],[Cód]],SUB[#All],4,0),0) + CENTRAL[[#This Row],[CMM]]</f>
        <v>0</v>
      </c>
    </row>
    <row r="1177" spans="1:8" x14ac:dyDescent="0.25">
      <c r="A1177">
        <v>200006833</v>
      </c>
      <c r="B1177" t="s">
        <v>1105</v>
      </c>
      <c r="C1177" t="s">
        <v>63</v>
      </c>
      <c r="D1177">
        <v>0</v>
      </c>
      <c r="E1177" s="15">
        <v>91.9</v>
      </c>
      <c r="F1177">
        <v>0</v>
      </c>
      <c r="G1177">
        <v>3</v>
      </c>
      <c r="H1177">
        <f>IFERROR(VLOOKUP(CENTRAL[[#This Row],[Cód]],SUB[#All],4,0),0) + CENTRAL[[#This Row],[CMM]]</f>
        <v>0</v>
      </c>
    </row>
    <row r="1178" spans="1:8" x14ac:dyDescent="0.25">
      <c r="A1178">
        <v>200003887</v>
      </c>
      <c r="B1178" t="s">
        <v>1106</v>
      </c>
      <c r="C1178" t="s">
        <v>63</v>
      </c>
      <c r="D1178">
        <v>0.91</v>
      </c>
      <c r="E1178" s="15">
        <v>0</v>
      </c>
      <c r="F1178">
        <v>0</v>
      </c>
      <c r="G1178">
        <v>0</v>
      </c>
      <c r="H1178">
        <f>IFERROR(VLOOKUP(CENTRAL[[#This Row],[Cód]],SUB[#All],4,0),0) + CENTRAL[[#This Row],[CMM]]</f>
        <v>0.91</v>
      </c>
    </row>
    <row r="1179" spans="1:8" x14ac:dyDescent="0.25">
      <c r="A1179">
        <v>200004019</v>
      </c>
      <c r="B1179" t="s">
        <v>1107</v>
      </c>
      <c r="C1179" t="s">
        <v>9</v>
      </c>
      <c r="D1179">
        <v>0</v>
      </c>
      <c r="E1179" s="15">
        <v>0</v>
      </c>
      <c r="F1179">
        <v>0</v>
      </c>
      <c r="G1179">
        <v>0</v>
      </c>
      <c r="H1179">
        <f>IFERROR(VLOOKUP(CENTRAL[[#This Row],[Cód]],SUB[#All],4,0),0) + CENTRAL[[#This Row],[CMM]]</f>
        <v>0</v>
      </c>
    </row>
    <row r="1180" spans="1:8" x14ac:dyDescent="0.25">
      <c r="A1180">
        <v>200004000</v>
      </c>
      <c r="B1180" t="s">
        <v>1108</v>
      </c>
      <c r="C1180" t="s">
        <v>9</v>
      </c>
      <c r="D1180">
        <v>0</v>
      </c>
      <c r="E1180" s="15">
        <v>0</v>
      </c>
      <c r="F1180">
        <v>0</v>
      </c>
      <c r="G1180">
        <v>0</v>
      </c>
      <c r="H1180">
        <f>IFERROR(VLOOKUP(CENTRAL[[#This Row],[Cód]],SUB[#All],4,0),0) + CENTRAL[[#This Row],[CMM]]</f>
        <v>0</v>
      </c>
    </row>
    <row r="1181" spans="1:8" x14ac:dyDescent="0.25">
      <c r="A1181">
        <v>200004884</v>
      </c>
      <c r="B1181" t="s">
        <v>1109</v>
      </c>
      <c r="C1181" t="s">
        <v>110</v>
      </c>
      <c r="D1181">
        <v>0</v>
      </c>
      <c r="E1181" s="15">
        <v>0</v>
      </c>
      <c r="F1181">
        <v>0</v>
      </c>
      <c r="G1181">
        <v>0</v>
      </c>
      <c r="H1181">
        <f>IFERROR(VLOOKUP(CENTRAL[[#This Row],[Cód]],SUB[#All],4,0),0) + CENTRAL[[#This Row],[CMM]]</f>
        <v>0</v>
      </c>
    </row>
    <row r="1182" spans="1:8" x14ac:dyDescent="0.25">
      <c r="A1182">
        <v>200005486</v>
      </c>
      <c r="B1182" t="s">
        <v>1110</v>
      </c>
      <c r="C1182" t="s">
        <v>9</v>
      </c>
      <c r="D1182">
        <v>0</v>
      </c>
      <c r="E1182" s="15">
        <v>0</v>
      </c>
      <c r="F1182">
        <v>0</v>
      </c>
      <c r="G1182">
        <v>0</v>
      </c>
      <c r="H1182">
        <f>IFERROR(VLOOKUP(CENTRAL[[#This Row],[Cód]],SUB[#All],4,0),0) + CENTRAL[[#This Row],[CMM]]</f>
        <v>0</v>
      </c>
    </row>
    <row r="1183" spans="1:8" x14ac:dyDescent="0.25">
      <c r="A1183">
        <v>200005486</v>
      </c>
      <c r="B1183" t="s">
        <v>1110</v>
      </c>
      <c r="C1183" t="s">
        <v>9</v>
      </c>
      <c r="D1183">
        <v>0</v>
      </c>
      <c r="E1183" s="15">
        <v>0</v>
      </c>
      <c r="F1183">
        <v>0</v>
      </c>
      <c r="G1183">
        <v>0</v>
      </c>
      <c r="H1183">
        <f>IFERROR(VLOOKUP(CENTRAL[[#This Row],[Cód]],SUB[#All],4,0),0) + CENTRAL[[#This Row],[CMM]]</f>
        <v>0</v>
      </c>
    </row>
    <row r="1184" spans="1:8" x14ac:dyDescent="0.25">
      <c r="A1184">
        <v>200003129</v>
      </c>
      <c r="B1184" t="s">
        <v>1111</v>
      </c>
      <c r="C1184" t="s">
        <v>9</v>
      </c>
      <c r="D1184">
        <v>14.33</v>
      </c>
      <c r="E1184" s="15">
        <v>0</v>
      </c>
      <c r="F1184">
        <v>0</v>
      </c>
      <c r="G1184">
        <v>0</v>
      </c>
      <c r="H1184">
        <f>IFERROR(VLOOKUP(CENTRAL[[#This Row],[Cód]],SUB[#All],4,0),0) + CENTRAL[[#This Row],[CMM]]</f>
        <v>14.33</v>
      </c>
    </row>
    <row r="1185" spans="1:8" x14ac:dyDescent="0.25">
      <c r="A1185">
        <v>200005719</v>
      </c>
      <c r="B1185" t="s">
        <v>1112</v>
      </c>
      <c r="C1185" t="s">
        <v>9</v>
      </c>
      <c r="D1185">
        <v>0</v>
      </c>
      <c r="E1185" s="15">
        <v>0</v>
      </c>
      <c r="F1185">
        <v>0</v>
      </c>
      <c r="G1185">
        <v>0</v>
      </c>
      <c r="H1185">
        <f>IFERROR(VLOOKUP(CENTRAL[[#This Row],[Cód]],SUB[#All],4,0),0) + CENTRAL[[#This Row],[CMM]]</f>
        <v>0</v>
      </c>
    </row>
    <row r="1186" spans="1:8" x14ac:dyDescent="0.25">
      <c r="A1186">
        <v>200005719</v>
      </c>
      <c r="B1186" t="s">
        <v>1112</v>
      </c>
      <c r="C1186" t="s">
        <v>9</v>
      </c>
      <c r="D1186">
        <v>0</v>
      </c>
      <c r="E1186" s="15">
        <v>0</v>
      </c>
      <c r="F1186">
        <v>0</v>
      </c>
      <c r="G1186">
        <v>0</v>
      </c>
      <c r="H1186">
        <f>IFERROR(VLOOKUP(CENTRAL[[#This Row],[Cód]],SUB[#All],4,0),0) + CENTRAL[[#This Row],[CMM]]</f>
        <v>0</v>
      </c>
    </row>
    <row r="1187" spans="1:8" x14ac:dyDescent="0.25">
      <c r="A1187">
        <v>200003620</v>
      </c>
      <c r="B1187" t="s">
        <v>1113</v>
      </c>
      <c r="C1187" t="s">
        <v>9</v>
      </c>
      <c r="D1187">
        <v>0</v>
      </c>
      <c r="E1187" s="15">
        <v>0</v>
      </c>
      <c r="F1187">
        <v>0</v>
      </c>
      <c r="G1187">
        <v>0</v>
      </c>
      <c r="H1187">
        <f>IFERROR(VLOOKUP(CENTRAL[[#This Row],[Cód]],SUB[#All],4,0),0) + CENTRAL[[#This Row],[CMM]]</f>
        <v>0</v>
      </c>
    </row>
    <row r="1188" spans="1:8" x14ac:dyDescent="0.25">
      <c r="A1188">
        <v>200003621</v>
      </c>
      <c r="B1188" t="s">
        <v>1114</v>
      </c>
      <c r="C1188" t="s">
        <v>9</v>
      </c>
      <c r="D1188">
        <v>0</v>
      </c>
      <c r="E1188" s="15">
        <v>0</v>
      </c>
      <c r="F1188">
        <v>0</v>
      </c>
      <c r="G1188">
        <v>0</v>
      </c>
      <c r="H1188">
        <f>IFERROR(VLOOKUP(CENTRAL[[#This Row],[Cód]],SUB[#All],4,0),0) + CENTRAL[[#This Row],[CMM]]</f>
        <v>0</v>
      </c>
    </row>
    <row r="1189" spans="1:8" x14ac:dyDescent="0.25">
      <c r="A1189">
        <v>200000701</v>
      </c>
      <c r="B1189" t="s">
        <v>1115</v>
      </c>
      <c r="C1189" t="s">
        <v>9</v>
      </c>
      <c r="D1189">
        <v>1.83</v>
      </c>
      <c r="E1189" s="15">
        <v>110</v>
      </c>
      <c r="F1189">
        <v>0</v>
      </c>
      <c r="G1189">
        <v>3</v>
      </c>
      <c r="H1189">
        <f>IFERROR(VLOOKUP(CENTRAL[[#This Row],[Cód]],SUB[#All],4,0),0) + CENTRAL[[#This Row],[CMM]]</f>
        <v>2.2400000000000002</v>
      </c>
    </row>
    <row r="1190" spans="1:8" x14ac:dyDescent="0.25">
      <c r="A1190">
        <v>200001048</v>
      </c>
      <c r="B1190" t="s">
        <v>1116</v>
      </c>
      <c r="C1190" t="s">
        <v>9</v>
      </c>
      <c r="D1190">
        <v>0</v>
      </c>
      <c r="E1190" s="15">
        <v>0</v>
      </c>
      <c r="F1190">
        <v>0</v>
      </c>
      <c r="G1190">
        <v>0</v>
      </c>
      <c r="H1190">
        <f>IFERROR(VLOOKUP(CENTRAL[[#This Row],[Cód]],SUB[#All],4,0),0) + CENTRAL[[#This Row],[CMM]]</f>
        <v>0</v>
      </c>
    </row>
    <row r="1191" spans="1:8" x14ac:dyDescent="0.25">
      <c r="A1191">
        <v>200001048</v>
      </c>
      <c r="B1191" t="s">
        <v>1116</v>
      </c>
      <c r="C1191" t="s">
        <v>9</v>
      </c>
      <c r="D1191">
        <v>0</v>
      </c>
      <c r="E1191" s="15">
        <v>0</v>
      </c>
      <c r="F1191">
        <v>0</v>
      </c>
      <c r="G1191">
        <v>0</v>
      </c>
      <c r="H1191">
        <f>IFERROR(VLOOKUP(CENTRAL[[#This Row],[Cód]],SUB[#All],4,0),0) + CENTRAL[[#This Row],[CMM]]</f>
        <v>0</v>
      </c>
    </row>
    <row r="1192" spans="1:8" x14ac:dyDescent="0.25">
      <c r="A1192">
        <v>200000698</v>
      </c>
      <c r="B1192" t="s">
        <v>1117</v>
      </c>
      <c r="C1192" t="s">
        <v>9</v>
      </c>
      <c r="D1192">
        <v>0</v>
      </c>
      <c r="E1192" s="15">
        <v>0</v>
      </c>
      <c r="F1192">
        <v>0</v>
      </c>
      <c r="G1192">
        <v>0</v>
      </c>
      <c r="H1192">
        <f>IFERROR(VLOOKUP(CENTRAL[[#This Row],[Cód]],SUB[#All],4,0),0) + CENTRAL[[#This Row],[CMM]]</f>
        <v>0</v>
      </c>
    </row>
    <row r="1193" spans="1:8" x14ac:dyDescent="0.25">
      <c r="A1193">
        <v>200007038</v>
      </c>
      <c r="B1193" t="s">
        <v>1118</v>
      </c>
      <c r="C1193" t="s">
        <v>9</v>
      </c>
      <c r="D1193">
        <v>1.5</v>
      </c>
      <c r="E1193" s="15">
        <v>69.8</v>
      </c>
      <c r="F1193">
        <v>0</v>
      </c>
      <c r="G1193">
        <v>20</v>
      </c>
      <c r="H1193">
        <f>IFERROR(VLOOKUP(CENTRAL[[#This Row],[Cód]],SUB[#All],4,0),0) + CENTRAL[[#This Row],[CMM]]</f>
        <v>1.5</v>
      </c>
    </row>
    <row r="1194" spans="1:8" x14ac:dyDescent="0.25">
      <c r="A1194">
        <v>200000700</v>
      </c>
      <c r="B1194" t="s">
        <v>1119</v>
      </c>
      <c r="C1194" t="s">
        <v>9</v>
      </c>
      <c r="D1194">
        <v>1.1599999999999999</v>
      </c>
      <c r="E1194" s="15">
        <v>0</v>
      </c>
      <c r="F1194">
        <v>0</v>
      </c>
      <c r="G1194">
        <v>0</v>
      </c>
      <c r="H1194">
        <f>IFERROR(VLOOKUP(CENTRAL[[#This Row],[Cód]],SUB[#All],4,0),0) + CENTRAL[[#This Row],[CMM]]</f>
        <v>1.7399999999999998</v>
      </c>
    </row>
    <row r="1195" spans="1:8" x14ac:dyDescent="0.25">
      <c r="A1195">
        <v>200000699</v>
      </c>
      <c r="B1195" t="s">
        <v>1120</v>
      </c>
      <c r="C1195" t="s">
        <v>9</v>
      </c>
      <c r="D1195">
        <v>0</v>
      </c>
      <c r="E1195" s="15">
        <v>0</v>
      </c>
      <c r="F1195">
        <v>0</v>
      </c>
      <c r="G1195">
        <v>0</v>
      </c>
      <c r="H1195">
        <f>IFERROR(VLOOKUP(CENTRAL[[#This Row],[Cód]],SUB[#All],4,0),0) + CENTRAL[[#This Row],[CMM]]</f>
        <v>0</v>
      </c>
    </row>
    <row r="1196" spans="1:8" x14ac:dyDescent="0.25">
      <c r="A1196">
        <v>200005346</v>
      </c>
      <c r="B1196" t="s">
        <v>1121</v>
      </c>
      <c r="C1196" t="s">
        <v>9</v>
      </c>
      <c r="D1196">
        <v>0</v>
      </c>
      <c r="E1196" s="15">
        <v>0</v>
      </c>
      <c r="F1196">
        <v>0</v>
      </c>
      <c r="G1196">
        <v>0</v>
      </c>
      <c r="H1196">
        <f>IFERROR(VLOOKUP(CENTRAL[[#This Row],[Cód]],SUB[#All],4,0),0) + CENTRAL[[#This Row],[CMM]]</f>
        <v>0</v>
      </c>
    </row>
    <row r="1197" spans="1:8" x14ac:dyDescent="0.25">
      <c r="A1197">
        <v>200002227</v>
      </c>
      <c r="B1197" t="s">
        <v>1122</v>
      </c>
      <c r="C1197" t="s">
        <v>9</v>
      </c>
      <c r="D1197">
        <v>1.08</v>
      </c>
      <c r="E1197" s="15">
        <v>31.16</v>
      </c>
      <c r="F1197">
        <v>0</v>
      </c>
      <c r="G1197">
        <v>36</v>
      </c>
      <c r="H1197">
        <f>IFERROR(VLOOKUP(CENTRAL[[#This Row],[Cód]],SUB[#All],4,0),0) + CENTRAL[[#This Row],[CMM]]</f>
        <v>1.7400000000000002</v>
      </c>
    </row>
    <row r="1198" spans="1:8" x14ac:dyDescent="0.25">
      <c r="A1198">
        <v>200001051</v>
      </c>
      <c r="B1198" t="s">
        <v>1123</v>
      </c>
      <c r="C1198" t="s">
        <v>9</v>
      </c>
      <c r="D1198">
        <v>0</v>
      </c>
      <c r="E1198" s="15">
        <v>128.24</v>
      </c>
      <c r="F1198">
        <v>0</v>
      </c>
      <c r="G1198">
        <v>59</v>
      </c>
      <c r="H1198">
        <f>IFERROR(VLOOKUP(CENTRAL[[#This Row],[Cód]],SUB[#All],4,0),0) + CENTRAL[[#This Row],[CMM]]</f>
        <v>0</v>
      </c>
    </row>
    <row r="1199" spans="1:8" x14ac:dyDescent="0.25">
      <c r="A1199">
        <v>200001051</v>
      </c>
      <c r="B1199" t="s">
        <v>1123</v>
      </c>
      <c r="C1199" t="s">
        <v>9</v>
      </c>
      <c r="D1199">
        <v>0</v>
      </c>
      <c r="E1199" s="15">
        <v>0</v>
      </c>
      <c r="F1199">
        <v>0</v>
      </c>
      <c r="G1199">
        <v>0</v>
      </c>
      <c r="H1199">
        <f>IFERROR(VLOOKUP(CENTRAL[[#This Row],[Cód]],SUB[#All],4,0),0) + CENTRAL[[#This Row],[CMM]]</f>
        <v>0</v>
      </c>
    </row>
    <row r="1200" spans="1:8" x14ac:dyDescent="0.25">
      <c r="A1200">
        <v>200003703</v>
      </c>
      <c r="B1200" t="s">
        <v>1124</v>
      </c>
      <c r="C1200" t="s">
        <v>9</v>
      </c>
      <c r="D1200">
        <v>0</v>
      </c>
      <c r="E1200" s="15">
        <v>141.96</v>
      </c>
      <c r="F1200">
        <v>0</v>
      </c>
      <c r="G1200">
        <v>48</v>
      </c>
      <c r="H1200">
        <f>IFERROR(VLOOKUP(CENTRAL[[#This Row],[Cód]],SUB[#All],4,0),0) + CENTRAL[[#This Row],[CMM]]</f>
        <v>0</v>
      </c>
    </row>
    <row r="1201" spans="1:8" x14ac:dyDescent="0.25">
      <c r="A1201">
        <v>200003684</v>
      </c>
      <c r="B1201" t="s">
        <v>1125</v>
      </c>
      <c r="C1201" t="s">
        <v>9</v>
      </c>
      <c r="D1201">
        <v>0</v>
      </c>
      <c r="E1201" s="15">
        <v>55.83</v>
      </c>
      <c r="F1201">
        <v>0</v>
      </c>
      <c r="G1201">
        <v>4</v>
      </c>
      <c r="H1201">
        <f>IFERROR(VLOOKUP(CENTRAL[[#This Row],[Cód]],SUB[#All],4,0),0) + CENTRAL[[#This Row],[CMM]]</f>
        <v>0</v>
      </c>
    </row>
    <row r="1202" spans="1:8" x14ac:dyDescent="0.25">
      <c r="A1202">
        <v>200005230</v>
      </c>
      <c r="B1202" t="s">
        <v>1126</v>
      </c>
      <c r="C1202" t="s">
        <v>9</v>
      </c>
      <c r="D1202">
        <v>0</v>
      </c>
      <c r="E1202" s="15">
        <v>0</v>
      </c>
      <c r="F1202">
        <v>0</v>
      </c>
      <c r="G1202">
        <v>0</v>
      </c>
      <c r="H1202">
        <f>IFERROR(VLOOKUP(CENTRAL[[#This Row],[Cód]],SUB[#All],4,0),0) + CENTRAL[[#This Row],[CMM]]</f>
        <v>0</v>
      </c>
    </row>
    <row r="1203" spans="1:8" x14ac:dyDescent="0.25">
      <c r="A1203">
        <v>200004893</v>
      </c>
      <c r="B1203" t="s">
        <v>1127</v>
      </c>
      <c r="C1203" t="s">
        <v>9</v>
      </c>
      <c r="D1203">
        <v>0</v>
      </c>
      <c r="E1203" s="15">
        <v>295.7</v>
      </c>
      <c r="F1203">
        <v>0</v>
      </c>
      <c r="G1203">
        <v>11</v>
      </c>
      <c r="H1203">
        <f>IFERROR(VLOOKUP(CENTRAL[[#This Row],[Cód]],SUB[#All],4,0),0) + CENTRAL[[#This Row],[CMM]]</f>
        <v>0</v>
      </c>
    </row>
    <row r="1204" spans="1:8" x14ac:dyDescent="0.25">
      <c r="A1204">
        <v>200003683</v>
      </c>
      <c r="B1204" t="s">
        <v>1128</v>
      </c>
      <c r="C1204" t="s">
        <v>9</v>
      </c>
      <c r="D1204">
        <v>0</v>
      </c>
      <c r="E1204" s="15">
        <v>92.04</v>
      </c>
      <c r="F1204">
        <v>0</v>
      </c>
      <c r="G1204">
        <v>56</v>
      </c>
      <c r="H1204">
        <f>IFERROR(VLOOKUP(CENTRAL[[#This Row],[Cód]],SUB[#All],4,0),0) + CENTRAL[[#This Row],[CMM]]</f>
        <v>0</v>
      </c>
    </row>
    <row r="1205" spans="1:8" x14ac:dyDescent="0.25">
      <c r="A1205">
        <v>200003685</v>
      </c>
      <c r="B1205" t="s">
        <v>1129</v>
      </c>
      <c r="C1205" t="s">
        <v>9</v>
      </c>
      <c r="D1205">
        <v>0.08</v>
      </c>
      <c r="E1205" s="15">
        <v>42.76</v>
      </c>
      <c r="F1205">
        <v>0</v>
      </c>
      <c r="G1205">
        <v>38</v>
      </c>
      <c r="H1205">
        <f>IFERROR(VLOOKUP(CENTRAL[[#This Row],[Cód]],SUB[#All],4,0),0) + CENTRAL[[#This Row],[CMM]]</f>
        <v>0.08</v>
      </c>
    </row>
    <row r="1206" spans="1:8" x14ac:dyDescent="0.25">
      <c r="A1206">
        <v>200001590</v>
      </c>
      <c r="B1206" t="s">
        <v>1130</v>
      </c>
      <c r="C1206" t="s">
        <v>9</v>
      </c>
      <c r="D1206">
        <v>0</v>
      </c>
      <c r="E1206" s="15">
        <v>0</v>
      </c>
      <c r="F1206">
        <v>0</v>
      </c>
      <c r="G1206">
        <v>0</v>
      </c>
      <c r="H1206">
        <f>IFERROR(VLOOKUP(CENTRAL[[#This Row],[Cód]],SUB[#All],4,0),0) + CENTRAL[[#This Row],[CMM]]</f>
        <v>0</v>
      </c>
    </row>
    <row r="1207" spans="1:8" x14ac:dyDescent="0.25">
      <c r="A1207">
        <v>200001050</v>
      </c>
      <c r="B1207" t="s">
        <v>1131</v>
      </c>
      <c r="C1207" t="s">
        <v>9</v>
      </c>
      <c r="D1207">
        <v>0.08</v>
      </c>
      <c r="E1207" s="15">
        <v>58.55</v>
      </c>
      <c r="F1207">
        <v>0</v>
      </c>
      <c r="G1207">
        <v>55</v>
      </c>
      <c r="H1207">
        <f>IFERROR(VLOOKUP(CENTRAL[[#This Row],[Cód]],SUB[#All],4,0),0) + CENTRAL[[#This Row],[CMM]]</f>
        <v>0.08</v>
      </c>
    </row>
    <row r="1208" spans="1:8" x14ac:dyDescent="0.25">
      <c r="A1208">
        <v>200001050</v>
      </c>
      <c r="B1208" t="s">
        <v>1131</v>
      </c>
      <c r="C1208" t="s">
        <v>9</v>
      </c>
      <c r="D1208">
        <v>0.08</v>
      </c>
      <c r="E1208" s="15">
        <v>0</v>
      </c>
      <c r="F1208">
        <v>0</v>
      </c>
      <c r="G1208">
        <v>0</v>
      </c>
      <c r="H1208">
        <f>IFERROR(VLOOKUP(CENTRAL[[#This Row],[Cód]],SUB[#All],4,0),0) + CENTRAL[[#This Row],[CMM]]</f>
        <v>0.08</v>
      </c>
    </row>
    <row r="1209" spans="1:8" x14ac:dyDescent="0.25">
      <c r="A1209">
        <v>200001049</v>
      </c>
      <c r="B1209" t="s">
        <v>1132</v>
      </c>
      <c r="C1209" t="s">
        <v>9</v>
      </c>
      <c r="D1209">
        <v>0.16</v>
      </c>
      <c r="E1209" s="15">
        <v>0</v>
      </c>
      <c r="F1209">
        <v>0</v>
      </c>
      <c r="G1209">
        <v>0</v>
      </c>
      <c r="H1209">
        <f>IFERROR(VLOOKUP(CENTRAL[[#This Row],[Cód]],SUB[#All],4,0),0) + CENTRAL[[#This Row],[CMM]]</f>
        <v>0.24</v>
      </c>
    </row>
    <row r="1210" spans="1:8" x14ac:dyDescent="0.25">
      <c r="A1210">
        <v>200001049</v>
      </c>
      <c r="B1210" t="s">
        <v>1132</v>
      </c>
      <c r="C1210" t="s">
        <v>9</v>
      </c>
      <c r="D1210">
        <v>0.16</v>
      </c>
      <c r="E1210" s="15">
        <v>28.12</v>
      </c>
      <c r="F1210">
        <v>0</v>
      </c>
      <c r="G1210">
        <v>3</v>
      </c>
      <c r="H1210">
        <f>IFERROR(VLOOKUP(CENTRAL[[#This Row],[Cód]],SUB[#All],4,0),0) + CENTRAL[[#This Row],[CMM]]</f>
        <v>0.24</v>
      </c>
    </row>
    <row r="1211" spans="1:8" x14ac:dyDescent="0.25">
      <c r="A1211">
        <v>200002226</v>
      </c>
      <c r="B1211" t="s">
        <v>1133</v>
      </c>
      <c r="C1211" t="s">
        <v>9</v>
      </c>
      <c r="D1211">
        <v>4.58</v>
      </c>
      <c r="E1211" s="15">
        <v>22.39</v>
      </c>
      <c r="F1211">
        <v>0</v>
      </c>
      <c r="G1211">
        <v>30</v>
      </c>
      <c r="H1211">
        <f>IFERROR(VLOOKUP(CENTRAL[[#This Row],[Cód]],SUB[#All],4,0),0) + CENTRAL[[#This Row],[CMM]]</f>
        <v>5.91</v>
      </c>
    </row>
    <row r="1212" spans="1:8" x14ac:dyDescent="0.25">
      <c r="A1212">
        <v>200006046</v>
      </c>
      <c r="B1212" t="s">
        <v>1134</v>
      </c>
      <c r="C1212" t="s">
        <v>9</v>
      </c>
      <c r="D1212">
        <v>0.08</v>
      </c>
      <c r="E1212" s="15">
        <v>118.89</v>
      </c>
      <c r="F1212">
        <v>0</v>
      </c>
      <c r="G1212">
        <v>31</v>
      </c>
      <c r="H1212">
        <f>IFERROR(VLOOKUP(CENTRAL[[#This Row],[Cód]],SUB[#All],4,0),0) + CENTRAL[[#This Row],[CMM]]</f>
        <v>0.08</v>
      </c>
    </row>
    <row r="1213" spans="1:8" x14ac:dyDescent="0.25">
      <c r="A1213">
        <v>200006047</v>
      </c>
      <c r="B1213" t="s">
        <v>1135</v>
      </c>
      <c r="C1213" t="s">
        <v>9</v>
      </c>
      <c r="D1213">
        <v>0</v>
      </c>
      <c r="E1213" s="15">
        <v>302.94</v>
      </c>
      <c r="F1213">
        <v>0</v>
      </c>
      <c r="G1213">
        <v>23</v>
      </c>
      <c r="H1213">
        <f>IFERROR(VLOOKUP(CENTRAL[[#This Row],[Cód]],SUB[#All],4,0),0) + CENTRAL[[#This Row],[CMM]]</f>
        <v>0</v>
      </c>
    </row>
    <row r="1214" spans="1:8" x14ac:dyDescent="0.25">
      <c r="A1214">
        <v>200001052</v>
      </c>
      <c r="B1214" t="s">
        <v>1136</v>
      </c>
      <c r="C1214" t="s">
        <v>9</v>
      </c>
      <c r="D1214">
        <v>0</v>
      </c>
      <c r="E1214" s="15">
        <v>0</v>
      </c>
      <c r="F1214">
        <v>0</v>
      </c>
      <c r="G1214">
        <v>0</v>
      </c>
      <c r="H1214">
        <f>IFERROR(VLOOKUP(CENTRAL[[#This Row],[Cód]],SUB[#All],4,0),0) + CENTRAL[[#This Row],[CMM]]</f>
        <v>0</v>
      </c>
    </row>
    <row r="1215" spans="1:8" x14ac:dyDescent="0.25">
      <c r="A1215">
        <v>200001052</v>
      </c>
      <c r="B1215" t="s">
        <v>1136</v>
      </c>
      <c r="C1215" t="s">
        <v>9</v>
      </c>
      <c r="D1215">
        <v>0</v>
      </c>
      <c r="E1215" s="15">
        <v>0</v>
      </c>
      <c r="F1215">
        <v>0</v>
      </c>
      <c r="G1215">
        <v>0</v>
      </c>
      <c r="H1215">
        <f>IFERROR(VLOOKUP(CENTRAL[[#This Row],[Cód]],SUB[#All],4,0),0) + CENTRAL[[#This Row],[CMM]]</f>
        <v>0</v>
      </c>
    </row>
    <row r="1216" spans="1:8" x14ac:dyDescent="0.25">
      <c r="A1216">
        <v>200003682</v>
      </c>
      <c r="B1216" t="s">
        <v>1137</v>
      </c>
      <c r="C1216" t="s">
        <v>9</v>
      </c>
      <c r="D1216">
        <v>0.08</v>
      </c>
      <c r="E1216" s="15">
        <v>126.26</v>
      </c>
      <c r="F1216">
        <v>0</v>
      </c>
      <c r="G1216">
        <v>54</v>
      </c>
      <c r="H1216">
        <f>IFERROR(VLOOKUP(CENTRAL[[#This Row],[Cód]],SUB[#All],4,0),0) + CENTRAL[[#This Row],[CMM]]</f>
        <v>0.16</v>
      </c>
    </row>
    <row r="1217" spans="1:8" x14ac:dyDescent="0.25">
      <c r="A1217">
        <v>200003622</v>
      </c>
      <c r="B1217" t="s">
        <v>1138</v>
      </c>
      <c r="C1217" t="s">
        <v>9</v>
      </c>
      <c r="D1217">
        <v>0.08</v>
      </c>
      <c r="E1217" s="15">
        <v>268</v>
      </c>
      <c r="F1217">
        <v>0</v>
      </c>
      <c r="G1217">
        <v>1</v>
      </c>
      <c r="H1217">
        <f>IFERROR(VLOOKUP(CENTRAL[[#This Row],[Cód]],SUB[#All],4,0),0) + CENTRAL[[#This Row],[CMM]]</f>
        <v>0.08</v>
      </c>
    </row>
    <row r="1218" spans="1:8" x14ac:dyDescent="0.25">
      <c r="A1218">
        <v>200001053</v>
      </c>
      <c r="B1218" t="s">
        <v>1139</v>
      </c>
      <c r="C1218" t="s">
        <v>9</v>
      </c>
      <c r="D1218">
        <v>0</v>
      </c>
      <c r="E1218" s="15">
        <v>0</v>
      </c>
      <c r="F1218">
        <v>0</v>
      </c>
      <c r="G1218">
        <v>0</v>
      </c>
      <c r="H1218">
        <f>IFERROR(VLOOKUP(CENTRAL[[#This Row],[Cód]],SUB[#All],4,0),0) + CENTRAL[[#This Row],[CMM]]</f>
        <v>0</v>
      </c>
    </row>
    <row r="1219" spans="1:8" x14ac:dyDescent="0.25">
      <c r="A1219">
        <v>200001053</v>
      </c>
      <c r="B1219" t="s">
        <v>1139</v>
      </c>
      <c r="C1219" t="s">
        <v>9</v>
      </c>
      <c r="D1219">
        <v>0</v>
      </c>
      <c r="E1219" s="15">
        <v>0</v>
      </c>
      <c r="F1219">
        <v>0</v>
      </c>
      <c r="G1219">
        <v>0</v>
      </c>
      <c r="H1219">
        <f>IFERROR(VLOOKUP(CENTRAL[[#This Row],[Cód]],SUB[#All],4,0),0) + CENTRAL[[#This Row],[CMM]]</f>
        <v>0</v>
      </c>
    </row>
    <row r="1220" spans="1:8" x14ac:dyDescent="0.25">
      <c r="A1220">
        <v>200001626</v>
      </c>
      <c r="B1220" t="s">
        <v>1140</v>
      </c>
      <c r="C1220" t="s">
        <v>63</v>
      </c>
      <c r="D1220">
        <v>0.83</v>
      </c>
      <c r="E1220" s="15">
        <v>85.13</v>
      </c>
      <c r="F1220">
        <v>0</v>
      </c>
      <c r="G1220">
        <v>10</v>
      </c>
      <c r="H1220">
        <f>IFERROR(VLOOKUP(CENTRAL[[#This Row],[Cód]],SUB[#All],4,0),0) + CENTRAL[[#This Row],[CMM]]</f>
        <v>0.83</v>
      </c>
    </row>
    <row r="1221" spans="1:8" x14ac:dyDescent="0.25">
      <c r="A1221">
        <v>200002360</v>
      </c>
      <c r="B1221" t="s">
        <v>1141</v>
      </c>
      <c r="C1221" t="s">
        <v>9</v>
      </c>
      <c r="D1221">
        <v>0</v>
      </c>
      <c r="E1221" s="15">
        <v>0</v>
      </c>
      <c r="F1221">
        <v>0</v>
      </c>
      <c r="G1221">
        <v>0</v>
      </c>
      <c r="H1221">
        <f>IFERROR(VLOOKUP(CENTRAL[[#This Row],[Cód]],SUB[#All],4,0),0) + CENTRAL[[#This Row],[CMM]]</f>
        <v>0</v>
      </c>
    </row>
    <row r="1222" spans="1:8" x14ac:dyDescent="0.25">
      <c r="A1222">
        <v>200002361</v>
      </c>
      <c r="B1222" t="s">
        <v>1142</v>
      </c>
      <c r="C1222" t="s">
        <v>9</v>
      </c>
      <c r="D1222">
        <v>0</v>
      </c>
      <c r="E1222" s="15">
        <v>19.600000000000001</v>
      </c>
      <c r="F1222">
        <v>0</v>
      </c>
      <c r="G1222">
        <v>2</v>
      </c>
      <c r="H1222">
        <f>IFERROR(VLOOKUP(CENTRAL[[#This Row],[Cód]],SUB[#All],4,0),0) + CENTRAL[[#This Row],[CMM]]</f>
        <v>0</v>
      </c>
    </row>
    <row r="1223" spans="1:8" x14ac:dyDescent="0.25">
      <c r="A1223">
        <v>200001837</v>
      </c>
      <c r="B1223" t="s">
        <v>1143</v>
      </c>
      <c r="C1223" t="s">
        <v>9</v>
      </c>
      <c r="D1223">
        <v>10</v>
      </c>
      <c r="E1223" s="15">
        <v>9.3699999999999992</v>
      </c>
      <c r="F1223">
        <v>0</v>
      </c>
      <c r="G1223">
        <v>17</v>
      </c>
      <c r="H1223">
        <f>IFERROR(VLOOKUP(CENTRAL[[#This Row],[Cód]],SUB[#All],4,0),0) + CENTRAL[[#This Row],[CMM]]</f>
        <v>11.16</v>
      </c>
    </row>
    <row r="1224" spans="1:8" x14ac:dyDescent="0.25">
      <c r="A1224">
        <v>200001837</v>
      </c>
      <c r="B1224" t="s">
        <v>1143</v>
      </c>
      <c r="C1224" t="s">
        <v>9</v>
      </c>
      <c r="D1224">
        <v>10</v>
      </c>
      <c r="E1224" s="15">
        <v>0</v>
      </c>
      <c r="F1224">
        <v>0</v>
      </c>
      <c r="G1224">
        <v>0</v>
      </c>
      <c r="H1224">
        <f>IFERROR(VLOOKUP(CENTRAL[[#This Row],[Cód]],SUB[#All],4,0),0) + CENTRAL[[#This Row],[CMM]]</f>
        <v>11.16</v>
      </c>
    </row>
  </sheetData>
  <phoneticPr fontId="1" type="noConversion"/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34"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49162-4F70-4FD4-9A7E-94A93EB310E5}">
  <sheetPr codeName="Planilha2">
    <pageSetUpPr fitToPage="1"/>
  </sheetPr>
  <dimension ref="A1:M632"/>
  <sheetViews>
    <sheetView showGridLines="0" topLeftCell="A211" zoomScaleNormal="100" workbookViewId="0">
      <selection activeCell="A227" sqref="A227"/>
    </sheetView>
  </sheetViews>
  <sheetFormatPr defaultColWidth="9.140625" defaultRowHeight="15" x14ac:dyDescent="0.25"/>
  <cols>
    <col min="1" max="1" width="10" bestFit="1" customWidth="1"/>
    <col min="2" max="2" width="81.140625" bestFit="1" customWidth="1"/>
    <col min="3" max="3" width="7.7109375" bestFit="1" customWidth="1"/>
    <col min="4" max="4" width="8.140625" bestFit="1" customWidth="1"/>
    <col min="5" max="5" width="15.85546875" bestFit="1" customWidth="1"/>
    <col min="6" max="6" width="23.7109375" bestFit="1" customWidth="1"/>
    <col min="7" max="7" width="10.42578125" bestFit="1" customWidth="1"/>
    <col min="8" max="8" width="8.28515625" bestFit="1" customWidth="1"/>
    <col min="9" max="9" width="10.42578125" bestFit="1" customWidth="1"/>
    <col min="10" max="10" width="12.42578125" bestFit="1" customWidth="1"/>
    <col min="11" max="11" width="10.42578125" bestFit="1" customWidth="1"/>
    <col min="12" max="12" width="25.5703125" bestFit="1" customWidth="1"/>
    <col min="13" max="13" width="9.140625" customWidth="1"/>
    <col min="14" max="14" width="8.140625" customWidth="1"/>
    <col min="15" max="15" width="9" bestFit="1" customWidth="1"/>
    <col min="19" max="19" width="10" bestFit="1" customWidth="1"/>
    <col min="20" max="20" width="11.42578125" bestFit="1" customWidth="1"/>
    <col min="21" max="21" width="10" bestFit="1" customWidth="1"/>
  </cols>
  <sheetData>
    <row r="1" spans="1:7" x14ac:dyDescent="0.25">
      <c r="A1" s="1" t="s">
        <v>0</v>
      </c>
      <c r="B1" s="6" t="s">
        <v>1</v>
      </c>
      <c r="C1" s="1" t="s">
        <v>2</v>
      </c>
      <c r="D1" s="6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200001095</v>
      </c>
      <c r="B2" t="s">
        <v>11</v>
      </c>
      <c r="C2" t="s">
        <v>9</v>
      </c>
      <c r="D2">
        <v>0</v>
      </c>
      <c r="E2" s="15">
        <v>1.93</v>
      </c>
      <c r="F2">
        <v>0</v>
      </c>
      <c r="G2">
        <v>26</v>
      </c>
    </row>
    <row r="3" spans="1:7" x14ac:dyDescent="0.25">
      <c r="A3">
        <v>200000006</v>
      </c>
      <c r="B3" t="s">
        <v>12</v>
      </c>
      <c r="C3" t="s">
        <v>9</v>
      </c>
      <c r="D3">
        <v>4.58</v>
      </c>
      <c r="E3" s="15">
        <v>5.13</v>
      </c>
      <c r="F3">
        <v>0</v>
      </c>
      <c r="G3">
        <v>25</v>
      </c>
    </row>
    <row r="4" spans="1:7" x14ac:dyDescent="0.25">
      <c r="A4">
        <v>200003628</v>
      </c>
      <c r="B4" t="s">
        <v>13</v>
      </c>
      <c r="C4" t="s">
        <v>9</v>
      </c>
      <c r="D4">
        <v>0</v>
      </c>
      <c r="E4" s="15">
        <v>304.55</v>
      </c>
      <c r="F4">
        <v>0</v>
      </c>
      <c r="G4">
        <v>2</v>
      </c>
    </row>
    <row r="5" spans="1:7" x14ac:dyDescent="0.25">
      <c r="A5">
        <v>200001007</v>
      </c>
      <c r="B5" t="s">
        <v>15</v>
      </c>
      <c r="C5" t="s">
        <v>9</v>
      </c>
      <c r="D5">
        <v>0</v>
      </c>
      <c r="E5" s="15">
        <v>0</v>
      </c>
      <c r="F5">
        <v>0</v>
      </c>
      <c r="G5">
        <v>0</v>
      </c>
    </row>
    <row r="6" spans="1:7" x14ac:dyDescent="0.25">
      <c r="A6">
        <v>200003629</v>
      </c>
      <c r="B6" t="s">
        <v>16</v>
      </c>
      <c r="C6" t="s">
        <v>9</v>
      </c>
      <c r="D6">
        <v>0.16</v>
      </c>
      <c r="E6" s="15">
        <v>141.46</v>
      </c>
      <c r="F6">
        <v>0</v>
      </c>
      <c r="G6">
        <v>6</v>
      </c>
    </row>
    <row r="7" spans="1:7" x14ac:dyDescent="0.25">
      <c r="A7">
        <v>200001907</v>
      </c>
      <c r="B7" t="s">
        <v>19</v>
      </c>
      <c r="C7" t="s">
        <v>9</v>
      </c>
      <c r="D7">
        <v>0</v>
      </c>
      <c r="E7" s="15">
        <v>0</v>
      </c>
      <c r="F7">
        <v>0</v>
      </c>
      <c r="G7">
        <v>0</v>
      </c>
    </row>
    <row r="8" spans="1:7" x14ac:dyDescent="0.25">
      <c r="A8">
        <v>200004676</v>
      </c>
      <c r="B8" t="s">
        <v>20</v>
      </c>
      <c r="C8" t="s">
        <v>9</v>
      </c>
      <c r="D8">
        <v>0.08</v>
      </c>
      <c r="E8" s="15">
        <v>122.71</v>
      </c>
      <c r="F8">
        <v>0</v>
      </c>
      <c r="G8">
        <v>4</v>
      </c>
    </row>
    <row r="9" spans="1:7" x14ac:dyDescent="0.25">
      <c r="A9">
        <v>200000012</v>
      </c>
      <c r="B9" t="s">
        <v>21</v>
      </c>
      <c r="C9" t="s">
        <v>9</v>
      </c>
      <c r="D9">
        <v>0</v>
      </c>
      <c r="E9" s="15">
        <v>8.9</v>
      </c>
      <c r="F9">
        <v>0</v>
      </c>
      <c r="G9">
        <v>7</v>
      </c>
    </row>
    <row r="10" spans="1:7" x14ac:dyDescent="0.25">
      <c r="A10">
        <v>200000013</v>
      </c>
      <c r="B10" t="s">
        <v>22</v>
      </c>
      <c r="C10" t="s">
        <v>9</v>
      </c>
      <c r="D10">
        <v>0</v>
      </c>
      <c r="E10" s="15">
        <v>8.5</v>
      </c>
      <c r="F10">
        <v>0</v>
      </c>
      <c r="G10">
        <v>5</v>
      </c>
    </row>
    <row r="11" spans="1:7" x14ac:dyDescent="0.25">
      <c r="A11">
        <v>200000014</v>
      </c>
      <c r="B11" t="s">
        <v>23</v>
      </c>
      <c r="C11" t="s">
        <v>9</v>
      </c>
      <c r="D11">
        <v>0</v>
      </c>
      <c r="E11" s="15">
        <v>9.5</v>
      </c>
      <c r="F11">
        <v>0</v>
      </c>
      <c r="G11">
        <v>3</v>
      </c>
    </row>
    <row r="12" spans="1:7" x14ac:dyDescent="0.25">
      <c r="A12">
        <v>200000015</v>
      </c>
      <c r="B12" t="s">
        <v>24</v>
      </c>
      <c r="C12" t="s">
        <v>9</v>
      </c>
      <c r="D12">
        <v>0.57999999999999996</v>
      </c>
      <c r="E12" s="15">
        <v>42.27</v>
      </c>
      <c r="F12">
        <v>0</v>
      </c>
      <c r="G12">
        <v>4</v>
      </c>
    </row>
    <row r="13" spans="1:7" x14ac:dyDescent="0.25">
      <c r="A13">
        <v>200003630</v>
      </c>
      <c r="B13" t="s">
        <v>27</v>
      </c>
      <c r="C13" t="s">
        <v>9</v>
      </c>
      <c r="D13">
        <v>0.16</v>
      </c>
      <c r="E13" s="15">
        <v>22.65</v>
      </c>
      <c r="F13">
        <v>0</v>
      </c>
      <c r="G13">
        <v>7</v>
      </c>
    </row>
    <row r="14" spans="1:7" x14ac:dyDescent="0.25">
      <c r="A14">
        <v>200003631</v>
      </c>
      <c r="B14" t="s">
        <v>28</v>
      </c>
      <c r="C14" t="s">
        <v>9</v>
      </c>
      <c r="D14">
        <v>0.08</v>
      </c>
      <c r="E14" s="15">
        <v>14.45</v>
      </c>
      <c r="F14">
        <v>0</v>
      </c>
      <c r="G14">
        <v>6</v>
      </c>
    </row>
    <row r="15" spans="1:7" x14ac:dyDescent="0.25">
      <c r="A15">
        <v>200003632</v>
      </c>
      <c r="B15" t="s">
        <v>29</v>
      </c>
      <c r="C15" t="s">
        <v>9</v>
      </c>
      <c r="D15">
        <v>0.08</v>
      </c>
      <c r="E15" s="15">
        <v>63.9</v>
      </c>
      <c r="F15">
        <v>0</v>
      </c>
      <c r="G15">
        <v>2</v>
      </c>
    </row>
    <row r="16" spans="1:7" x14ac:dyDescent="0.25">
      <c r="A16">
        <v>200003633</v>
      </c>
      <c r="B16" t="s">
        <v>30</v>
      </c>
      <c r="C16" t="s">
        <v>9</v>
      </c>
      <c r="D16">
        <v>0</v>
      </c>
      <c r="E16" s="15">
        <v>13.45</v>
      </c>
      <c r="F16">
        <v>0</v>
      </c>
      <c r="G16">
        <v>8</v>
      </c>
    </row>
    <row r="17" spans="1:7" x14ac:dyDescent="0.25">
      <c r="A17">
        <v>200003584</v>
      </c>
      <c r="B17" t="s">
        <v>31</v>
      </c>
      <c r="C17" t="s">
        <v>9</v>
      </c>
      <c r="D17">
        <v>0</v>
      </c>
      <c r="E17" s="15">
        <v>15.4</v>
      </c>
      <c r="F17">
        <v>0</v>
      </c>
      <c r="G17">
        <v>5</v>
      </c>
    </row>
    <row r="18" spans="1:7" x14ac:dyDescent="0.25">
      <c r="A18">
        <v>200003585</v>
      </c>
      <c r="B18" t="s">
        <v>32</v>
      </c>
      <c r="C18" t="s">
        <v>9</v>
      </c>
      <c r="D18">
        <v>0.16</v>
      </c>
      <c r="E18" s="15">
        <v>11.21</v>
      </c>
      <c r="F18">
        <v>0</v>
      </c>
      <c r="G18">
        <v>4</v>
      </c>
    </row>
    <row r="19" spans="1:7" x14ac:dyDescent="0.25">
      <c r="A19">
        <v>200003586</v>
      </c>
      <c r="B19" t="s">
        <v>33</v>
      </c>
      <c r="C19" t="s">
        <v>9</v>
      </c>
      <c r="D19">
        <v>0.25</v>
      </c>
      <c r="E19" s="15">
        <v>13.85</v>
      </c>
      <c r="F19">
        <v>0</v>
      </c>
      <c r="G19">
        <v>2</v>
      </c>
    </row>
    <row r="20" spans="1:7" x14ac:dyDescent="0.25">
      <c r="A20">
        <v>200003587</v>
      </c>
      <c r="B20" t="s">
        <v>34</v>
      </c>
      <c r="C20" t="s">
        <v>9</v>
      </c>
      <c r="D20">
        <v>0</v>
      </c>
      <c r="E20" s="15">
        <v>20.13</v>
      </c>
      <c r="F20">
        <v>0</v>
      </c>
      <c r="G20">
        <v>4</v>
      </c>
    </row>
    <row r="21" spans="1:7" x14ac:dyDescent="0.25">
      <c r="A21">
        <v>200003588</v>
      </c>
      <c r="B21" t="s">
        <v>35</v>
      </c>
      <c r="C21" t="s">
        <v>9</v>
      </c>
      <c r="D21">
        <v>0</v>
      </c>
      <c r="E21" s="15">
        <v>0</v>
      </c>
      <c r="F21">
        <v>0</v>
      </c>
      <c r="G21">
        <v>0</v>
      </c>
    </row>
    <row r="22" spans="1:7" x14ac:dyDescent="0.25">
      <c r="A22">
        <v>200003589</v>
      </c>
      <c r="B22" t="s">
        <v>36</v>
      </c>
      <c r="C22" t="s">
        <v>9</v>
      </c>
      <c r="D22">
        <v>0</v>
      </c>
      <c r="E22" s="15">
        <v>37.33</v>
      </c>
      <c r="F22">
        <v>0</v>
      </c>
      <c r="G22">
        <v>3</v>
      </c>
    </row>
    <row r="23" spans="1:7" x14ac:dyDescent="0.25">
      <c r="A23">
        <v>200002344</v>
      </c>
      <c r="B23" t="s">
        <v>37</v>
      </c>
      <c r="C23" t="s">
        <v>9</v>
      </c>
      <c r="D23">
        <v>0</v>
      </c>
      <c r="E23" s="15">
        <v>1.5</v>
      </c>
      <c r="F23">
        <v>0</v>
      </c>
      <c r="G23">
        <v>5</v>
      </c>
    </row>
    <row r="24" spans="1:7" x14ac:dyDescent="0.25">
      <c r="A24">
        <v>200001357</v>
      </c>
      <c r="B24" t="s">
        <v>39</v>
      </c>
      <c r="C24" t="s">
        <v>9</v>
      </c>
      <c r="D24">
        <v>0</v>
      </c>
      <c r="E24" s="15">
        <v>11.53</v>
      </c>
      <c r="F24">
        <v>0</v>
      </c>
      <c r="G24">
        <v>6</v>
      </c>
    </row>
    <row r="25" spans="1:7" x14ac:dyDescent="0.25">
      <c r="A25">
        <v>200001008</v>
      </c>
      <c r="B25" t="s">
        <v>40</v>
      </c>
      <c r="C25" t="s">
        <v>9</v>
      </c>
      <c r="D25">
        <v>0.25</v>
      </c>
      <c r="E25" s="15">
        <v>0</v>
      </c>
      <c r="F25">
        <v>0</v>
      </c>
      <c r="G25">
        <v>0</v>
      </c>
    </row>
    <row r="26" spans="1:7" x14ac:dyDescent="0.25">
      <c r="A26">
        <v>200001356</v>
      </c>
      <c r="B26" t="s">
        <v>41</v>
      </c>
      <c r="C26" t="s">
        <v>9</v>
      </c>
      <c r="D26">
        <v>0.16</v>
      </c>
      <c r="E26" s="15">
        <v>0</v>
      </c>
      <c r="F26">
        <v>0</v>
      </c>
      <c r="G26">
        <v>0</v>
      </c>
    </row>
    <row r="27" spans="1:7" x14ac:dyDescent="0.25">
      <c r="A27">
        <v>200001358</v>
      </c>
      <c r="B27" t="s">
        <v>42</v>
      </c>
      <c r="C27" t="s">
        <v>9</v>
      </c>
      <c r="D27">
        <v>0</v>
      </c>
      <c r="E27" s="15">
        <v>0</v>
      </c>
      <c r="F27">
        <v>0</v>
      </c>
      <c r="G27">
        <v>0</v>
      </c>
    </row>
    <row r="28" spans="1:7" x14ac:dyDescent="0.25">
      <c r="A28">
        <v>200003593</v>
      </c>
      <c r="B28" t="s">
        <v>44</v>
      </c>
      <c r="C28" t="s">
        <v>9</v>
      </c>
      <c r="D28">
        <v>0</v>
      </c>
      <c r="E28" s="15">
        <v>222.32</v>
      </c>
      <c r="F28">
        <v>0</v>
      </c>
      <c r="G28">
        <v>2</v>
      </c>
    </row>
    <row r="29" spans="1:7" x14ac:dyDescent="0.25">
      <c r="A29">
        <v>200003591</v>
      </c>
      <c r="B29" t="s">
        <v>48</v>
      </c>
      <c r="C29" t="s">
        <v>9</v>
      </c>
      <c r="D29">
        <v>0</v>
      </c>
      <c r="E29" s="15">
        <v>118.76</v>
      </c>
      <c r="F29">
        <v>0</v>
      </c>
      <c r="G29">
        <v>2</v>
      </c>
    </row>
    <row r="30" spans="1:7" x14ac:dyDescent="0.25">
      <c r="A30">
        <v>200003592</v>
      </c>
      <c r="B30" t="s">
        <v>49</v>
      </c>
      <c r="C30" t="s">
        <v>9</v>
      </c>
      <c r="D30">
        <v>0</v>
      </c>
      <c r="E30" s="15">
        <v>139.26</v>
      </c>
      <c r="F30">
        <v>0</v>
      </c>
      <c r="G30">
        <v>1</v>
      </c>
    </row>
    <row r="31" spans="1:7" x14ac:dyDescent="0.25">
      <c r="A31">
        <v>200001909</v>
      </c>
      <c r="B31" t="s">
        <v>51</v>
      </c>
      <c r="C31" t="s">
        <v>9</v>
      </c>
      <c r="D31">
        <v>0</v>
      </c>
      <c r="E31" s="15">
        <v>0</v>
      </c>
      <c r="F31">
        <v>0</v>
      </c>
      <c r="G31">
        <v>0</v>
      </c>
    </row>
    <row r="32" spans="1:7" x14ac:dyDescent="0.25">
      <c r="A32">
        <v>200001912</v>
      </c>
      <c r="B32" t="s">
        <v>52</v>
      </c>
      <c r="C32" t="s">
        <v>9</v>
      </c>
      <c r="D32">
        <v>0</v>
      </c>
      <c r="E32" s="15">
        <v>0</v>
      </c>
      <c r="F32">
        <v>0</v>
      </c>
      <c r="G32">
        <v>0</v>
      </c>
    </row>
    <row r="33" spans="1:7" x14ac:dyDescent="0.25">
      <c r="A33">
        <v>200001908</v>
      </c>
      <c r="B33" t="s">
        <v>53</v>
      </c>
      <c r="C33" t="s">
        <v>9</v>
      </c>
      <c r="D33">
        <v>0</v>
      </c>
      <c r="E33" s="15">
        <v>0</v>
      </c>
      <c r="F33">
        <v>0</v>
      </c>
      <c r="G33">
        <v>0</v>
      </c>
    </row>
    <row r="34" spans="1:7" x14ac:dyDescent="0.25">
      <c r="A34">
        <v>200001915</v>
      </c>
      <c r="B34" t="s">
        <v>57</v>
      </c>
      <c r="C34" t="s">
        <v>9</v>
      </c>
      <c r="D34">
        <v>0</v>
      </c>
      <c r="E34" s="15">
        <v>0.6</v>
      </c>
      <c r="F34">
        <v>0</v>
      </c>
      <c r="G34">
        <v>2</v>
      </c>
    </row>
    <row r="35" spans="1:7" x14ac:dyDescent="0.25">
      <c r="A35">
        <v>200001916</v>
      </c>
      <c r="B35" t="s">
        <v>58</v>
      </c>
      <c r="C35" t="s">
        <v>9</v>
      </c>
      <c r="D35">
        <v>0</v>
      </c>
      <c r="E35" s="15">
        <v>0</v>
      </c>
      <c r="F35">
        <v>0</v>
      </c>
      <c r="G35">
        <v>0</v>
      </c>
    </row>
    <row r="36" spans="1:7" x14ac:dyDescent="0.25">
      <c r="A36">
        <v>200003583</v>
      </c>
      <c r="B36" t="s">
        <v>60</v>
      </c>
      <c r="C36" t="s">
        <v>9</v>
      </c>
      <c r="D36">
        <v>0.16</v>
      </c>
      <c r="E36" s="15">
        <v>11.67</v>
      </c>
      <c r="F36">
        <v>0</v>
      </c>
      <c r="G36">
        <v>5</v>
      </c>
    </row>
    <row r="37" spans="1:7" x14ac:dyDescent="0.25">
      <c r="A37">
        <v>200003702</v>
      </c>
      <c r="B37" t="s">
        <v>61</v>
      </c>
      <c r="C37" t="s">
        <v>9</v>
      </c>
      <c r="D37">
        <v>0</v>
      </c>
      <c r="E37" s="15">
        <v>0</v>
      </c>
      <c r="F37">
        <v>0</v>
      </c>
      <c r="G37">
        <v>0</v>
      </c>
    </row>
    <row r="38" spans="1:7" x14ac:dyDescent="0.25">
      <c r="A38">
        <v>200004299</v>
      </c>
      <c r="B38" t="s">
        <v>62</v>
      </c>
      <c r="C38" t="s">
        <v>63</v>
      </c>
      <c r="D38">
        <v>1</v>
      </c>
      <c r="E38" s="15">
        <v>89.88</v>
      </c>
      <c r="F38">
        <v>0</v>
      </c>
      <c r="G38">
        <v>2</v>
      </c>
    </row>
    <row r="39" spans="1:7" x14ac:dyDescent="0.25">
      <c r="A39">
        <v>200002120</v>
      </c>
      <c r="B39" t="s">
        <v>64</v>
      </c>
      <c r="C39" t="s">
        <v>9</v>
      </c>
      <c r="D39">
        <v>0</v>
      </c>
      <c r="E39" s="15">
        <v>0</v>
      </c>
      <c r="F39">
        <v>0</v>
      </c>
      <c r="G39">
        <v>0</v>
      </c>
    </row>
    <row r="40" spans="1:7" x14ac:dyDescent="0.25">
      <c r="A40">
        <v>200001917</v>
      </c>
      <c r="B40" t="s">
        <v>68</v>
      </c>
      <c r="C40" t="s">
        <v>9</v>
      </c>
      <c r="D40">
        <v>2.83</v>
      </c>
      <c r="E40" s="15">
        <v>5.0999999999999996</v>
      </c>
      <c r="F40">
        <v>0</v>
      </c>
      <c r="G40">
        <v>7</v>
      </c>
    </row>
    <row r="41" spans="1:7" x14ac:dyDescent="0.25">
      <c r="A41">
        <v>200006872</v>
      </c>
      <c r="B41" t="s">
        <v>70</v>
      </c>
      <c r="C41" t="s">
        <v>9</v>
      </c>
      <c r="D41">
        <v>0</v>
      </c>
      <c r="E41" s="15">
        <v>0</v>
      </c>
      <c r="F41">
        <v>0</v>
      </c>
      <c r="G41">
        <v>0</v>
      </c>
    </row>
    <row r="42" spans="1:7" x14ac:dyDescent="0.25">
      <c r="A42">
        <v>200002130</v>
      </c>
      <c r="B42" t="s">
        <v>71</v>
      </c>
      <c r="C42" t="s">
        <v>9</v>
      </c>
      <c r="D42">
        <v>0</v>
      </c>
      <c r="E42" s="15">
        <v>0</v>
      </c>
      <c r="F42">
        <v>0</v>
      </c>
      <c r="G42">
        <v>0</v>
      </c>
    </row>
    <row r="43" spans="1:7" x14ac:dyDescent="0.25">
      <c r="A43">
        <v>200002131</v>
      </c>
      <c r="B43" t="s">
        <v>74</v>
      </c>
      <c r="C43" t="s">
        <v>9</v>
      </c>
      <c r="D43">
        <v>1.41</v>
      </c>
      <c r="E43" s="15">
        <v>0</v>
      </c>
      <c r="F43">
        <v>0</v>
      </c>
      <c r="G43">
        <v>0</v>
      </c>
    </row>
    <row r="44" spans="1:7" x14ac:dyDescent="0.25">
      <c r="A44">
        <v>200000034</v>
      </c>
      <c r="B44" t="s">
        <v>78</v>
      </c>
      <c r="C44" t="s">
        <v>9</v>
      </c>
      <c r="D44">
        <v>1.33</v>
      </c>
      <c r="E44" s="15">
        <v>6.9</v>
      </c>
      <c r="F44">
        <v>0</v>
      </c>
      <c r="G44">
        <v>5</v>
      </c>
    </row>
    <row r="45" spans="1:7" x14ac:dyDescent="0.25">
      <c r="A45">
        <v>200003957</v>
      </c>
      <c r="B45" t="s">
        <v>84</v>
      </c>
      <c r="C45" t="s">
        <v>82</v>
      </c>
      <c r="D45">
        <v>2.25</v>
      </c>
      <c r="E45" s="15">
        <v>18.14</v>
      </c>
      <c r="F45">
        <v>0</v>
      </c>
      <c r="G45">
        <v>3</v>
      </c>
    </row>
    <row r="46" spans="1:7" x14ac:dyDescent="0.25">
      <c r="A46">
        <v>200002642</v>
      </c>
      <c r="B46" t="s">
        <v>88</v>
      </c>
      <c r="C46" t="s">
        <v>9</v>
      </c>
      <c r="D46">
        <v>0.66</v>
      </c>
      <c r="E46" s="15">
        <v>19.97</v>
      </c>
      <c r="F46">
        <v>0</v>
      </c>
      <c r="G46">
        <v>25</v>
      </c>
    </row>
    <row r="47" spans="1:7" x14ac:dyDescent="0.25">
      <c r="A47">
        <v>200002207</v>
      </c>
      <c r="B47" t="s">
        <v>89</v>
      </c>
      <c r="C47" t="s">
        <v>9</v>
      </c>
      <c r="D47">
        <v>2</v>
      </c>
      <c r="E47" s="15">
        <v>15.53</v>
      </c>
      <c r="F47">
        <v>0</v>
      </c>
      <c r="G47">
        <v>7</v>
      </c>
    </row>
    <row r="48" spans="1:7" x14ac:dyDescent="0.25">
      <c r="A48">
        <v>200001009</v>
      </c>
      <c r="B48" t="s">
        <v>90</v>
      </c>
      <c r="C48" t="s">
        <v>9</v>
      </c>
      <c r="D48">
        <v>0.83</v>
      </c>
      <c r="E48" s="15">
        <v>11.93</v>
      </c>
      <c r="F48">
        <v>0</v>
      </c>
      <c r="G48">
        <v>6</v>
      </c>
    </row>
    <row r="49" spans="1:7" x14ac:dyDescent="0.25">
      <c r="A49">
        <v>200001730</v>
      </c>
      <c r="B49" t="s">
        <v>91</v>
      </c>
      <c r="C49" t="s">
        <v>9</v>
      </c>
      <c r="D49">
        <v>0</v>
      </c>
      <c r="E49" s="15">
        <v>15.77</v>
      </c>
      <c r="F49">
        <v>0</v>
      </c>
      <c r="G49">
        <v>15</v>
      </c>
    </row>
    <row r="50" spans="1:7" x14ac:dyDescent="0.25">
      <c r="A50">
        <v>200001918</v>
      </c>
      <c r="B50" t="s">
        <v>101</v>
      </c>
      <c r="C50" t="s">
        <v>9</v>
      </c>
      <c r="D50">
        <v>5.75</v>
      </c>
      <c r="E50" s="15">
        <v>0</v>
      </c>
      <c r="F50">
        <v>0</v>
      </c>
      <c r="G50">
        <v>0</v>
      </c>
    </row>
    <row r="51" spans="1:7" x14ac:dyDescent="0.25">
      <c r="A51">
        <v>200001336</v>
      </c>
      <c r="B51" t="s">
        <v>102</v>
      </c>
      <c r="C51" t="s">
        <v>9</v>
      </c>
      <c r="D51">
        <v>0</v>
      </c>
      <c r="E51" s="15">
        <v>0</v>
      </c>
      <c r="F51">
        <v>0</v>
      </c>
      <c r="G51">
        <v>0</v>
      </c>
    </row>
    <row r="52" spans="1:7" x14ac:dyDescent="0.25">
      <c r="A52">
        <v>200002643</v>
      </c>
      <c r="B52" t="s">
        <v>104</v>
      </c>
      <c r="C52" t="s">
        <v>9</v>
      </c>
      <c r="D52">
        <v>5.66</v>
      </c>
      <c r="E52" s="15">
        <v>0</v>
      </c>
      <c r="F52">
        <v>0</v>
      </c>
      <c r="G52">
        <v>0</v>
      </c>
    </row>
    <row r="53" spans="1:7" x14ac:dyDescent="0.25">
      <c r="A53">
        <v>200002055</v>
      </c>
      <c r="B53" t="s">
        <v>114</v>
      </c>
      <c r="C53" t="s">
        <v>9</v>
      </c>
      <c r="D53">
        <v>0</v>
      </c>
      <c r="E53" s="15">
        <v>0</v>
      </c>
      <c r="F53">
        <v>0</v>
      </c>
      <c r="G53">
        <v>0</v>
      </c>
    </row>
    <row r="54" spans="1:7" x14ac:dyDescent="0.25">
      <c r="A54">
        <v>200003618</v>
      </c>
      <c r="B54" t="s">
        <v>115</v>
      </c>
      <c r="C54" t="s">
        <v>9</v>
      </c>
      <c r="D54">
        <v>0</v>
      </c>
      <c r="E54" s="15">
        <v>0</v>
      </c>
      <c r="F54">
        <v>0</v>
      </c>
      <c r="G54">
        <v>0</v>
      </c>
    </row>
    <row r="55" spans="1:7" x14ac:dyDescent="0.25">
      <c r="A55">
        <v>200000074</v>
      </c>
      <c r="B55" t="s">
        <v>134</v>
      </c>
      <c r="C55" t="s">
        <v>9</v>
      </c>
      <c r="D55">
        <v>0</v>
      </c>
      <c r="E55" s="15">
        <v>16.5</v>
      </c>
      <c r="F55">
        <v>0</v>
      </c>
      <c r="G55">
        <v>5</v>
      </c>
    </row>
    <row r="56" spans="1:7" x14ac:dyDescent="0.25">
      <c r="A56">
        <v>200000075</v>
      </c>
      <c r="B56" t="s">
        <v>135</v>
      </c>
      <c r="C56" t="s">
        <v>9</v>
      </c>
      <c r="D56">
        <v>0.16</v>
      </c>
      <c r="E56" s="15">
        <v>19.2</v>
      </c>
      <c r="F56">
        <v>0</v>
      </c>
      <c r="G56">
        <v>3</v>
      </c>
    </row>
    <row r="57" spans="1:7" x14ac:dyDescent="0.25">
      <c r="A57">
        <v>200001346</v>
      </c>
      <c r="B57" t="s">
        <v>136</v>
      </c>
      <c r="C57" t="s">
        <v>9</v>
      </c>
      <c r="D57">
        <v>0</v>
      </c>
      <c r="E57" s="15">
        <v>66.599999999999994</v>
      </c>
      <c r="F57">
        <v>0</v>
      </c>
      <c r="G57">
        <v>16</v>
      </c>
    </row>
    <row r="58" spans="1:7" x14ac:dyDescent="0.25">
      <c r="A58">
        <v>200001010</v>
      </c>
      <c r="B58" t="s">
        <v>137</v>
      </c>
      <c r="C58" t="s">
        <v>9</v>
      </c>
      <c r="D58">
        <v>0</v>
      </c>
      <c r="E58" s="15">
        <v>65.45</v>
      </c>
      <c r="F58">
        <v>0</v>
      </c>
      <c r="G58">
        <v>14</v>
      </c>
    </row>
    <row r="59" spans="1:7" x14ac:dyDescent="0.25">
      <c r="A59">
        <v>200001058</v>
      </c>
      <c r="B59" t="s">
        <v>139</v>
      </c>
      <c r="C59" t="s">
        <v>9</v>
      </c>
      <c r="D59">
        <v>0</v>
      </c>
      <c r="E59" s="15">
        <v>0</v>
      </c>
      <c r="F59">
        <v>0</v>
      </c>
      <c r="G59">
        <v>0</v>
      </c>
    </row>
    <row r="60" spans="1:7" x14ac:dyDescent="0.25">
      <c r="A60">
        <v>200005787</v>
      </c>
      <c r="B60" t="s">
        <v>1144</v>
      </c>
      <c r="C60" t="s">
        <v>9</v>
      </c>
      <c r="D60">
        <v>0.08</v>
      </c>
      <c r="E60" s="15">
        <v>49.66</v>
      </c>
      <c r="F60">
        <v>0</v>
      </c>
      <c r="G60">
        <v>1</v>
      </c>
    </row>
    <row r="61" spans="1:7" x14ac:dyDescent="0.25">
      <c r="A61">
        <v>200005786</v>
      </c>
      <c r="B61" t="s">
        <v>1145</v>
      </c>
      <c r="C61" t="s">
        <v>9</v>
      </c>
      <c r="D61">
        <v>0.08</v>
      </c>
      <c r="E61" s="15">
        <v>77.05</v>
      </c>
      <c r="F61">
        <v>0</v>
      </c>
      <c r="G61">
        <v>2</v>
      </c>
    </row>
    <row r="62" spans="1:7" x14ac:dyDescent="0.25">
      <c r="A62">
        <v>200002121</v>
      </c>
      <c r="B62" t="s">
        <v>146</v>
      </c>
      <c r="C62" t="s">
        <v>9</v>
      </c>
      <c r="D62">
        <v>4.16</v>
      </c>
      <c r="E62" s="15">
        <v>0.38</v>
      </c>
      <c r="F62">
        <v>0</v>
      </c>
      <c r="G62">
        <v>49</v>
      </c>
    </row>
    <row r="63" spans="1:7" x14ac:dyDescent="0.25">
      <c r="A63">
        <v>200001060</v>
      </c>
      <c r="B63" t="s">
        <v>148</v>
      </c>
      <c r="C63" t="s">
        <v>9</v>
      </c>
      <c r="D63">
        <v>0</v>
      </c>
      <c r="E63" s="15">
        <v>0</v>
      </c>
      <c r="F63">
        <v>0</v>
      </c>
      <c r="G63">
        <v>0</v>
      </c>
    </row>
    <row r="64" spans="1:7" x14ac:dyDescent="0.25">
      <c r="A64">
        <v>200005817</v>
      </c>
      <c r="B64" t="s">
        <v>149</v>
      </c>
      <c r="C64" t="s">
        <v>96</v>
      </c>
      <c r="D64">
        <v>0.41</v>
      </c>
      <c r="E64" s="15">
        <v>16.190000000000001</v>
      </c>
      <c r="F64">
        <v>0</v>
      </c>
      <c r="G64">
        <v>4</v>
      </c>
    </row>
    <row r="65" spans="1:7" x14ac:dyDescent="0.25">
      <c r="A65">
        <v>200001061</v>
      </c>
      <c r="B65" t="s">
        <v>150</v>
      </c>
      <c r="C65" t="s">
        <v>9</v>
      </c>
      <c r="D65">
        <v>0</v>
      </c>
      <c r="E65" s="15">
        <v>0</v>
      </c>
      <c r="F65">
        <v>0</v>
      </c>
      <c r="G65">
        <v>0</v>
      </c>
    </row>
    <row r="66" spans="1:7" x14ac:dyDescent="0.25">
      <c r="A66">
        <v>200005818</v>
      </c>
      <c r="B66" t="s">
        <v>151</v>
      </c>
      <c r="C66" t="s">
        <v>96</v>
      </c>
      <c r="D66">
        <v>0.33</v>
      </c>
      <c r="E66" s="15">
        <v>11.29</v>
      </c>
      <c r="F66">
        <v>0</v>
      </c>
      <c r="G66">
        <v>5</v>
      </c>
    </row>
    <row r="67" spans="1:7" x14ac:dyDescent="0.25">
      <c r="A67">
        <v>200001919</v>
      </c>
      <c r="B67" t="s">
        <v>152</v>
      </c>
      <c r="C67" t="s">
        <v>9</v>
      </c>
      <c r="D67">
        <v>0</v>
      </c>
      <c r="E67" s="15">
        <v>1.02</v>
      </c>
      <c r="F67">
        <v>0</v>
      </c>
      <c r="G67">
        <v>14</v>
      </c>
    </row>
    <row r="68" spans="1:7" x14ac:dyDescent="0.25">
      <c r="A68">
        <v>200001920</v>
      </c>
      <c r="B68" t="s">
        <v>153</v>
      </c>
      <c r="C68" t="s">
        <v>9</v>
      </c>
      <c r="D68">
        <v>0</v>
      </c>
      <c r="E68" s="15">
        <v>1.1200000000000001</v>
      </c>
      <c r="F68">
        <v>0</v>
      </c>
      <c r="G68">
        <v>23</v>
      </c>
    </row>
    <row r="69" spans="1:7" x14ac:dyDescent="0.25">
      <c r="A69">
        <v>200001921</v>
      </c>
      <c r="B69" t="s">
        <v>154</v>
      </c>
      <c r="C69" t="s">
        <v>9</v>
      </c>
      <c r="D69">
        <v>0.08</v>
      </c>
      <c r="E69" s="15">
        <v>1.93</v>
      </c>
      <c r="F69">
        <v>0</v>
      </c>
      <c r="G69">
        <v>6</v>
      </c>
    </row>
    <row r="70" spans="1:7" x14ac:dyDescent="0.25">
      <c r="A70">
        <v>200003609</v>
      </c>
      <c r="B70" t="s">
        <v>155</v>
      </c>
      <c r="C70" t="s">
        <v>9</v>
      </c>
      <c r="D70">
        <v>0</v>
      </c>
      <c r="E70" s="15">
        <v>0</v>
      </c>
      <c r="F70">
        <v>0</v>
      </c>
      <c r="G70">
        <v>0</v>
      </c>
    </row>
    <row r="71" spans="1:7" x14ac:dyDescent="0.25">
      <c r="A71">
        <v>200000112</v>
      </c>
      <c r="B71" t="s">
        <v>156</v>
      </c>
      <c r="C71" t="s">
        <v>9</v>
      </c>
      <c r="D71">
        <v>0.08</v>
      </c>
      <c r="E71" s="15">
        <v>0.44</v>
      </c>
      <c r="F71">
        <v>0</v>
      </c>
      <c r="G71">
        <v>9</v>
      </c>
    </row>
    <row r="72" spans="1:7" x14ac:dyDescent="0.25">
      <c r="A72">
        <v>200003611</v>
      </c>
      <c r="B72" t="s">
        <v>157</v>
      </c>
      <c r="C72" t="s">
        <v>9</v>
      </c>
      <c r="D72">
        <v>0.16</v>
      </c>
      <c r="E72" s="15">
        <v>3.08</v>
      </c>
      <c r="F72">
        <v>0</v>
      </c>
      <c r="G72">
        <v>5</v>
      </c>
    </row>
    <row r="73" spans="1:7" x14ac:dyDescent="0.25">
      <c r="A73">
        <v>200003612</v>
      </c>
      <c r="B73" t="s">
        <v>158</v>
      </c>
      <c r="C73" t="s">
        <v>9</v>
      </c>
      <c r="D73">
        <v>0</v>
      </c>
      <c r="E73" s="15">
        <v>10.83</v>
      </c>
      <c r="F73">
        <v>0</v>
      </c>
      <c r="G73">
        <v>5</v>
      </c>
    </row>
    <row r="74" spans="1:7" x14ac:dyDescent="0.25">
      <c r="A74">
        <v>200003610</v>
      </c>
      <c r="B74" t="s">
        <v>159</v>
      </c>
      <c r="C74" t="s">
        <v>9</v>
      </c>
      <c r="D74">
        <v>0</v>
      </c>
      <c r="E74" s="15">
        <v>2.75</v>
      </c>
      <c r="F74">
        <v>0</v>
      </c>
      <c r="G74">
        <v>6</v>
      </c>
    </row>
    <row r="75" spans="1:7" x14ac:dyDescent="0.25">
      <c r="A75">
        <v>200003613</v>
      </c>
      <c r="B75" t="s">
        <v>160</v>
      </c>
      <c r="C75" t="s">
        <v>9</v>
      </c>
      <c r="D75">
        <v>0.08</v>
      </c>
      <c r="E75" s="15">
        <v>5.35</v>
      </c>
      <c r="F75">
        <v>0</v>
      </c>
      <c r="G75">
        <v>3</v>
      </c>
    </row>
    <row r="76" spans="1:7" x14ac:dyDescent="0.25">
      <c r="A76">
        <v>200003615</v>
      </c>
      <c r="B76" t="s">
        <v>161</v>
      </c>
      <c r="C76" t="s">
        <v>9</v>
      </c>
      <c r="D76">
        <v>0</v>
      </c>
      <c r="E76" s="15">
        <v>0</v>
      </c>
      <c r="F76">
        <v>0</v>
      </c>
      <c r="G76">
        <v>0</v>
      </c>
    </row>
    <row r="77" spans="1:7" x14ac:dyDescent="0.25">
      <c r="A77">
        <v>200003614</v>
      </c>
      <c r="B77" t="s">
        <v>162</v>
      </c>
      <c r="C77" t="s">
        <v>9</v>
      </c>
      <c r="D77">
        <v>0</v>
      </c>
      <c r="E77" s="15">
        <v>0</v>
      </c>
      <c r="F77">
        <v>0</v>
      </c>
      <c r="G77">
        <v>0</v>
      </c>
    </row>
    <row r="78" spans="1:7" x14ac:dyDescent="0.25">
      <c r="A78">
        <v>200001922</v>
      </c>
      <c r="B78" t="s">
        <v>163</v>
      </c>
      <c r="C78" t="s">
        <v>9</v>
      </c>
      <c r="D78">
        <v>0</v>
      </c>
      <c r="E78" s="15">
        <v>0.5</v>
      </c>
      <c r="F78">
        <v>0</v>
      </c>
      <c r="G78">
        <v>3</v>
      </c>
    </row>
    <row r="79" spans="1:7" x14ac:dyDescent="0.25">
      <c r="A79">
        <v>200001923</v>
      </c>
      <c r="B79" t="s">
        <v>164</v>
      </c>
      <c r="C79" t="s">
        <v>9</v>
      </c>
      <c r="D79">
        <v>0</v>
      </c>
      <c r="E79" s="15">
        <v>0</v>
      </c>
      <c r="F79">
        <v>0</v>
      </c>
      <c r="G79">
        <v>0</v>
      </c>
    </row>
    <row r="80" spans="1:7" x14ac:dyDescent="0.25">
      <c r="A80">
        <v>200001924</v>
      </c>
      <c r="B80" t="s">
        <v>165</v>
      </c>
      <c r="C80" t="s">
        <v>9</v>
      </c>
      <c r="D80">
        <v>0</v>
      </c>
      <c r="E80" s="15">
        <v>0.84</v>
      </c>
      <c r="F80">
        <v>0</v>
      </c>
      <c r="G80">
        <v>10</v>
      </c>
    </row>
    <row r="81" spans="1:7" x14ac:dyDescent="0.25">
      <c r="A81">
        <v>200001925</v>
      </c>
      <c r="B81" t="s">
        <v>166</v>
      </c>
      <c r="C81" t="s">
        <v>9</v>
      </c>
      <c r="D81">
        <v>0.16</v>
      </c>
      <c r="E81" s="15">
        <v>1.93</v>
      </c>
      <c r="F81">
        <v>0</v>
      </c>
      <c r="G81">
        <v>5</v>
      </c>
    </row>
    <row r="82" spans="1:7" x14ac:dyDescent="0.25">
      <c r="A82">
        <v>200001926</v>
      </c>
      <c r="B82" t="s">
        <v>167</v>
      </c>
      <c r="C82" t="s">
        <v>9</v>
      </c>
      <c r="D82">
        <v>0.75</v>
      </c>
      <c r="E82" s="15">
        <v>3.66</v>
      </c>
      <c r="F82">
        <v>0</v>
      </c>
      <c r="G82">
        <v>6</v>
      </c>
    </row>
    <row r="83" spans="1:7" x14ac:dyDescent="0.25">
      <c r="A83">
        <v>200003595</v>
      </c>
      <c r="B83" t="s">
        <v>169</v>
      </c>
      <c r="C83" t="s">
        <v>9</v>
      </c>
      <c r="D83">
        <v>0</v>
      </c>
      <c r="E83" s="15">
        <v>14</v>
      </c>
      <c r="F83">
        <v>0</v>
      </c>
      <c r="G83">
        <v>1</v>
      </c>
    </row>
    <row r="84" spans="1:7" x14ac:dyDescent="0.25">
      <c r="A84">
        <v>200003594</v>
      </c>
      <c r="B84" t="s">
        <v>171</v>
      </c>
      <c r="C84" t="s">
        <v>9</v>
      </c>
      <c r="D84">
        <v>0.16</v>
      </c>
      <c r="E84" s="15">
        <v>31.93</v>
      </c>
      <c r="F84">
        <v>0</v>
      </c>
      <c r="G84">
        <v>2</v>
      </c>
    </row>
    <row r="85" spans="1:7" x14ac:dyDescent="0.25">
      <c r="A85">
        <v>200004980</v>
      </c>
      <c r="B85" t="s">
        <v>175</v>
      </c>
      <c r="C85" t="s">
        <v>9</v>
      </c>
      <c r="D85">
        <v>0</v>
      </c>
      <c r="E85" s="15">
        <v>14.82</v>
      </c>
      <c r="F85">
        <v>0</v>
      </c>
      <c r="G85">
        <v>5</v>
      </c>
    </row>
    <row r="86" spans="1:7" x14ac:dyDescent="0.25">
      <c r="A86">
        <v>200000141</v>
      </c>
      <c r="B86" t="s">
        <v>176</v>
      </c>
      <c r="C86" t="s">
        <v>9</v>
      </c>
      <c r="D86">
        <v>0</v>
      </c>
      <c r="E86" s="15">
        <v>0</v>
      </c>
      <c r="F86">
        <v>0</v>
      </c>
      <c r="G86">
        <v>0</v>
      </c>
    </row>
    <row r="87" spans="1:7" x14ac:dyDescent="0.25">
      <c r="A87">
        <v>200002469</v>
      </c>
      <c r="B87" t="s">
        <v>177</v>
      </c>
      <c r="C87" t="s">
        <v>9</v>
      </c>
      <c r="D87">
        <v>0</v>
      </c>
      <c r="E87" s="15">
        <v>0</v>
      </c>
      <c r="F87">
        <v>0</v>
      </c>
      <c r="G87">
        <v>0</v>
      </c>
    </row>
    <row r="88" spans="1:7" x14ac:dyDescent="0.25">
      <c r="A88">
        <v>200000142</v>
      </c>
      <c r="B88" t="s">
        <v>179</v>
      </c>
      <c r="C88" t="s">
        <v>9</v>
      </c>
      <c r="D88">
        <v>0</v>
      </c>
      <c r="E88" s="15">
        <v>0</v>
      </c>
      <c r="F88">
        <v>0</v>
      </c>
      <c r="G88">
        <v>0</v>
      </c>
    </row>
    <row r="89" spans="1:7" x14ac:dyDescent="0.25">
      <c r="A89">
        <v>200002056</v>
      </c>
      <c r="B89" t="s">
        <v>187</v>
      </c>
      <c r="C89" t="s">
        <v>9</v>
      </c>
      <c r="D89">
        <v>0.66</v>
      </c>
      <c r="E89" s="15">
        <v>0</v>
      </c>
      <c r="F89">
        <v>0</v>
      </c>
      <c r="G89">
        <v>0</v>
      </c>
    </row>
    <row r="90" spans="1:7" x14ac:dyDescent="0.25">
      <c r="A90">
        <v>200001015</v>
      </c>
      <c r="B90" t="s">
        <v>197</v>
      </c>
      <c r="C90" t="s">
        <v>9</v>
      </c>
      <c r="D90">
        <v>0.08</v>
      </c>
      <c r="E90" s="15">
        <v>47.36</v>
      </c>
      <c r="F90">
        <v>0</v>
      </c>
      <c r="G90">
        <v>2</v>
      </c>
    </row>
    <row r="91" spans="1:7" x14ac:dyDescent="0.25">
      <c r="A91">
        <v>200001927</v>
      </c>
      <c r="B91" t="s">
        <v>199</v>
      </c>
      <c r="C91" t="s">
        <v>9</v>
      </c>
      <c r="D91">
        <v>0</v>
      </c>
      <c r="E91" s="15">
        <v>0</v>
      </c>
      <c r="F91">
        <v>0</v>
      </c>
      <c r="G91">
        <v>0</v>
      </c>
    </row>
    <row r="92" spans="1:7" x14ac:dyDescent="0.25">
      <c r="A92">
        <v>200002359</v>
      </c>
      <c r="B92" t="s">
        <v>201</v>
      </c>
      <c r="C92" t="s">
        <v>9</v>
      </c>
      <c r="D92">
        <v>0</v>
      </c>
      <c r="E92" s="15">
        <v>106.34</v>
      </c>
      <c r="F92">
        <v>0</v>
      </c>
      <c r="G92">
        <v>2</v>
      </c>
    </row>
    <row r="93" spans="1:7" x14ac:dyDescent="0.25">
      <c r="A93">
        <v>200002122</v>
      </c>
      <c r="B93" t="s">
        <v>202</v>
      </c>
      <c r="C93" t="s">
        <v>9</v>
      </c>
      <c r="D93">
        <v>1.1599999999999999</v>
      </c>
      <c r="E93" s="15">
        <v>12.15</v>
      </c>
      <c r="F93">
        <v>0</v>
      </c>
      <c r="G93">
        <v>20</v>
      </c>
    </row>
    <row r="94" spans="1:7" x14ac:dyDescent="0.25">
      <c r="A94">
        <v>200004555</v>
      </c>
      <c r="B94" t="s">
        <v>202</v>
      </c>
      <c r="C94" t="s">
        <v>9</v>
      </c>
      <c r="D94">
        <v>0</v>
      </c>
      <c r="E94" s="15">
        <v>0</v>
      </c>
      <c r="F94">
        <v>0</v>
      </c>
      <c r="G94">
        <v>0</v>
      </c>
    </row>
    <row r="95" spans="1:7" x14ac:dyDescent="0.25">
      <c r="A95">
        <v>200001928</v>
      </c>
      <c r="B95" t="s">
        <v>210</v>
      </c>
      <c r="C95" t="s">
        <v>9</v>
      </c>
      <c r="D95">
        <v>0.25</v>
      </c>
      <c r="E95" s="15">
        <v>1.58</v>
      </c>
      <c r="F95">
        <v>0</v>
      </c>
      <c r="G95">
        <v>4</v>
      </c>
    </row>
    <row r="96" spans="1:7" x14ac:dyDescent="0.25">
      <c r="A96">
        <v>200003624</v>
      </c>
      <c r="B96" t="s">
        <v>211</v>
      </c>
      <c r="C96" t="s">
        <v>9</v>
      </c>
      <c r="D96">
        <v>0</v>
      </c>
      <c r="E96" s="15">
        <v>3.6</v>
      </c>
      <c r="F96">
        <v>0</v>
      </c>
      <c r="G96">
        <v>7</v>
      </c>
    </row>
    <row r="97" spans="1:7" x14ac:dyDescent="0.25">
      <c r="A97">
        <v>200003625</v>
      </c>
      <c r="B97" t="s">
        <v>212</v>
      </c>
      <c r="C97" t="s">
        <v>9</v>
      </c>
      <c r="D97">
        <v>0</v>
      </c>
      <c r="E97" s="15">
        <v>4.6900000000000004</v>
      </c>
      <c r="F97">
        <v>0</v>
      </c>
      <c r="G97">
        <v>2</v>
      </c>
    </row>
    <row r="98" spans="1:7" x14ac:dyDescent="0.25">
      <c r="A98">
        <v>200000175</v>
      </c>
      <c r="B98" t="s">
        <v>213</v>
      </c>
      <c r="C98" t="s">
        <v>9</v>
      </c>
      <c r="D98">
        <v>0</v>
      </c>
      <c r="E98" s="15">
        <v>1.62</v>
      </c>
      <c r="F98">
        <v>0</v>
      </c>
      <c r="G98">
        <v>5</v>
      </c>
    </row>
    <row r="99" spans="1:7" x14ac:dyDescent="0.25">
      <c r="A99">
        <v>200003626</v>
      </c>
      <c r="B99" t="s">
        <v>214</v>
      </c>
      <c r="C99" t="s">
        <v>9</v>
      </c>
      <c r="D99">
        <v>0</v>
      </c>
      <c r="E99" s="15">
        <v>6.11</v>
      </c>
      <c r="F99">
        <v>0</v>
      </c>
      <c r="G99">
        <v>2</v>
      </c>
    </row>
    <row r="100" spans="1:7" x14ac:dyDescent="0.25">
      <c r="A100">
        <v>200000176</v>
      </c>
      <c r="B100" t="s">
        <v>215</v>
      </c>
      <c r="C100" t="s">
        <v>9</v>
      </c>
      <c r="D100">
        <v>0</v>
      </c>
      <c r="E100" s="15">
        <v>0.99</v>
      </c>
      <c r="F100">
        <v>0</v>
      </c>
      <c r="G100">
        <v>10</v>
      </c>
    </row>
    <row r="101" spans="1:7" x14ac:dyDescent="0.25">
      <c r="A101">
        <v>200001931</v>
      </c>
      <c r="B101" t="s">
        <v>223</v>
      </c>
      <c r="C101" t="s">
        <v>9</v>
      </c>
      <c r="D101">
        <v>0.16</v>
      </c>
      <c r="E101" s="15">
        <v>6.9</v>
      </c>
      <c r="F101">
        <v>0</v>
      </c>
      <c r="G101">
        <v>1</v>
      </c>
    </row>
    <row r="102" spans="1:7" x14ac:dyDescent="0.25">
      <c r="A102">
        <v>200001930</v>
      </c>
      <c r="B102" t="s">
        <v>225</v>
      </c>
      <c r="C102" t="s">
        <v>9</v>
      </c>
      <c r="D102">
        <v>0.08</v>
      </c>
      <c r="E102" s="15">
        <v>5.0599999999999996</v>
      </c>
      <c r="F102">
        <v>0</v>
      </c>
      <c r="G102">
        <v>3</v>
      </c>
    </row>
    <row r="103" spans="1:7" x14ac:dyDescent="0.25">
      <c r="A103">
        <v>200001929</v>
      </c>
      <c r="B103" t="s">
        <v>226</v>
      </c>
      <c r="C103" t="s">
        <v>9</v>
      </c>
      <c r="D103">
        <v>0</v>
      </c>
      <c r="E103" s="15">
        <v>1.0900000000000001</v>
      </c>
      <c r="F103">
        <v>0</v>
      </c>
      <c r="G103">
        <v>10</v>
      </c>
    </row>
    <row r="104" spans="1:7" x14ac:dyDescent="0.25">
      <c r="A104">
        <v>200001350</v>
      </c>
      <c r="B104" t="s">
        <v>227</v>
      </c>
      <c r="C104" t="s">
        <v>9</v>
      </c>
      <c r="D104">
        <v>0.5</v>
      </c>
      <c r="E104" s="15">
        <v>2.75</v>
      </c>
      <c r="F104">
        <v>0</v>
      </c>
      <c r="G104">
        <v>3</v>
      </c>
    </row>
    <row r="105" spans="1:7" x14ac:dyDescent="0.25">
      <c r="A105">
        <v>200001932</v>
      </c>
      <c r="B105" t="s">
        <v>216</v>
      </c>
      <c r="C105" t="s">
        <v>9</v>
      </c>
      <c r="D105">
        <v>0</v>
      </c>
      <c r="E105" s="15">
        <v>1.96</v>
      </c>
      <c r="F105">
        <v>0</v>
      </c>
      <c r="G105">
        <v>4</v>
      </c>
    </row>
    <row r="106" spans="1:7" x14ac:dyDescent="0.25">
      <c r="A106">
        <v>200001933</v>
      </c>
      <c r="B106" t="s">
        <v>217</v>
      </c>
      <c r="C106" t="s">
        <v>9</v>
      </c>
      <c r="D106">
        <v>0</v>
      </c>
      <c r="E106" s="15">
        <v>0</v>
      </c>
      <c r="F106">
        <v>0</v>
      </c>
      <c r="G106">
        <v>0</v>
      </c>
    </row>
    <row r="107" spans="1:7" x14ac:dyDescent="0.25">
      <c r="A107">
        <v>200001934</v>
      </c>
      <c r="B107" t="s">
        <v>218</v>
      </c>
      <c r="C107" t="s">
        <v>9</v>
      </c>
      <c r="D107">
        <v>0.25</v>
      </c>
      <c r="E107" s="15">
        <v>0</v>
      </c>
      <c r="F107">
        <v>0</v>
      </c>
      <c r="G107">
        <v>0</v>
      </c>
    </row>
    <row r="108" spans="1:7" x14ac:dyDescent="0.25">
      <c r="A108">
        <v>200001935</v>
      </c>
      <c r="B108" t="s">
        <v>219</v>
      </c>
      <c r="C108" t="s">
        <v>9</v>
      </c>
      <c r="D108">
        <v>0.16</v>
      </c>
      <c r="E108" s="15">
        <v>1.88</v>
      </c>
      <c r="F108">
        <v>0</v>
      </c>
      <c r="G108">
        <v>6</v>
      </c>
    </row>
    <row r="109" spans="1:7" x14ac:dyDescent="0.25">
      <c r="A109">
        <v>200003596</v>
      </c>
      <c r="B109" t="s">
        <v>220</v>
      </c>
      <c r="C109" t="s">
        <v>9</v>
      </c>
      <c r="D109">
        <v>0</v>
      </c>
      <c r="E109" s="15">
        <v>3.25</v>
      </c>
      <c r="F109">
        <v>0</v>
      </c>
      <c r="G109">
        <v>2</v>
      </c>
    </row>
    <row r="110" spans="1:7" x14ac:dyDescent="0.25">
      <c r="A110">
        <v>200003597</v>
      </c>
      <c r="B110" t="s">
        <v>221</v>
      </c>
      <c r="C110" t="s">
        <v>9</v>
      </c>
      <c r="D110">
        <v>0.16</v>
      </c>
      <c r="E110" s="15">
        <v>5.0599999999999996</v>
      </c>
      <c r="F110">
        <v>0</v>
      </c>
      <c r="G110">
        <v>2</v>
      </c>
    </row>
    <row r="111" spans="1:7" x14ac:dyDescent="0.25">
      <c r="A111">
        <v>200001016</v>
      </c>
      <c r="B111" t="s">
        <v>229</v>
      </c>
      <c r="C111" t="s">
        <v>9</v>
      </c>
      <c r="D111">
        <v>0</v>
      </c>
      <c r="E111" s="15">
        <v>50.7</v>
      </c>
      <c r="F111">
        <v>0</v>
      </c>
      <c r="G111">
        <v>11</v>
      </c>
    </row>
    <row r="112" spans="1:7" x14ac:dyDescent="0.25">
      <c r="A112">
        <v>200001017</v>
      </c>
      <c r="B112" t="s">
        <v>231</v>
      </c>
      <c r="C112" t="s">
        <v>9</v>
      </c>
      <c r="D112">
        <v>0.08</v>
      </c>
      <c r="E112" s="15">
        <v>14.89</v>
      </c>
      <c r="F112">
        <v>0</v>
      </c>
      <c r="G112">
        <v>19</v>
      </c>
    </row>
    <row r="113" spans="1:7" x14ac:dyDescent="0.25">
      <c r="A113">
        <v>200002123</v>
      </c>
      <c r="B113" t="s">
        <v>234</v>
      </c>
      <c r="C113" t="s">
        <v>9</v>
      </c>
      <c r="D113">
        <v>0</v>
      </c>
      <c r="E113" s="15">
        <v>0</v>
      </c>
      <c r="F113">
        <v>0</v>
      </c>
      <c r="G113">
        <v>0</v>
      </c>
    </row>
    <row r="114" spans="1:7" x14ac:dyDescent="0.25">
      <c r="A114">
        <v>200003886</v>
      </c>
      <c r="B114" t="s">
        <v>238</v>
      </c>
      <c r="C114" t="s">
        <v>9</v>
      </c>
      <c r="D114">
        <v>0</v>
      </c>
      <c r="E114" s="15">
        <v>0</v>
      </c>
      <c r="F114">
        <v>0</v>
      </c>
      <c r="G114">
        <v>0</v>
      </c>
    </row>
    <row r="115" spans="1:7" x14ac:dyDescent="0.25">
      <c r="A115">
        <v>200002125</v>
      </c>
      <c r="B115" t="s">
        <v>240</v>
      </c>
      <c r="C115" t="s">
        <v>9</v>
      </c>
      <c r="D115">
        <v>0</v>
      </c>
      <c r="E115" s="15">
        <v>0</v>
      </c>
      <c r="F115">
        <v>0</v>
      </c>
      <c r="G115">
        <v>0</v>
      </c>
    </row>
    <row r="116" spans="1:7" x14ac:dyDescent="0.25">
      <c r="A116">
        <v>200005723</v>
      </c>
      <c r="B116" t="s">
        <v>242</v>
      </c>
      <c r="C116" t="s">
        <v>9</v>
      </c>
      <c r="D116">
        <v>0</v>
      </c>
      <c r="E116" s="15">
        <v>0</v>
      </c>
      <c r="F116">
        <v>0</v>
      </c>
      <c r="G116">
        <v>0</v>
      </c>
    </row>
    <row r="117" spans="1:7" x14ac:dyDescent="0.25">
      <c r="A117">
        <v>200001153</v>
      </c>
      <c r="B117" t="s">
        <v>253</v>
      </c>
      <c r="C117" t="s">
        <v>9</v>
      </c>
      <c r="D117">
        <v>5</v>
      </c>
      <c r="E117" s="15">
        <v>1.35</v>
      </c>
      <c r="F117">
        <v>0</v>
      </c>
      <c r="G117">
        <v>303</v>
      </c>
    </row>
    <row r="118" spans="1:7" x14ac:dyDescent="0.25">
      <c r="A118">
        <v>200001151</v>
      </c>
      <c r="B118" t="s">
        <v>254</v>
      </c>
      <c r="C118" t="s">
        <v>9</v>
      </c>
      <c r="D118">
        <v>9.58</v>
      </c>
      <c r="E118" s="15">
        <v>1.35</v>
      </c>
      <c r="F118">
        <v>0</v>
      </c>
      <c r="G118">
        <v>218</v>
      </c>
    </row>
    <row r="119" spans="1:7" x14ac:dyDescent="0.25">
      <c r="A119">
        <v>200001156</v>
      </c>
      <c r="B119" t="s">
        <v>255</v>
      </c>
      <c r="C119" t="s">
        <v>9</v>
      </c>
      <c r="D119">
        <v>1.66</v>
      </c>
      <c r="E119" s="15">
        <v>1.35</v>
      </c>
      <c r="F119">
        <v>0</v>
      </c>
      <c r="G119">
        <v>412</v>
      </c>
    </row>
    <row r="120" spans="1:7" x14ac:dyDescent="0.25">
      <c r="A120">
        <v>200001164</v>
      </c>
      <c r="B120" t="s">
        <v>256</v>
      </c>
      <c r="C120" t="s">
        <v>9</v>
      </c>
      <c r="D120">
        <v>7.91</v>
      </c>
      <c r="E120" s="15">
        <v>1.35</v>
      </c>
      <c r="F120">
        <v>0</v>
      </c>
      <c r="G120">
        <v>283</v>
      </c>
    </row>
    <row r="121" spans="1:7" x14ac:dyDescent="0.25">
      <c r="A121">
        <v>200002760</v>
      </c>
      <c r="B121" t="s">
        <v>257</v>
      </c>
      <c r="C121" t="s">
        <v>9</v>
      </c>
      <c r="D121">
        <v>0</v>
      </c>
      <c r="E121" s="15">
        <v>0</v>
      </c>
      <c r="F121">
        <v>0</v>
      </c>
      <c r="G121">
        <v>0</v>
      </c>
    </row>
    <row r="122" spans="1:7" x14ac:dyDescent="0.25">
      <c r="A122">
        <v>200001165</v>
      </c>
      <c r="B122" t="s">
        <v>258</v>
      </c>
      <c r="C122" t="s">
        <v>9</v>
      </c>
      <c r="D122">
        <v>0</v>
      </c>
      <c r="E122" s="15">
        <v>0</v>
      </c>
      <c r="F122">
        <v>0</v>
      </c>
      <c r="G122">
        <v>0</v>
      </c>
    </row>
    <row r="123" spans="1:7" x14ac:dyDescent="0.25">
      <c r="A123">
        <v>200002766</v>
      </c>
      <c r="B123" t="s">
        <v>259</v>
      </c>
      <c r="C123" t="s">
        <v>9</v>
      </c>
      <c r="D123">
        <v>17.91</v>
      </c>
      <c r="E123" s="15">
        <v>1.35</v>
      </c>
      <c r="F123">
        <v>0</v>
      </c>
      <c r="G123">
        <v>567</v>
      </c>
    </row>
    <row r="124" spans="1:7" x14ac:dyDescent="0.25">
      <c r="A124">
        <v>200002768</v>
      </c>
      <c r="B124" t="s">
        <v>260</v>
      </c>
      <c r="C124" t="s">
        <v>9</v>
      </c>
      <c r="D124">
        <v>3.33</v>
      </c>
      <c r="E124" s="15">
        <v>1.35</v>
      </c>
      <c r="F124">
        <v>0</v>
      </c>
      <c r="G124">
        <v>264</v>
      </c>
    </row>
    <row r="125" spans="1:7" x14ac:dyDescent="0.25">
      <c r="A125">
        <v>200001148</v>
      </c>
      <c r="B125" t="s">
        <v>261</v>
      </c>
      <c r="C125" t="s">
        <v>9</v>
      </c>
      <c r="D125">
        <v>12.5</v>
      </c>
      <c r="E125" s="15">
        <v>1.35</v>
      </c>
      <c r="F125">
        <v>0</v>
      </c>
      <c r="G125">
        <v>27</v>
      </c>
    </row>
    <row r="126" spans="1:7" x14ac:dyDescent="0.25">
      <c r="A126">
        <v>200000962</v>
      </c>
      <c r="B126" t="s">
        <v>262</v>
      </c>
      <c r="C126" t="s">
        <v>9</v>
      </c>
      <c r="D126">
        <v>0</v>
      </c>
      <c r="E126" s="15">
        <v>0</v>
      </c>
      <c r="F126">
        <v>0</v>
      </c>
      <c r="G126">
        <v>0</v>
      </c>
    </row>
    <row r="127" spans="1:7" x14ac:dyDescent="0.25">
      <c r="A127">
        <v>200002728</v>
      </c>
      <c r="B127" t="s">
        <v>263</v>
      </c>
      <c r="C127" t="s">
        <v>9</v>
      </c>
      <c r="D127">
        <v>7.91</v>
      </c>
      <c r="E127" s="15">
        <v>1.35</v>
      </c>
      <c r="F127">
        <v>0</v>
      </c>
      <c r="G127">
        <v>179</v>
      </c>
    </row>
    <row r="128" spans="1:7" x14ac:dyDescent="0.25">
      <c r="A128">
        <v>200000967</v>
      </c>
      <c r="B128" t="s">
        <v>264</v>
      </c>
      <c r="C128" t="s">
        <v>9</v>
      </c>
      <c r="D128">
        <v>0.91</v>
      </c>
      <c r="E128" s="15">
        <v>0</v>
      </c>
      <c r="F128">
        <v>0</v>
      </c>
      <c r="G128">
        <v>0</v>
      </c>
    </row>
    <row r="129" spans="1:7" x14ac:dyDescent="0.25">
      <c r="A129">
        <v>200001157</v>
      </c>
      <c r="B129" t="s">
        <v>265</v>
      </c>
      <c r="C129" t="s">
        <v>9</v>
      </c>
      <c r="D129">
        <v>5</v>
      </c>
      <c r="E129" s="15">
        <v>1.35</v>
      </c>
      <c r="F129">
        <v>0</v>
      </c>
      <c r="G129">
        <v>589</v>
      </c>
    </row>
    <row r="130" spans="1:7" x14ac:dyDescent="0.25">
      <c r="A130">
        <v>200001158</v>
      </c>
      <c r="B130" t="s">
        <v>266</v>
      </c>
      <c r="C130" t="s">
        <v>9</v>
      </c>
      <c r="D130">
        <v>3.33</v>
      </c>
      <c r="E130" s="15">
        <v>0</v>
      </c>
      <c r="F130">
        <v>0</v>
      </c>
      <c r="G130">
        <v>0</v>
      </c>
    </row>
    <row r="131" spans="1:7" x14ac:dyDescent="0.25">
      <c r="A131">
        <v>200002731</v>
      </c>
      <c r="B131" t="s">
        <v>267</v>
      </c>
      <c r="C131" t="s">
        <v>9</v>
      </c>
      <c r="D131">
        <v>2.5</v>
      </c>
      <c r="E131" s="15">
        <v>1.35</v>
      </c>
      <c r="F131">
        <v>0</v>
      </c>
      <c r="G131">
        <v>346</v>
      </c>
    </row>
    <row r="132" spans="1:7" x14ac:dyDescent="0.25">
      <c r="A132">
        <v>200001160</v>
      </c>
      <c r="B132" t="s">
        <v>268</v>
      </c>
      <c r="C132" t="s">
        <v>9</v>
      </c>
      <c r="D132">
        <v>0</v>
      </c>
      <c r="E132" s="15">
        <v>1.35</v>
      </c>
      <c r="F132">
        <v>0</v>
      </c>
      <c r="G132">
        <v>615</v>
      </c>
    </row>
    <row r="133" spans="1:7" x14ac:dyDescent="0.25">
      <c r="A133">
        <v>200000974</v>
      </c>
      <c r="B133" t="s">
        <v>269</v>
      </c>
      <c r="C133" t="s">
        <v>9</v>
      </c>
      <c r="D133">
        <v>2.91</v>
      </c>
      <c r="E133" s="15">
        <v>0</v>
      </c>
      <c r="F133">
        <v>0</v>
      </c>
      <c r="G133">
        <v>0</v>
      </c>
    </row>
    <row r="134" spans="1:7" x14ac:dyDescent="0.25">
      <c r="A134">
        <v>200002743</v>
      </c>
      <c r="B134" t="s">
        <v>270</v>
      </c>
      <c r="C134" t="s">
        <v>9</v>
      </c>
      <c r="D134">
        <v>4.16</v>
      </c>
      <c r="E134" s="15">
        <v>1.35</v>
      </c>
      <c r="F134">
        <v>0</v>
      </c>
      <c r="G134">
        <v>234</v>
      </c>
    </row>
    <row r="135" spans="1:7" x14ac:dyDescent="0.25">
      <c r="A135">
        <v>200006061</v>
      </c>
      <c r="B135" t="s">
        <v>271</v>
      </c>
      <c r="C135" t="s">
        <v>9</v>
      </c>
      <c r="D135">
        <v>4</v>
      </c>
      <c r="E135" s="15">
        <v>0</v>
      </c>
      <c r="F135">
        <v>0</v>
      </c>
      <c r="G135">
        <v>0</v>
      </c>
    </row>
    <row r="136" spans="1:7" x14ac:dyDescent="0.25">
      <c r="A136">
        <v>200002747</v>
      </c>
      <c r="B136" t="s">
        <v>272</v>
      </c>
      <c r="C136" t="s">
        <v>9</v>
      </c>
      <c r="D136">
        <v>7.5</v>
      </c>
      <c r="E136" s="15">
        <v>1.35</v>
      </c>
      <c r="F136">
        <v>0</v>
      </c>
      <c r="G136">
        <v>85</v>
      </c>
    </row>
    <row r="137" spans="1:7" x14ac:dyDescent="0.25">
      <c r="A137">
        <v>200002753</v>
      </c>
      <c r="B137" t="s">
        <v>273</v>
      </c>
      <c r="C137" t="s">
        <v>9</v>
      </c>
      <c r="D137">
        <v>1.66</v>
      </c>
      <c r="E137" s="15">
        <v>1.35</v>
      </c>
      <c r="F137">
        <v>0</v>
      </c>
      <c r="G137">
        <v>329</v>
      </c>
    </row>
    <row r="138" spans="1:7" x14ac:dyDescent="0.25">
      <c r="A138">
        <v>200000977</v>
      </c>
      <c r="B138" t="s">
        <v>274</v>
      </c>
      <c r="C138" t="s">
        <v>9</v>
      </c>
      <c r="D138">
        <v>3.58</v>
      </c>
      <c r="E138" s="15">
        <v>0</v>
      </c>
      <c r="F138">
        <v>0</v>
      </c>
      <c r="G138">
        <v>0</v>
      </c>
    </row>
    <row r="139" spans="1:7" x14ac:dyDescent="0.25">
      <c r="A139">
        <v>200004640</v>
      </c>
      <c r="B139" t="s">
        <v>275</v>
      </c>
      <c r="C139" t="s">
        <v>9</v>
      </c>
      <c r="D139">
        <v>7.08</v>
      </c>
      <c r="E139" s="15">
        <v>1.35</v>
      </c>
      <c r="F139">
        <v>0</v>
      </c>
      <c r="G139">
        <v>140</v>
      </c>
    </row>
    <row r="140" spans="1:7" x14ac:dyDescent="0.25">
      <c r="A140">
        <v>200004576</v>
      </c>
      <c r="B140" t="s">
        <v>276</v>
      </c>
      <c r="C140" t="s">
        <v>9</v>
      </c>
      <c r="D140">
        <v>3.33</v>
      </c>
      <c r="E140" s="15">
        <v>1.35</v>
      </c>
      <c r="F140">
        <v>0</v>
      </c>
      <c r="G140">
        <v>375</v>
      </c>
    </row>
    <row r="141" spans="1:7" x14ac:dyDescent="0.25">
      <c r="A141">
        <v>200000836</v>
      </c>
      <c r="B141" t="s">
        <v>277</v>
      </c>
      <c r="C141" t="s">
        <v>9</v>
      </c>
      <c r="D141">
        <v>0</v>
      </c>
      <c r="E141" s="15">
        <v>0</v>
      </c>
      <c r="F141">
        <v>0</v>
      </c>
      <c r="G141">
        <v>0</v>
      </c>
    </row>
    <row r="142" spans="1:7" x14ac:dyDescent="0.25">
      <c r="A142">
        <v>200004575</v>
      </c>
      <c r="B142" t="s">
        <v>278</v>
      </c>
      <c r="C142" t="s">
        <v>9</v>
      </c>
      <c r="D142">
        <v>1.66</v>
      </c>
      <c r="E142" s="15">
        <v>1.35</v>
      </c>
      <c r="F142">
        <v>0</v>
      </c>
      <c r="G142">
        <v>414</v>
      </c>
    </row>
    <row r="143" spans="1:7" x14ac:dyDescent="0.25">
      <c r="A143">
        <v>200004574</v>
      </c>
      <c r="B143" t="s">
        <v>279</v>
      </c>
      <c r="C143" t="s">
        <v>9</v>
      </c>
      <c r="D143">
        <v>5.83</v>
      </c>
      <c r="E143" s="15">
        <v>1.35</v>
      </c>
      <c r="F143">
        <v>0</v>
      </c>
      <c r="G143">
        <v>250</v>
      </c>
    </row>
    <row r="144" spans="1:7" x14ac:dyDescent="0.25">
      <c r="A144">
        <v>200004573</v>
      </c>
      <c r="B144" t="s">
        <v>280</v>
      </c>
      <c r="C144" t="s">
        <v>9</v>
      </c>
      <c r="D144">
        <v>4.16</v>
      </c>
      <c r="E144" s="15">
        <v>1.35</v>
      </c>
      <c r="F144">
        <v>0</v>
      </c>
      <c r="G144">
        <v>582</v>
      </c>
    </row>
    <row r="145" spans="1:7" x14ac:dyDescent="0.25">
      <c r="A145">
        <v>200000819</v>
      </c>
      <c r="B145" t="s">
        <v>282</v>
      </c>
      <c r="C145" t="s">
        <v>9</v>
      </c>
      <c r="D145">
        <v>0</v>
      </c>
      <c r="E145" s="15">
        <v>0</v>
      </c>
      <c r="F145">
        <v>0</v>
      </c>
      <c r="G145">
        <v>0</v>
      </c>
    </row>
    <row r="146" spans="1:7" x14ac:dyDescent="0.25">
      <c r="A146">
        <v>200004639</v>
      </c>
      <c r="B146" t="s">
        <v>283</v>
      </c>
      <c r="C146" t="s">
        <v>9</v>
      </c>
      <c r="D146">
        <v>2.91</v>
      </c>
      <c r="E146" s="15">
        <v>4.8</v>
      </c>
      <c r="F146">
        <v>0</v>
      </c>
      <c r="G146">
        <v>591</v>
      </c>
    </row>
    <row r="147" spans="1:7" x14ac:dyDescent="0.25">
      <c r="A147">
        <v>200002107</v>
      </c>
      <c r="B147" t="s">
        <v>285</v>
      </c>
      <c r="C147" t="s">
        <v>86</v>
      </c>
      <c r="D147">
        <v>0</v>
      </c>
      <c r="E147" s="15">
        <v>0</v>
      </c>
      <c r="F147">
        <v>0</v>
      </c>
      <c r="G147">
        <v>0</v>
      </c>
    </row>
    <row r="148" spans="1:7" x14ac:dyDescent="0.25">
      <c r="A148">
        <v>200000202</v>
      </c>
      <c r="B148" t="s">
        <v>287</v>
      </c>
      <c r="C148" t="s">
        <v>82</v>
      </c>
      <c r="D148">
        <v>0.66</v>
      </c>
      <c r="E148" s="15">
        <v>0</v>
      </c>
      <c r="F148">
        <v>0</v>
      </c>
      <c r="G148">
        <v>0</v>
      </c>
    </row>
    <row r="149" spans="1:7" x14ac:dyDescent="0.25">
      <c r="A149">
        <v>200002109</v>
      </c>
      <c r="B149" t="s">
        <v>289</v>
      </c>
      <c r="C149" t="s">
        <v>96</v>
      </c>
      <c r="D149">
        <v>0</v>
      </c>
      <c r="E149" s="15">
        <v>11.24</v>
      </c>
      <c r="F149">
        <v>0</v>
      </c>
      <c r="G149">
        <v>7</v>
      </c>
    </row>
    <row r="150" spans="1:7" x14ac:dyDescent="0.25">
      <c r="A150">
        <v>200004182</v>
      </c>
      <c r="B150" t="s">
        <v>291</v>
      </c>
      <c r="C150" t="s">
        <v>9</v>
      </c>
      <c r="D150">
        <v>0</v>
      </c>
      <c r="E150" s="15">
        <v>0</v>
      </c>
      <c r="F150">
        <v>0</v>
      </c>
      <c r="G150">
        <v>0</v>
      </c>
    </row>
    <row r="151" spans="1:7" x14ac:dyDescent="0.25">
      <c r="A151">
        <v>200003819</v>
      </c>
      <c r="B151" t="s">
        <v>292</v>
      </c>
      <c r="C151" t="s">
        <v>63</v>
      </c>
      <c r="D151">
        <v>0</v>
      </c>
      <c r="E151" s="15">
        <v>0</v>
      </c>
      <c r="F151">
        <v>0</v>
      </c>
      <c r="G151">
        <v>0</v>
      </c>
    </row>
    <row r="152" spans="1:7" x14ac:dyDescent="0.25">
      <c r="A152">
        <v>200003538</v>
      </c>
      <c r="B152" t="s">
        <v>295</v>
      </c>
      <c r="C152" t="s">
        <v>9</v>
      </c>
      <c r="D152">
        <v>0</v>
      </c>
      <c r="E152" s="15">
        <v>14.37</v>
      </c>
      <c r="F152">
        <v>0</v>
      </c>
      <c r="G152">
        <v>2</v>
      </c>
    </row>
    <row r="153" spans="1:7" x14ac:dyDescent="0.25">
      <c r="A153">
        <v>200003536</v>
      </c>
      <c r="B153" t="s">
        <v>296</v>
      </c>
      <c r="C153" t="s">
        <v>9</v>
      </c>
      <c r="D153">
        <v>0</v>
      </c>
      <c r="E153" s="15">
        <v>22.46</v>
      </c>
      <c r="F153">
        <v>0</v>
      </c>
      <c r="G153">
        <v>3</v>
      </c>
    </row>
    <row r="154" spans="1:7" x14ac:dyDescent="0.25">
      <c r="A154">
        <v>200003537</v>
      </c>
      <c r="B154" t="s">
        <v>297</v>
      </c>
      <c r="C154" t="s">
        <v>9</v>
      </c>
      <c r="D154">
        <v>0</v>
      </c>
      <c r="E154" s="15">
        <v>23.75</v>
      </c>
      <c r="F154">
        <v>0</v>
      </c>
      <c r="G154">
        <v>4</v>
      </c>
    </row>
    <row r="155" spans="1:7" x14ac:dyDescent="0.25">
      <c r="A155">
        <v>200004010</v>
      </c>
      <c r="B155" t="s">
        <v>299</v>
      </c>
      <c r="C155" t="s">
        <v>9</v>
      </c>
      <c r="D155">
        <v>0.5</v>
      </c>
      <c r="E155" s="15">
        <v>29.66</v>
      </c>
      <c r="F155">
        <v>0</v>
      </c>
      <c r="G155">
        <v>11</v>
      </c>
    </row>
    <row r="156" spans="1:7" x14ac:dyDescent="0.25">
      <c r="A156">
        <v>200004192</v>
      </c>
      <c r="B156" t="s">
        <v>300</v>
      </c>
      <c r="C156" t="s">
        <v>9</v>
      </c>
      <c r="D156">
        <v>0</v>
      </c>
      <c r="E156" s="15">
        <v>0</v>
      </c>
      <c r="F156">
        <v>0</v>
      </c>
      <c r="G156">
        <v>0</v>
      </c>
    </row>
    <row r="157" spans="1:7" x14ac:dyDescent="0.25">
      <c r="A157">
        <v>200003627</v>
      </c>
      <c r="B157" t="s">
        <v>303</v>
      </c>
      <c r="C157" t="s">
        <v>9</v>
      </c>
      <c r="D157">
        <v>0</v>
      </c>
      <c r="E157" s="15">
        <v>0</v>
      </c>
      <c r="F157">
        <v>0</v>
      </c>
      <c r="G157">
        <v>0</v>
      </c>
    </row>
    <row r="158" spans="1:7" x14ac:dyDescent="0.25">
      <c r="A158">
        <v>200003619</v>
      </c>
      <c r="B158" t="s">
        <v>304</v>
      </c>
      <c r="C158" t="s">
        <v>9</v>
      </c>
      <c r="D158">
        <v>1.5</v>
      </c>
      <c r="E158" s="15">
        <v>0</v>
      </c>
      <c r="F158">
        <v>0</v>
      </c>
      <c r="G158">
        <v>0</v>
      </c>
    </row>
    <row r="159" spans="1:7" x14ac:dyDescent="0.25">
      <c r="A159">
        <v>200002214</v>
      </c>
      <c r="B159" t="s">
        <v>305</v>
      </c>
      <c r="C159" t="s">
        <v>9</v>
      </c>
      <c r="D159">
        <v>2.08</v>
      </c>
      <c r="E159" s="15">
        <v>16.3</v>
      </c>
      <c r="F159">
        <v>0</v>
      </c>
      <c r="G159">
        <v>12</v>
      </c>
    </row>
    <row r="160" spans="1:7" x14ac:dyDescent="0.25">
      <c r="A160">
        <v>200000241</v>
      </c>
      <c r="B160" t="s">
        <v>307</v>
      </c>
      <c r="C160" t="s">
        <v>9</v>
      </c>
      <c r="D160">
        <v>0.08</v>
      </c>
      <c r="E160" s="15">
        <v>29.15</v>
      </c>
      <c r="F160">
        <v>0</v>
      </c>
      <c r="G160">
        <v>10</v>
      </c>
    </row>
    <row r="161" spans="1:7" x14ac:dyDescent="0.25">
      <c r="A161">
        <v>200001018</v>
      </c>
      <c r="B161" t="s">
        <v>308</v>
      </c>
      <c r="C161" t="s">
        <v>9</v>
      </c>
      <c r="D161">
        <v>0.41</v>
      </c>
      <c r="E161" s="15">
        <v>1.41</v>
      </c>
      <c r="F161">
        <v>0</v>
      </c>
      <c r="G161">
        <v>33</v>
      </c>
    </row>
    <row r="162" spans="1:7" x14ac:dyDescent="0.25">
      <c r="A162">
        <v>200003130</v>
      </c>
      <c r="B162" t="s">
        <v>1146</v>
      </c>
      <c r="C162" t="s">
        <v>910</v>
      </c>
      <c r="D162">
        <v>0</v>
      </c>
      <c r="E162" s="15">
        <v>4.17</v>
      </c>
      <c r="F162">
        <v>0</v>
      </c>
      <c r="G162">
        <v>9</v>
      </c>
    </row>
    <row r="163" spans="1:7" x14ac:dyDescent="0.25">
      <c r="A163">
        <v>200002710</v>
      </c>
      <c r="B163" t="s">
        <v>309</v>
      </c>
      <c r="C163" t="s">
        <v>9</v>
      </c>
      <c r="D163">
        <v>0</v>
      </c>
      <c r="E163" s="15">
        <v>0</v>
      </c>
      <c r="F163">
        <v>0</v>
      </c>
      <c r="G163">
        <v>0</v>
      </c>
    </row>
    <row r="164" spans="1:7" x14ac:dyDescent="0.25">
      <c r="A164">
        <v>200003598</v>
      </c>
      <c r="B164" t="s">
        <v>310</v>
      </c>
      <c r="C164" t="s">
        <v>9</v>
      </c>
      <c r="D164">
        <v>0</v>
      </c>
      <c r="E164" s="15">
        <v>3.31</v>
      </c>
      <c r="F164">
        <v>0</v>
      </c>
      <c r="G164">
        <v>3</v>
      </c>
    </row>
    <row r="165" spans="1:7" x14ac:dyDescent="0.25">
      <c r="A165">
        <v>200003599</v>
      </c>
      <c r="B165" t="s">
        <v>311</v>
      </c>
      <c r="C165" t="s">
        <v>9</v>
      </c>
      <c r="D165">
        <v>0</v>
      </c>
      <c r="E165" s="15">
        <v>11.01</v>
      </c>
      <c r="F165">
        <v>0</v>
      </c>
      <c r="G165">
        <v>2</v>
      </c>
    </row>
    <row r="166" spans="1:7" x14ac:dyDescent="0.25">
      <c r="A166">
        <v>200002470</v>
      </c>
      <c r="B166" t="s">
        <v>312</v>
      </c>
      <c r="C166" t="s">
        <v>9</v>
      </c>
      <c r="D166">
        <v>0.25</v>
      </c>
      <c r="E166" s="15">
        <v>144.37</v>
      </c>
      <c r="F166">
        <v>0</v>
      </c>
      <c r="G166">
        <v>1</v>
      </c>
    </row>
    <row r="167" spans="1:7" x14ac:dyDescent="0.25">
      <c r="A167">
        <v>200001939</v>
      </c>
      <c r="B167" t="s">
        <v>313</v>
      </c>
      <c r="C167" t="s">
        <v>9</v>
      </c>
      <c r="D167">
        <v>0</v>
      </c>
      <c r="E167" s="15">
        <v>0</v>
      </c>
      <c r="F167">
        <v>0</v>
      </c>
      <c r="G167">
        <v>0</v>
      </c>
    </row>
    <row r="168" spans="1:7" x14ac:dyDescent="0.25">
      <c r="A168">
        <v>200001937</v>
      </c>
      <c r="B168" t="s">
        <v>314</v>
      </c>
      <c r="C168" t="s">
        <v>9</v>
      </c>
      <c r="D168">
        <v>0</v>
      </c>
      <c r="E168" s="15">
        <v>0</v>
      </c>
      <c r="F168">
        <v>0</v>
      </c>
      <c r="G168">
        <v>0</v>
      </c>
    </row>
    <row r="169" spans="1:7" x14ac:dyDescent="0.25">
      <c r="A169">
        <v>200001936</v>
      </c>
      <c r="B169" t="s">
        <v>315</v>
      </c>
      <c r="C169" t="s">
        <v>9</v>
      </c>
      <c r="D169">
        <v>0.16</v>
      </c>
      <c r="E169" s="15">
        <v>2.56</v>
      </c>
      <c r="F169">
        <v>0</v>
      </c>
      <c r="G169">
        <v>1</v>
      </c>
    </row>
    <row r="170" spans="1:7" x14ac:dyDescent="0.25">
      <c r="A170">
        <v>200002347</v>
      </c>
      <c r="B170" t="s">
        <v>316</v>
      </c>
      <c r="C170" t="s">
        <v>9</v>
      </c>
      <c r="D170">
        <v>0</v>
      </c>
      <c r="E170" s="15">
        <v>0</v>
      </c>
      <c r="F170">
        <v>0</v>
      </c>
      <c r="G170">
        <v>0</v>
      </c>
    </row>
    <row r="171" spans="1:7" x14ac:dyDescent="0.25">
      <c r="A171">
        <v>200001938</v>
      </c>
      <c r="B171" t="s">
        <v>317</v>
      </c>
      <c r="C171" t="s">
        <v>9</v>
      </c>
      <c r="D171">
        <v>0</v>
      </c>
      <c r="E171" s="15">
        <v>14.81</v>
      </c>
      <c r="F171">
        <v>0</v>
      </c>
      <c r="G171">
        <v>5</v>
      </c>
    </row>
    <row r="172" spans="1:7" x14ac:dyDescent="0.25">
      <c r="A172">
        <v>200002348</v>
      </c>
      <c r="B172" t="s">
        <v>322</v>
      </c>
      <c r="C172" t="s">
        <v>9</v>
      </c>
      <c r="D172">
        <v>0</v>
      </c>
      <c r="E172" s="15">
        <v>63.05</v>
      </c>
      <c r="F172">
        <v>0</v>
      </c>
      <c r="G172">
        <v>4</v>
      </c>
    </row>
    <row r="173" spans="1:7" x14ac:dyDescent="0.25">
      <c r="A173">
        <v>200001943</v>
      </c>
      <c r="B173" t="s">
        <v>323</v>
      </c>
      <c r="C173" t="s">
        <v>9</v>
      </c>
      <c r="D173">
        <v>0</v>
      </c>
      <c r="E173" s="15">
        <v>0</v>
      </c>
      <c r="F173">
        <v>0</v>
      </c>
      <c r="G173">
        <v>0</v>
      </c>
    </row>
    <row r="174" spans="1:7" x14ac:dyDescent="0.25">
      <c r="A174">
        <v>200001940</v>
      </c>
      <c r="B174" t="s">
        <v>324</v>
      </c>
      <c r="C174" t="s">
        <v>9</v>
      </c>
      <c r="D174">
        <v>0.25</v>
      </c>
      <c r="E174" s="15">
        <v>5.7</v>
      </c>
      <c r="F174">
        <v>0</v>
      </c>
      <c r="G174">
        <v>4</v>
      </c>
    </row>
    <row r="175" spans="1:7" x14ac:dyDescent="0.25">
      <c r="A175">
        <v>200001941</v>
      </c>
      <c r="B175" t="s">
        <v>325</v>
      </c>
      <c r="C175" t="s">
        <v>9</v>
      </c>
      <c r="D175">
        <v>0.25</v>
      </c>
      <c r="E175" s="15">
        <v>12.62</v>
      </c>
      <c r="F175">
        <v>0</v>
      </c>
      <c r="G175">
        <v>4</v>
      </c>
    </row>
    <row r="176" spans="1:7" x14ac:dyDescent="0.25">
      <c r="A176">
        <v>200001942</v>
      </c>
      <c r="B176" t="s">
        <v>326</v>
      </c>
      <c r="C176" t="s">
        <v>9</v>
      </c>
      <c r="D176">
        <v>0.16</v>
      </c>
      <c r="E176" s="15">
        <v>30.9</v>
      </c>
      <c r="F176">
        <v>0</v>
      </c>
      <c r="G176">
        <v>4</v>
      </c>
    </row>
    <row r="177" spans="1:7" x14ac:dyDescent="0.25">
      <c r="A177">
        <v>200000256</v>
      </c>
      <c r="B177" t="s">
        <v>327</v>
      </c>
      <c r="C177" t="s">
        <v>9</v>
      </c>
      <c r="D177">
        <v>0</v>
      </c>
      <c r="E177" s="15">
        <v>2.1</v>
      </c>
      <c r="F177">
        <v>0</v>
      </c>
      <c r="G177">
        <v>4</v>
      </c>
    </row>
    <row r="178" spans="1:7" x14ac:dyDescent="0.25">
      <c r="A178">
        <v>200001946</v>
      </c>
      <c r="B178" t="s">
        <v>329</v>
      </c>
      <c r="C178" t="s">
        <v>9</v>
      </c>
      <c r="D178">
        <v>0.33</v>
      </c>
      <c r="E178" s="15">
        <v>4.24</v>
      </c>
      <c r="F178">
        <v>0</v>
      </c>
      <c r="G178">
        <v>8</v>
      </c>
    </row>
    <row r="179" spans="1:7" x14ac:dyDescent="0.25">
      <c r="A179">
        <v>200001020</v>
      </c>
      <c r="B179" t="s">
        <v>331</v>
      </c>
      <c r="C179" t="s">
        <v>9</v>
      </c>
      <c r="D179">
        <v>0</v>
      </c>
      <c r="E179" s="15">
        <v>5.13</v>
      </c>
      <c r="F179">
        <v>0</v>
      </c>
      <c r="G179">
        <v>3</v>
      </c>
    </row>
    <row r="180" spans="1:7" x14ac:dyDescent="0.25">
      <c r="A180">
        <v>200000255</v>
      </c>
      <c r="B180" t="s">
        <v>332</v>
      </c>
      <c r="C180" t="s">
        <v>9</v>
      </c>
      <c r="D180">
        <v>0.16</v>
      </c>
      <c r="E180" s="15">
        <v>11.3</v>
      </c>
      <c r="F180">
        <v>0</v>
      </c>
      <c r="G180">
        <v>2</v>
      </c>
    </row>
    <row r="181" spans="1:7" x14ac:dyDescent="0.25">
      <c r="A181">
        <v>200000258</v>
      </c>
      <c r="B181" t="s">
        <v>333</v>
      </c>
      <c r="C181" t="s">
        <v>9</v>
      </c>
      <c r="D181">
        <v>0.16</v>
      </c>
      <c r="E181" s="15">
        <v>0</v>
      </c>
      <c r="F181">
        <v>0</v>
      </c>
      <c r="G181">
        <v>0</v>
      </c>
    </row>
    <row r="182" spans="1:7" x14ac:dyDescent="0.25">
      <c r="A182">
        <v>200002126</v>
      </c>
      <c r="B182" t="s">
        <v>340</v>
      </c>
      <c r="C182" t="s">
        <v>9</v>
      </c>
      <c r="D182">
        <v>0</v>
      </c>
      <c r="E182" s="15">
        <v>0</v>
      </c>
      <c r="F182">
        <v>0</v>
      </c>
      <c r="G182">
        <v>0</v>
      </c>
    </row>
    <row r="183" spans="1:7" x14ac:dyDescent="0.25">
      <c r="A183">
        <v>200000287</v>
      </c>
      <c r="B183" t="s">
        <v>345</v>
      </c>
      <c r="C183" t="s">
        <v>9</v>
      </c>
      <c r="D183">
        <v>0.83</v>
      </c>
      <c r="E183" s="15">
        <v>0</v>
      </c>
      <c r="F183">
        <v>0</v>
      </c>
      <c r="G183">
        <v>0</v>
      </c>
    </row>
    <row r="184" spans="1:7" x14ac:dyDescent="0.25">
      <c r="A184">
        <v>200000284</v>
      </c>
      <c r="B184" t="s">
        <v>346</v>
      </c>
      <c r="C184" t="s">
        <v>9</v>
      </c>
      <c r="D184">
        <v>0</v>
      </c>
      <c r="E184" s="15">
        <v>0</v>
      </c>
      <c r="F184">
        <v>0</v>
      </c>
      <c r="G184">
        <v>0</v>
      </c>
    </row>
    <row r="185" spans="1:7" x14ac:dyDescent="0.25">
      <c r="A185">
        <v>200000285</v>
      </c>
      <c r="B185" t="s">
        <v>349</v>
      </c>
      <c r="C185" t="s">
        <v>9</v>
      </c>
      <c r="D185">
        <v>0</v>
      </c>
      <c r="E185" s="15">
        <v>0</v>
      </c>
      <c r="F185">
        <v>0</v>
      </c>
      <c r="G185">
        <v>0</v>
      </c>
    </row>
    <row r="186" spans="1:7" x14ac:dyDescent="0.25">
      <c r="A186">
        <v>200000286</v>
      </c>
      <c r="B186" t="s">
        <v>350</v>
      </c>
      <c r="C186" t="s">
        <v>9</v>
      </c>
      <c r="D186">
        <v>0</v>
      </c>
      <c r="E186" s="15">
        <v>0</v>
      </c>
      <c r="F186">
        <v>0</v>
      </c>
      <c r="G186">
        <v>0</v>
      </c>
    </row>
    <row r="187" spans="1:7" x14ac:dyDescent="0.25">
      <c r="A187">
        <v>200006220</v>
      </c>
      <c r="B187" t="s">
        <v>351</v>
      </c>
      <c r="C187" t="s">
        <v>9</v>
      </c>
      <c r="D187">
        <v>1.33</v>
      </c>
      <c r="E187" s="15">
        <v>112.07</v>
      </c>
      <c r="F187">
        <v>0</v>
      </c>
      <c r="G187">
        <v>10</v>
      </c>
    </row>
    <row r="188" spans="1:7" x14ac:dyDescent="0.25">
      <c r="A188">
        <v>200000289</v>
      </c>
      <c r="B188" t="s">
        <v>352</v>
      </c>
      <c r="C188" t="s">
        <v>9</v>
      </c>
      <c r="D188">
        <v>1.25</v>
      </c>
      <c r="E188" s="15">
        <v>0</v>
      </c>
      <c r="F188">
        <v>0</v>
      </c>
      <c r="G188">
        <v>0</v>
      </c>
    </row>
    <row r="189" spans="1:7" x14ac:dyDescent="0.25">
      <c r="A189">
        <v>200000288</v>
      </c>
      <c r="B189" t="s">
        <v>354</v>
      </c>
      <c r="C189" t="s">
        <v>9</v>
      </c>
      <c r="D189">
        <v>9.16</v>
      </c>
      <c r="E189" s="15">
        <v>7.63</v>
      </c>
      <c r="F189">
        <v>0</v>
      </c>
      <c r="G189">
        <v>24</v>
      </c>
    </row>
    <row r="190" spans="1:7" x14ac:dyDescent="0.25">
      <c r="A190">
        <v>200000292</v>
      </c>
      <c r="B190" t="s">
        <v>355</v>
      </c>
      <c r="C190" t="s">
        <v>9</v>
      </c>
      <c r="D190">
        <v>0</v>
      </c>
      <c r="E190" s="15">
        <v>33.97</v>
      </c>
      <c r="F190">
        <v>0</v>
      </c>
      <c r="G190">
        <v>10</v>
      </c>
    </row>
    <row r="191" spans="1:7" x14ac:dyDescent="0.25">
      <c r="A191">
        <v>200001021</v>
      </c>
      <c r="B191" t="s">
        <v>356</v>
      </c>
      <c r="C191" t="s">
        <v>9</v>
      </c>
      <c r="D191">
        <v>11.58</v>
      </c>
      <c r="E191" s="15">
        <v>98.76</v>
      </c>
      <c r="F191">
        <v>0</v>
      </c>
      <c r="G191">
        <v>18</v>
      </c>
    </row>
    <row r="192" spans="1:7" x14ac:dyDescent="0.25">
      <c r="A192">
        <v>200002360</v>
      </c>
      <c r="B192" t="s">
        <v>1141</v>
      </c>
      <c r="C192" t="s">
        <v>9</v>
      </c>
      <c r="D192">
        <v>0</v>
      </c>
      <c r="E192" s="15">
        <v>0</v>
      </c>
      <c r="F192">
        <v>0</v>
      </c>
      <c r="G192">
        <v>0</v>
      </c>
    </row>
    <row r="193" spans="1:7" x14ac:dyDescent="0.25">
      <c r="A193">
        <v>200002361</v>
      </c>
      <c r="B193" t="s">
        <v>1142</v>
      </c>
      <c r="C193" t="s">
        <v>9</v>
      </c>
      <c r="D193">
        <v>0</v>
      </c>
      <c r="E193" s="15">
        <v>19.600000000000001</v>
      </c>
      <c r="F193">
        <v>0</v>
      </c>
      <c r="G193">
        <v>4</v>
      </c>
    </row>
    <row r="194" spans="1:7" x14ac:dyDescent="0.25">
      <c r="A194">
        <v>200000309</v>
      </c>
      <c r="B194" t="s">
        <v>358</v>
      </c>
      <c r="C194" t="s">
        <v>9</v>
      </c>
      <c r="D194">
        <v>0.41</v>
      </c>
      <c r="E194" s="15">
        <v>13.78</v>
      </c>
      <c r="F194">
        <v>0</v>
      </c>
      <c r="G194">
        <v>3</v>
      </c>
    </row>
    <row r="195" spans="1:7" x14ac:dyDescent="0.25">
      <c r="A195">
        <v>200000310</v>
      </c>
      <c r="B195" t="s">
        <v>359</v>
      </c>
      <c r="C195" t="s">
        <v>9</v>
      </c>
      <c r="D195">
        <v>0.75</v>
      </c>
      <c r="E195" s="15">
        <v>15</v>
      </c>
      <c r="F195">
        <v>0</v>
      </c>
      <c r="G195">
        <v>9</v>
      </c>
    </row>
    <row r="196" spans="1:7" x14ac:dyDescent="0.25">
      <c r="A196">
        <v>200000308</v>
      </c>
      <c r="B196" t="s">
        <v>360</v>
      </c>
      <c r="C196" t="s">
        <v>9</v>
      </c>
      <c r="D196">
        <v>1.83</v>
      </c>
      <c r="E196" s="15">
        <v>3.2</v>
      </c>
      <c r="F196">
        <v>0</v>
      </c>
      <c r="G196">
        <v>10</v>
      </c>
    </row>
    <row r="197" spans="1:7" x14ac:dyDescent="0.25">
      <c r="A197">
        <v>200001338</v>
      </c>
      <c r="B197" t="s">
        <v>361</v>
      </c>
      <c r="C197" t="s">
        <v>9</v>
      </c>
      <c r="D197">
        <v>2.33</v>
      </c>
      <c r="E197" s="15">
        <v>4.2699999999999996</v>
      </c>
      <c r="F197">
        <v>0</v>
      </c>
      <c r="G197">
        <v>20</v>
      </c>
    </row>
    <row r="198" spans="1:7" x14ac:dyDescent="0.25">
      <c r="A198">
        <v>200003177</v>
      </c>
      <c r="B198" t="s">
        <v>364</v>
      </c>
      <c r="C198" t="s">
        <v>9</v>
      </c>
      <c r="D198">
        <v>0.16</v>
      </c>
      <c r="E198" s="15">
        <v>0</v>
      </c>
      <c r="F198">
        <v>0</v>
      </c>
      <c r="G198">
        <v>0</v>
      </c>
    </row>
    <row r="199" spans="1:7" x14ac:dyDescent="0.25">
      <c r="A199">
        <v>200003686</v>
      </c>
      <c r="B199" t="s">
        <v>371</v>
      </c>
      <c r="C199" t="s">
        <v>86</v>
      </c>
      <c r="D199">
        <v>0.41</v>
      </c>
      <c r="E199" s="15">
        <v>7.92</v>
      </c>
      <c r="F199">
        <v>0</v>
      </c>
      <c r="G199">
        <v>11</v>
      </c>
    </row>
    <row r="200" spans="1:7" x14ac:dyDescent="0.25">
      <c r="A200">
        <v>200002127</v>
      </c>
      <c r="B200" t="s">
        <v>375</v>
      </c>
      <c r="C200" t="s">
        <v>9</v>
      </c>
      <c r="D200">
        <v>0</v>
      </c>
      <c r="E200" s="15">
        <v>0</v>
      </c>
      <c r="F200">
        <v>0</v>
      </c>
      <c r="G200">
        <v>0</v>
      </c>
    </row>
    <row r="201" spans="1:7" x14ac:dyDescent="0.25">
      <c r="A201">
        <v>200000346</v>
      </c>
      <c r="B201" t="s">
        <v>376</v>
      </c>
      <c r="C201" t="s">
        <v>9</v>
      </c>
      <c r="D201">
        <v>0</v>
      </c>
      <c r="E201" s="15">
        <v>0</v>
      </c>
      <c r="F201">
        <v>0</v>
      </c>
      <c r="G201">
        <v>0</v>
      </c>
    </row>
    <row r="202" spans="1:7" x14ac:dyDescent="0.25">
      <c r="A202">
        <v>200003393</v>
      </c>
      <c r="B202" t="s">
        <v>378</v>
      </c>
      <c r="C202" t="s">
        <v>9</v>
      </c>
      <c r="D202">
        <v>0</v>
      </c>
      <c r="E202" s="15">
        <v>20.5</v>
      </c>
      <c r="F202">
        <v>0</v>
      </c>
      <c r="G202">
        <v>5</v>
      </c>
    </row>
    <row r="203" spans="1:7" x14ac:dyDescent="0.25">
      <c r="A203">
        <v>200003394</v>
      </c>
      <c r="B203" t="s">
        <v>379</v>
      </c>
      <c r="C203" t="s">
        <v>9</v>
      </c>
      <c r="D203">
        <v>0</v>
      </c>
      <c r="E203" s="15">
        <v>18.399999999999999</v>
      </c>
      <c r="F203">
        <v>0</v>
      </c>
      <c r="G203">
        <v>6</v>
      </c>
    </row>
    <row r="204" spans="1:7" x14ac:dyDescent="0.25">
      <c r="A204">
        <v>200003395</v>
      </c>
      <c r="B204" t="s">
        <v>380</v>
      </c>
      <c r="C204" t="s">
        <v>9</v>
      </c>
      <c r="D204">
        <v>0</v>
      </c>
      <c r="E204" s="15">
        <v>55</v>
      </c>
      <c r="F204">
        <v>0</v>
      </c>
      <c r="G204">
        <v>4</v>
      </c>
    </row>
    <row r="205" spans="1:7" x14ac:dyDescent="0.25">
      <c r="A205">
        <v>200003396</v>
      </c>
      <c r="B205" t="s">
        <v>381</v>
      </c>
      <c r="C205" t="s">
        <v>9</v>
      </c>
      <c r="D205">
        <v>0.25</v>
      </c>
      <c r="E205" s="15">
        <v>76.75</v>
      </c>
      <c r="F205">
        <v>0</v>
      </c>
      <c r="G205">
        <v>8</v>
      </c>
    </row>
    <row r="206" spans="1:7" x14ac:dyDescent="0.25">
      <c r="A206">
        <v>200001206</v>
      </c>
      <c r="B206" t="s">
        <v>383</v>
      </c>
      <c r="C206" t="s">
        <v>9</v>
      </c>
      <c r="D206">
        <v>4.25</v>
      </c>
      <c r="E206" s="15">
        <v>94.35</v>
      </c>
      <c r="F206">
        <v>0</v>
      </c>
      <c r="G206">
        <v>10</v>
      </c>
    </row>
    <row r="207" spans="1:7" x14ac:dyDescent="0.25">
      <c r="A207">
        <v>200000347</v>
      </c>
      <c r="B207" t="s">
        <v>384</v>
      </c>
      <c r="C207" t="s">
        <v>9</v>
      </c>
      <c r="D207">
        <v>0</v>
      </c>
      <c r="E207" s="15">
        <v>0</v>
      </c>
      <c r="F207">
        <v>0</v>
      </c>
      <c r="G207">
        <v>0</v>
      </c>
    </row>
    <row r="208" spans="1:7" x14ac:dyDescent="0.25">
      <c r="A208">
        <v>200003397</v>
      </c>
      <c r="B208" t="s">
        <v>387</v>
      </c>
      <c r="C208" t="s">
        <v>9</v>
      </c>
      <c r="D208">
        <v>0</v>
      </c>
      <c r="E208" s="15">
        <v>0</v>
      </c>
      <c r="F208">
        <v>0</v>
      </c>
      <c r="G208">
        <v>0</v>
      </c>
    </row>
    <row r="209" spans="1:7" x14ac:dyDescent="0.25">
      <c r="A209">
        <v>200002129</v>
      </c>
      <c r="B209" t="s">
        <v>390</v>
      </c>
      <c r="C209" t="s">
        <v>9</v>
      </c>
      <c r="D209">
        <v>0.5</v>
      </c>
      <c r="E209" s="15">
        <v>85</v>
      </c>
      <c r="F209">
        <v>0</v>
      </c>
      <c r="G209">
        <v>4</v>
      </c>
    </row>
    <row r="210" spans="1:7" x14ac:dyDescent="0.25">
      <c r="A210">
        <v>200003398</v>
      </c>
      <c r="B210" t="s">
        <v>391</v>
      </c>
      <c r="C210" t="s">
        <v>9</v>
      </c>
      <c r="D210">
        <v>0.16</v>
      </c>
      <c r="E210" s="15">
        <v>60</v>
      </c>
      <c r="F210">
        <v>0</v>
      </c>
      <c r="G210">
        <v>7</v>
      </c>
    </row>
    <row r="211" spans="1:7" x14ac:dyDescent="0.25">
      <c r="A211">
        <v>200003399</v>
      </c>
      <c r="B211" t="s">
        <v>392</v>
      </c>
      <c r="C211" t="s">
        <v>9</v>
      </c>
      <c r="D211">
        <v>0.25</v>
      </c>
      <c r="E211" s="15">
        <v>68.88</v>
      </c>
      <c r="F211">
        <v>0</v>
      </c>
      <c r="G211">
        <v>6</v>
      </c>
    </row>
    <row r="212" spans="1:7" x14ac:dyDescent="0.25">
      <c r="A212">
        <v>200003400</v>
      </c>
      <c r="B212" t="s">
        <v>399</v>
      </c>
      <c r="C212" t="s">
        <v>9</v>
      </c>
      <c r="D212">
        <v>0.25</v>
      </c>
      <c r="E212" s="15">
        <v>15.5</v>
      </c>
      <c r="F212">
        <v>0</v>
      </c>
      <c r="G212">
        <v>1</v>
      </c>
    </row>
    <row r="213" spans="1:7" x14ac:dyDescent="0.25">
      <c r="A213">
        <v>200003079</v>
      </c>
      <c r="B213" t="s">
        <v>400</v>
      </c>
      <c r="C213" t="s">
        <v>9</v>
      </c>
      <c r="D213">
        <v>0.57999999999999996</v>
      </c>
      <c r="E213" s="15">
        <v>0</v>
      </c>
      <c r="F213">
        <v>0</v>
      </c>
      <c r="G213">
        <v>0</v>
      </c>
    </row>
    <row r="214" spans="1:7" x14ac:dyDescent="0.25">
      <c r="A214">
        <v>200004106</v>
      </c>
      <c r="B214" t="s">
        <v>405</v>
      </c>
      <c r="C214" t="s">
        <v>9</v>
      </c>
      <c r="D214">
        <v>0</v>
      </c>
      <c r="E214" s="15">
        <v>0</v>
      </c>
      <c r="F214">
        <v>0</v>
      </c>
      <c r="G214">
        <v>0</v>
      </c>
    </row>
    <row r="215" spans="1:7" x14ac:dyDescent="0.25">
      <c r="A215">
        <v>200001084</v>
      </c>
      <c r="B215" t="s">
        <v>407</v>
      </c>
      <c r="C215" t="s">
        <v>9</v>
      </c>
      <c r="D215">
        <v>0</v>
      </c>
      <c r="E215" s="15">
        <v>0</v>
      </c>
      <c r="F215">
        <v>0</v>
      </c>
      <c r="G215">
        <v>0</v>
      </c>
    </row>
    <row r="216" spans="1:7" x14ac:dyDescent="0.25">
      <c r="A216">
        <v>200004105</v>
      </c>
      <c r="B216" t="s">
        <v>408</v>
      </c>
      <c r="C216" t="s">
        <v>9</v>
      </c>
      <c r="D216">
        <v>0</v>
      </c>
      <c r="E216" s="15">
        <v>0</v>
      </c>
      <c r="F216">
        <v>0</v>
      </c>
      <c r="G216">
        <v>0</v>
      </c>
    </row>
    <row r="217" spans="1:7" x14ac:dyDescent="0.25">
      <c r="A217">
        <v>200006002</v>
      </c>
      <c r="B217" t="s">
        <v>409</v>
      </c>
      <c r="C217" t="s">
        <v>294</v>
      </c>
      <c r="D217">
        <v>1.41</v>
      </c>
      <c r="E217" s="15">
        <v>0</v>
      </c>
      <c r="F217">
        <v>0</v>
      </c>
      <c r="G217">
        <v>0</v>
      </c>
    </row>
    <row r="218" spans="1:7" x14ac:dyDescent="0.25">
      <c r="A218">
        <v>200006003</v>
      </c>
      <c r="B218" t="s">
        <v>410</v>
      </c>
      <c r="C218" t="s">
        <v>294</v>
      </c>
      <c r="D218">
        <v>0.83</v>
      </c>
      <c r="E218" s="15">
        <v>10.25</v>
      </c>
      <c r="F218">
        <v>7</v>
      </c>
      <c r="G218">
        <v>0</v>
      </c>
    </row>
    <row r="219" spans="1:7" x14ac:dyDescent="0.25">
      <c r="A219">
        <v>200004119</v>
      </c>
      <c r="B219" t="s">
        <v>411</v>
      </c>
      <c r="C219" t="s">
        <v>294</v>
      </c>
      <c r="D219">
        <v>0.33</v>
      </c>
      <c r="E219" s="15">
        <v>22.81</v>
      </c>
      <c r="F219">
        <v>3</v>
      </c>
      <c r="G219">
        <v>0</v>
      </c>
    </row>
    <row r="220" spans="1:7" x14ac:dyDescent="0.25">
      <c r="A220">
        <v>200002110</v>
      </c>
      <c r="B220" t="s">
        <v>414</v>
      </c>
      <c r="C220" t="s">
        <v>294</v>
      </c>
      <c r="D220">
        <v>0.33</v>
      </c>
      <c r="E220" s="15">
        <v>41.43</v>
      </c>
      <c r="F220">
        <v>0</v>
      </c>
      <c r="G220">
        <v>3</v>
      </c>
    </row>
    <row r="221" spans="1:7" x14ac:dyDescent="0.25">
      <c r="A221">
        <v>200003794</v>
      </c>
      <c r="B221" t="s">
        <v>415</v>
      </c>
      <c r="C221" t="s">
        <v>294</v>
      </c>
      <c r="D221">
        <v>0</v>
      </c>
      <c r="E221" s="15">
        <v>0</v>
      </c>
      <c r="F221">
        <v>0</v>
      </c>
      <c r="G221">
        <v>0</v>
      </c>
    </row>
    <row r="222" spans="1:7" x14ac:dyDescent="0.25">
      <c r="A222">
        <v>200002111</v>
      </c>
      <c r="B222" t="s">
        <v>416</v>
      </c>
      <c r="C222" t="s">
        <v>294</v>
      </c>
      <c r="D222">
        <v>0.25</v>
      </c>
      <c r="E222" s="15">
        <v>33.520000000000003</v>
      </c>
      <c r="F222">
        <v>0</v>
      </c>
      <c r="G222">
        <v>25</v>
      </c>
    </row>
    <row r="223" spans="1:7" x14ac:dyDescent="0.25">
      <c r="A223">
        <v>200002112</v>
      </c>
      <c r="B223" t="s">
        <v>418</v>
      </c>
      <c r="C223" t="s">
        <v>9</v>
      </c>
      <c r="D223">
        <v>2.5</v>
      </c>
      <c r="E223" s="15">
        <v>0</v>
      </c>
      <c r="F223">
        <v>0</v>
      </c>
      <c r="G223">
        <v>0</v>
      </c>
    </row>
    <row r="224" spans="1:7" x14ac:dyDescent="0.25">
      <c r="A224">
        <v>200000376</v>
      </c>
      <c r="B224" t="s">
        <v>419</v>
      </c>
      <c r="C224" t="s">
        <v>9</v>
      </c>
      <c r="D224">
        <v>1.1599999999999999</v>
      </c>
      <c r="E224" s="15">
        <v>8.11</v>
      </c>
      <c r="F224">
        <v>0</v>
      </c>
      <c r="G224">
        <v>19</v>
      </c>
    </row>
    <row r="225" spans="1:7" x14ac:dyDescent="0.25">
      <c r="A225">
        <v>200003401</v>
      </c>
      <c r="B225" t="s">
        <v>420</v>
      </c>
      <c r="C225" t="s">
        <v>9</v>
      </c>
      <c r="D225">
        <v>0</v>
      </c>
      <c r="E225" s="15">
        <v>0</v>
      </c>
      <c r="F225">
        <v>0</v>
      </c>
      <c r="G225">
        <v>0</v>
      </c>
    </row>
    <row r="226" spans="1:7" x14ac:dyDescent="0.25">
      <c r="A226">
        <v>200003402</v>
      </c>
      <c r="B226" t="s">
        <v>421</v>
      </c>
      <c r="C226" t="s">
        <v>9</v>
      </c>
      <c r="D226">
        <v>0</v>
      </c>
      <c r="E226" s="15">
        <v>0</v>
      </c>
      <c r="F226">
        <v>0</v>
      </c>
      <c r="G226">
        <v>0</v>
      </c>
    </row>
    <row r="227" spans="1:7" x14ac:dyDescent="0.25">
      <c r="A227">
        <v>200006373</v>
      </c>
      <c r="B227" s="8" t="s">
        <v>423</v>
      </c>
      <c r="C227" t="s">
        <v>96</v>
      </c>
      <c r="D227">
        <v>0</v>
      </c>
      <c r="E227" s="15">
        <v>0</v>
      </c>
      <c r="F227">
        <v>0</v>
      </c>
      <c r="G227">
        <v>0</v>
      </c>
    </row>
    <row r="228" spans="1:7" x14ac:dyDescent="0.25">
      <c r="A228">
        <v>200002113</v>
      </c>
      <c r="B228" t="s">
        <v>424</v>
      </c>
      <c r="C228" t="s">
        <v>96</v>
      </c>
      <c r="D228">
        <v>0</v>
      </c>
      <c r="E228" s="15">
        <v>0</v>
      </c>
      <c r="F228">
        <v>0</v>
      </c>
      <c r="G228">
        <v>0</v>
      </c>
    </row>
    <row r="229" spans="1:7" x14ac:dyDescent="0.25">
      <c r="A229">
        <v>200006187</v>
      </c>
      <c r="B229" t="s">
        <v>425</v>
      </c>
      <c r="C229" t="s">
        <v>96</v>
      </c>
      <c r="D229">
        <v>1.91</v>
      </c>
      <c r="E229" s="15">
        <v>538.70000000000005</v>
      </c>
      <c r="F229">
        <v>0</v>
      </c>
      <c r="G229">
        <v>4</v>
      </c>
    </row>
    <row r="230" spans="1:7" x14ac:dyDescent="0.25">
      <c r="A230">
        <v>200000390</v>
      </c>
      <c r="B230" t="s">
        <v>428</v>
      </c>
      <c r="C230" t="s">
        <v>82</v>
      </c>
      <c r="D230">
        <v>13.91</v>
      </c>
      <c r="E230" s="15">
        <v>3.46</v>
      </c>
      <c r="F230">
        <v>0</v>
      </c>
      <c r="G230">
        <v>28</v>
      </c>
    </row>
    <row r="231" spans="1:7" x14ac:dyDescent="0.25">
      <c r="A231">
        <v>200002287</v>
      </c>
      <c r="B231" t="s">
        <v>434</v>
      </c>
      <c r="C231" t="s">
        <v>9</v>
      </c>
      <c r="D231">
        <v>0.5</v>
      </c>
      <c r="E231" s="15">
        <v>24.76</v>
      </c>
      <c r="F231">
        <v>0</v>
      </c>
      <c r="G231">
        <v>2</v>
      </c>
    </row>
    <row r="232" spans="1:7" x14ac:dyDescent="0.25">
      <c r="A232">
        <v>200002208</v>
      </c>
      <c r="B232" t="s">
        <v>436</v>
      </c>
      <c r="C232" t="s">
        <v>9</v>
      </c>
      <c r="D232">
        <v>2</v>
      </c>
      <c r="E232" s="15">
        <v>12.57</v>
      </c>
      <c r="F232">
        <v>0</v>
      </c>
      <c r="G232">
        <v>4</v>
      </c>
    </row>
    <row r="233" spans="1:7" x14ac:dyDescent="0.25">
      <c r="A233">
        <v>200002209</v>
      </c>
      <c r="B233" t="s">
        <v>437</v>
      </c>
      <c r="C233" t="s">
        <v>9</v>
      </c>
      <c r="D233">
        <v>2.41</v>
      </c>
      <c r="E233" s="15">
        <v>0</v>
      </c>
      <c r="F233">
        <v>0</v>
      </c>
      <c r="G233">
        <v>0</v>
      </c>
    </row>
    <row r="234" spans="1:7" x14ac:dyDescent="0.25">
      <c r="A234">
        <v>200002210</v>
      </c>
      <c r="B234" t="s">
        <v>438</v>
      </c>
      <c r="C234" t="s">
        <v>9</v>
      </c>
      <c r="D234">
        <v>0.91</v>
      </c>
      <c r="E234" s="15">
        <v>7.59</v>
      </c>
      <c r="F234">
        <v>0</v>
      </c>
      <c r="G234">
        <v>1</v>
      </c>
    </row>
    <row r="235" spans="1:7" x14ac:dyDescent="0.25">
      <c r="A235">
        <v>200002211</v>
      </c>
      <c r="B235" t="s">
        <v>439</v>
      </c>
      <c r="C235" t="s">
        <v>9</v>
      </c>
      <c r="D235">
        <v>0</v>
      </c>
      <c r="E235" s="15">
        <v>0</v>
      </c>
      <c r="F235">
        <v>0</v>
      </c>
      <c r="G235">
        <v>0</v>
      </c>
    </row>
    <row r="236" spans="1:7" x14ac:dyDescent="0.25">
      <c r="A236">
        <v>200003160</v>
      </c>
      <c r="B236" t="s">
        <v>445</v>
      </c>
      <c r="C236" t="s">
        <v>67</v>
      </c>
      <c r="D236">
        <v>0</v>
      </c>
      <c r="E236" s="15">
        <v>0</v>
      </c>
      <c r="F236">
        <v>0</v>
      </c>
      <c r="G236">
        <v>0</v>
      </c>
    </row>
    <row r="237" spans="1:7" x14ac:dyDescent="0.25">
      <c r="A237">
        <v>200004082</v>
      </c>
      <c r="B237" t="s">
        <v>446</v>
      </c>
      <c r="C237" t="s">
        <v>96</v>
      </c>
      <c r="D237">
        <v>0</v>
      </c>
      <c r="E237" s="15">
        <v>0</v>
      </c>
      <c r="F237">
        <v>0</v>
      </c>
      <c r="G237">
        <v>0</v>
      </c>
    </row>
    <row r="238" spans="1:7" x14ac:dyDescent="0.25">
      <c r="A238">
        <v>200002341</v>
      </c>
      <c r="B238" t="s">
        <v>449</v>
      </c>
      <c r="C238" t="s">
        <v>9</v>
      </c>
      <c r="D238">
        <v>0.16</v>
      </c>
      <c r="E238" s="15">
        <v>5.28</v>
      </c>
      <c r="F238">
        <v>0</v>
      </c>
      <c r="G238">
        <v>4</v>
      </c>
    </row>
    <row r="239" spans="1:7" x14ac:dyDescent="0.25">
      <c r="A239">
        <v>200001952</v>
      </c>
      <c r="B239" t="s">
        <v>450</v>
      </c>
      <c r="C239" t="s">
        <v>9</v>
      </c>
      <c r="D239">
        <v>0</v>
      </c>
      <c r="E239" s="15">
        <v>0</v>
      </c>
      <c r="F239">
        <v>0</v>
      </c>
      <c r="G239">
        <v>0</v>
      </c>
    </row>
    <row r="240" spans="1:7" x14ac:dyDescent="0.25">
      <c r="A240">
        <v>200001953</v>
      </c>
      <c r="B240" t="s">
        <v>451</v>
      </c>
      <c r="C240" t="s">
        <v>9</v>
      </c>
      <c r="D240">
        <v>0.08</v>
      </c>
      <c r="E240" s="15">
        <v>6.15</v>
      </c>
      <c r="F240">
        <v>0</v>
      </c>
      <c r="G240">
        <v>2</v>
      </c>
    </row>
    <row r="241" spans="1:7" x14ac:dyDescent="0.25">
      <c r="A241">
        <v>200001951</v>
      </c>
      <c r="B241" t="s">
        <v>452</v>
      </c>
      <c r="C241" t="s">
        <v>9</v>
      </c>
      <c r="D241">
        <v>0</v>
      </c>
      <c r="E241" s="15">
        <v>0</v>
      </c>
      <c r="F241">
        <v>0</v>
      </c>
      <c r="G241">
        <v>0</v>
      </c>
    </row>
    <row r="242" spans="1:7" x14ac:dyDescent="0.25">
      <c r="A242">
        <v>200001950</v>
      </c>
      <c r="B242" t="s">
        <v>453</v>
      </c>
      <c r="C242" t="s">
        <v>9</v>
      </c>
      <c r="D242">
        <v>0</v>
      </c>
      <c r="E242" s="15">
        <v>3.71</v>
      </c>
      <c r="F242">
        <v>0</v>
      </c>
      <c r="G242">
        <v>10</v>
      </c>
    </row>
    <row r="243" spans="1:7" x14ac:dyDescent="0.25">
      <c r="A243">
        <v>200003634</v>
      </c>
      <c r="B243" t="s">
        <v>454</v>
      </c>
      <c r="C243" t="s">
        <v>9</v>
      </c>
      <c r="D243">
        <v>0</v>
      </c>
      <c r="E243" s="15">
        <v>6.3</v>
      </c>
      <c r="F243">
        <v>0</v>
      </c>
      <c r="G243">
        <v>6</v>
      </c>
    </row>
    <row r="244" spans="1:7" x14ac:dyDescent="0.25">
      <c r="A244">
        <v>200003635</v>
      </c>
      <c r="B244" t="s">
        <v>455</v>
      </c>
      <c r="C244" t="s">
        <v>9</v>
      </c>
      <c r="D244">
        <v>0</v>
      </c>
      <c r="E244" s="15">
        <v>5.34</v>
      </c>
      <c r="F244">
        <v>0</v>
      </c>
      <c r="G244">
        <v>1</v>
      </c>
    </row>
    <row r="245" spans="1:7" x14ac:dyDescent="0.25">
      <c r="A245">
        <v>200001948</v>
      </c>
      <c r="B245" t="s">
        <v>456</v>
      </c>
      <c r="C245" t="s">
        <v>9</v>
      </c>
      <c r="D245">
        <v>0</v>
      </c>
      <c r="E245" s="15">
        <v>1.2</v>
      </c>
      <c r="F245">
        <v>0</v>
      </c>
      <c r="G245">
        <v>10</v>
      </c>
    </row>
    <row r="246" spans="1:7" x14ac:dyDescent="0.25">
      <c r="A246">
        <v>200003636</v>
      </c>
      <c r="B246" t="s">
        <v>457</v>
      </c>
      <c r="C246" t="s">
        <v>9</v>
      </c>
      <c r="D246">
        <v>0</v>
      </c>
      <c r="E246" s="15">
        <v>13.65</v>
      </c>
      <c r="F246">
        <v>0</v>
      </c>
      <c r="G246">
        <v>5</v>
      </c>
    </row>
    <row r="247" spans="1:7" x14ac:dyDescent="0.25">
      <c r="A247">
        <v>200001949</v>
      </c>
      <c r="B247" t="s">
        <v>458</v>
      </c>
      <c r="C247" t="s">
        <v>9</v>
      </c>
      <c r="D247">
        <v>0</v>
      </c>
      <c r="E247" s="15">
        <v>1.55</v>
      </c>
      <c r="F247">
        <v>0</v>
      </c>
      <c r="G247">
        <v>5</v>
      </c>
    </row>
    <row r="248" spans="1:7" x14ac:dyDescent="0.25">
      <c r="A248">
        <v>200000410</v>
      </c>
      <c r="B248" t="s">
        <v>459</v>
      </c>
      <c r="C248" t="s">
        <v>9</v>
      </c>
      <c r="D248">
        <v>0</v>
      </c>
      <c r="E248" s="15">
        <v>1</v>
      </c>
      <c r="F248">
        <v>0</v>
      </c>
      <c r="G248">
        <v>5</v>
      </c>
    </row>
    <row r="249" spans="1:7" x14ac:dyDescent="0.25">
      <c r="A249">
        <v>200000411</v>
      </c>
      <c r="B249" t="s">
        <v>460</v>
      </c>
      <c r="C249" t="s">
        <v>9</v>
      </c>
      <c r="D249">
        <v>0.5</v>
      </c>
      <c r="E249" s="15">
        <v>1.4</v>
      </c>
      <c r="F249">
        <v>0</v>
      </c>
      <c r="G249">
        <v>2</v>
      </c>
    </row>
    <row r="250" spans="1:7" x14ac:dyDescent="0.25">
      <c r="A250">
        <v>200001022</v>
      </c>
      <c r="B250" t="s">
        <v>461</v>
      </c>
      <c r="C250" t="s">
        <v>9</v>
      </c>
      <c r="D250">
        <v>0</v>
      </c>
      <c r="E250" s="15">
        <v>4</v>
      </c>
      <c r="F250">
        <v>0</v>
      </c>
      <c r="G250">
        <v>3</v>
      </c>
    </row>
    <row r="251" spans="1:7" x14ac:dyDescent="0.25">
      <c r="A251">
        <v>200000412</v>
      </c>
      <c r="B251" t="s">
        <v>462</v>
      </c>
      <c r="C251" t="s">
        <v>9</v>
      </c>
      <c r="D251">
        <v>0</v>
      </c>
      <c r="E251" s="15">
        <v>2.2000000000000002</v>
      </c>
      <c r="F251">
        <v>0</v>
      </c>
      <c r="G251">
        <v>4</v>
      </c>
    </row>
    <row r="252" spans="1:7" x14ac:dyDescent="0.25">
      <c r="A252">
        <v>200003600</v>
      </c>
      <c r="B252" t="s">
        <v>463</v>
      </c>
      <c r="C252" t="s">
        <v>9</v>
      </c>
      <c r="D252">
        <v>0</v>
      </c>
      <c r="E252" s="15">
        <v>6.18</v>
      </c>
      <c r="F252">
        <v>0</v>
      </c>
      <c r="G252">
        <v>2</v>
      </c>
    </row>
    <row r="253" spans="1:7" x14ac:dyDescent="0.25">
      <c r="A253">
        <v>200003601</v>
      </c>
      <c r="B253" t="s">
        <v>464</v>
      </c>
      <c r="C253" t="s">
        <v>9</v>
      </c>
      <c r="D253">
        <v>0</v>
      </c>
      <c r="E253" s="15">
        <v>13.08</v>
      </c>
      <c r="F253">
        <v>0</v>
      </c>
      <c r="G253">
        <v>6</v>
      </c>
    </row>
    <row r="254" spans="1:7" x14ac:dyDescent="0.25">
      <c r="A254">
        <v>200001955</v>
      </c>
      <c r="B254" t="s">
        <v>465</v>
      </c>
      <c r="C254" t="s">
        <v>9</v>
      </c>
      <c r="D254">
        <v>0.16</v>
      </c>
      <c r="E254" s="15">
        <v>0</v>
      </c>
      <c r="F254">
        <v>0</v>
      </c>
      <c r="G254">
        <v>0</v>
      </c>
    </row>
    <row r="255" spans="1:7" x14ac:dyDescent="0.25">
      <c r="A255">
        <v>200003637</v>
      </c>
      <c r="B255" t="s">
        <v>466</v>
      </c>
      <c r="C255" t="s">
        <v>9</v>
      </c>
      <c r="D255">
        <v>0</v>
      </c>
      <c r="E255" s="15">
        <v>7.09</v>
      </c>
      <c r="F255">
        <v>0</v>
      </c>
      <c r="G255">
        <v>2</v>
      </c>
    </row>
    <row r="256" spans="1:7" x14ac:dyDescent="0.25">
      <c r="A256">
        <v>200003638</v>
      </c>
      <c r="B256" t="s">
        <v>467</v>
      </c>
      <c r="C256" t="s">
        <v>9</v>
      </c>
      <c r="D256">
        <v>0</v>
      </c>
      <c r="E256" s="15">
        <v>5.79</v>
      </c>
      <c r="F256">
        <v>0</v>
      </c>
      <c r="G256">
        <v>5</v>
      </c>
    </row>
    <row r="257" spans="1:7" x14ac:dyDescent="0.25">
      <c r="A257">
        <v>200001573</v>
      </c>
      <c r="B257" t="s">
        <v>468</v>
      </c>
      <c r="C257" t="s">
        <v>9</v>
      </c>
      <c r="D257">
        <v>0.33</v>
      </c>
      <c r="E257" s="15">
        <v>0.53</v>
      </c>
      <c r="F257">
        <v>0</v>
      </c>
      <c r="G257">
        <v>7</v>
      </c>
    </row>
    <row r="258" spans="1:7" x14ac:dyDescent="0.25">
      <c r="A258">
        <v>200003639</v>
      </c>
      <c r="B258" t="s">
        <v>471</v>
      </c>
      <c r="C258" t="s">
        <v>9</v>
      </c>
      <c r="D258">
        <v>0</v>
      </c>
      <c r="E258" s="15">
        <v>13.02</v>
      </c>
      <c r="F258">
        <v>0</v>
      </c>
      <c r="G258">
        <v>3</v>
      </c>
    </row>
    <row r="259" spans="1:7" x14ac:dyDescent="0.25">
      <c r="A259">
        <v>200001954</v>
      </c>
      <c r="B259" t="s">
        <v>472</v>
      </c>
      <c r="C259" t="s">
        <v>9</v>
      </c>
      <c r="D259">
        <v>0</v>
      </c>
      <c r="E259" s="15">
        <v>0.8</v>
      </c>
      <c r="F259">
        <v>0</v>
      </c>
      <c r="G259">
        <v>6</v>
      </c>
    </row>
    <row r="260" spans="1:7" x14ac:dyDescent="0.25">
      <c r="A260">
        <v>200001963</v>
      </c>
      <c r="B260" t="s">
        <v>473</v>
      </c>
      <c r="C260" t="s">
        <v>9</v>
      </c>
      <c r="D260">
        <v>0.91</v>
      </c>
      <c r="E260" s="15">
        <v>4</v>
      </c>
      <c r="F260">
        <v>0</v>
      </c>
      <c r="G260">
        <v>9</v>
      </c>
    </row>
    <row r="261" spans="1:7" x14ac:dyDescent="0.25">
      <c r="A261">
        <v>200001574</v>
      </c>
      <c r="B261" t="s">
        <v>474</v>
      </c>
      <c r="C261" t="s">
        <v>9</v>
      </c>
      <c r="D261">
        <v>0</v>
      </c>
      <c r="E261" s="15">
        <v>0.5</v>
      </c>
      <c r="F261">
        <v>0</v>
      </c>
      <c r="G261">
        <v>4</v>
      </c>
    </row>
    <row r="262" spans="1:7" x14ac:dyDescent="0.25">
      <c r="A262">
        <v>200001957</v>
      </c>
      <c r="B262" t="s">
        <v>475</v>
      </c>
      <c r="C262" t="s">
        <v>9</v>
      </c>
      <c r="D262">
        <v>0</v>
      </c>
      <c r="E262" s="15">
        <v>0</v>
      </c>
      <c r="F262">
        <v>0</v>
      </c>
      <c r="G262">
        <v>0</v>
      </c>
    </row>
    <row r="263" spans="1:7" x14ac:dyDescent="0.25">
      <c r="A263">
        <v>200001576</v>
      </c>
      <c r="B263" t="s">
        <v>478</v>
      </c>
      <c r="C263" t="s">
        <v>9</v>
      </c>
      <c r="D263">
        <v>0.33</v>
      </c>
      <c r="E263" s="15">
        <v>2</v>
      </c>
      <c r="F263">
        <v>0</v>
      </c>
      <c r="G263">
        <v>2</v>
      </c>
    </row>
    <row r="264" spans="1:7" x14ac:dyDescent="0.25">
      <c r="A264">
        <v>200001577</v>
      </c>
      <c r="B264" t="s">
        <v>479</v>
      </c>
      <c r="C264" t="s">
        <v>9</v>
      </c>
      <c r="D264">
        <v>0.33</v>
      </c>
      <c r="E264" s="15">
        <v>2.2400000000000002</v>
      </c>
      <c r="F264">
        <v>0</v>
      </c>
      <c r="G264">
        <v>6</v>
      </c>
    </row>
    <row r="265" spans="1:7" x14ac:dyDescent="0.25">
      <c r="A265">
        <v>200001965</v>
      </c>
      <c r="B265" t="s">
        <v>480</v>
      </c>
      <c r="C265" t="s">
        <v>9</v>
      </c>
      <c r="D265">
        <v>0.08</v>
      </c>
      <c r="E265" s="15">
        <v>2.83</v>
      </c>
      <c r="F265">
        <v>0</v>
      </c>
      <c r="G265">
        <v>5</v>
      </c>
    </row>
    <row r="266" spans="1:7" x14ac:dyDescent="0.25">
      <c r="A266">
        <v>200001966</v>
      </c>
      <c r="B266" t="s">
        <v>481</v>
      </c>
      <c r="C266" t="s">
        <v>9</v>
      </c>
      <c r="D266">
        <v>0</v>
      </c>
      <c r="E266" s="15">
        <v>13.14</v>
      </c>
      <c r="F266">
        <v>0</v>
      </c>
      <c r="G266">
        <v>1</v>
      </c>
    </row>
    <row r="267" spans="1:7" x14ac:dyDescent="0.25">
      <c r="A267">
        <v>200000413</v>
      </c>
      <c r="B267" t="s">
        <v>483</v>
      </c>
      <c r="C267" t="s">
        <v>9</v>
      </c>
      <c r="D267">
        <v>0.66</v>
      </c>
      <c r="E267" s="15">
        <v>3.33</v>
      </c>
      <c r="F267">
        <v>0</v>
      </c>
      <c r="G267">
        <v>6</v>
      </c>
    </row>
    <row r="268" spans="1:7" x14ac:dyDescent="0.25">
      <c r="A268">
        <v>200001962</v>
      </c>
      <c r="B268" t="s">
        <v>484</v>
      </c>
      <c r="C268" t="s">
        <v>9</v>
      </c>
      <c r="D268">
        <v>0.25</v>
      </c>
      <c r="E268" s="15">
        <v>2.86</v>
      </c>
      <c r="F268">
        <v>0</v>
      </c>
      <c r="G268">
        <v>10</v>
      </c>
    </row>
    <row r="269" spans="1:7" x14ac:dyDescent="0.25">
      <c r="A269">
        <v>200000415</v>
      </c>
      <c r="B269" t="s">
        <v>485</v>
      </c>
      <c r="C269" t="s">
        <v>9</v>
      </c>
      <c r="D269">
        <v>0</v>
      </c>
      <c r="E269" s="15">
        <v>1.4</v>
      </c>
      <c r="F269">
        <v>0</v>
      </c>
      <c r="G269">
        <v>2</v>
      </c>
    </row>
    <row r="270" spans="1:7" x14ac:dyDescent="0.25">
      <c r="A270">
        <v>200000416</v>
      </c>
      <c r="B270" t="s">
        <v>486</v>
      </c>
      <c r="C270" t="s">
        <v>9</v>
      </c>
      <c r="D270">
        <v>0.91</v>
      </c>
      <c r="E270" s="15">
        <v>1.43</v>
      </c>
      <c r="F270">
        <v>0</v>
      </c>
      <c r="G270">
        <v>5</v>
      </c>
    </row>
    <row r="271" spans="1:7" x14ac:dyDescent="0.25">
      <c r="A271">
        <v>200000420</v>
      </c>
      <c r="B271" t="s">
        <v>488</v>
      </c>
      <c r="C271" t="s">
        <v>9</v>
      </c>
      <c r="D271">
        <v>0.16</v>
      </c>
      <c r="E271" s="15">
        <v>3.23</v>
      </c>
      <c r="F271">
        <v>0</v>
      </c>
      <c r="G271">
        <v>5</v>
      </c>
    </row>
    <row r="272" spans="1:7" x14ac:dyDescent="0.25">
      <c r="A272">
        <v>200001969</v>
      </c>
      <c r="B272" t="s">
        <v>489</v>
      </c>
      <c r="C272" t="s">
        <v>9</v>
      </c>
      <c r="D272">
        <v>0.16</v>
      </c>
      <c r="E272" s="15">
        <v>1.64</v>
      </c>
      <c r="F272">
        <v>0</v>
      </c>
      <c r="G272">
        <v>6</v>
      </c>
    </row>
    <row r="273" spans="1:7" x14ac:dyDescent="0.25">
      <c r="A273">
        <v>200001956</v>
      </c>
      <c r="B273" t="s">
        <v>490</v>
      </c>
      <c r="C273" t="s">
        <v>9</v>
      </c>
      <c r="D273">
        <v>0</v>
      </c>
      <c r="E273" s="15">
        <v>6.34</v>
      </c>
      <c r="F273">
        <v>0</v>
      </c>
      <c r="G273">
        <v>2</v>
      </c>
    </row>
    <row r="274" spans="1:7" x14ac:dyDescent="0.25">
      <c r="A274">
        <v>200001026</v>
      </c>
      <c r="B274" t="s">
        <v>491</v>
      </c>
      <c r="C274" t="s">
        <v>9</v>
      </c>
      <c r="D274">
        <v>0.41</v>
      </c>
      <c r="E274" s="15">
        <v>4.41</v>
      </c>
      <c r="F274">
        <v>0</v>
      </c>
      <c r="G274">
        <v>5</v>
      </c>
    </row>
    <row r="275" spans="1:7" x14ac:dyDescent="0.25">
      <c r="A275">
        <v>200001027</v>
      </c>
      <c r="B275" t="s">
        <v>492</v>
      </c>
      <c r="C275" t="s">
        <v>9</v>
      </c>
      <c r="D275">
        <v>0.08</v>
      </c>
      <c r="E275" s="15">
        <v>2.8</v>
      </c>
      <c r="F275">
        <v>0</v>
      </c>
      <c r="G275">
        <v>5</v>
      </c>
    </row>
    <row r="276" spans="1:7" x14ac:dyDescent="0.25">
      <c r="A276">
        <v>200001028</v>
      </c>
      <c r="B276" t="s">
        <v>493</v>
      </c>
      <c r="C276" t="s">
        <v>9</v>
      </c>
      <c r="D276">
        <v>0.25</v>
      </c>
      <c r="E276" s="15">
        <v>5.8</v>
      </c>
      <c r="F276">
        <v>0</v>
      </c>
      <c r="G276">
        <v>3</v>
      </c>
    </row>
    <row r="277" spans="1:7" x14ac:dyDescent="0.25">
      <c r="A277">
        <v>200001964</v>
      </c>
      <c r="B277" t="s">
        <v>494</v>
      </c>
      <c r="C277" t="s">
        <v>9</v>
      </c>
      <c r="D277">
        <v>0</v>
      </c>
      <c r="E277" s="15">
        <v>8.2799999999999994</v>
      </c>
      <c r="F277">
        <v>0</v>
      </c>
      <c r="G277">
        <v>8</v>
      </c>
    </row>
    <row r="278" spans="1:7" x14ac:dyDescent="0.25">
      <c r="A278">
        <v>200001960</v>
      </c>
      <c r="B278" t="s">
        <v>496</v>
      </c>
      <c r="C278" t="s">
        <v>9</v>
      </c>
      <c r="D278">
        <v>0</v>
      </c>
      <c r="E278" s="15">
        <v>2.0299999999999998</v>
      </c>
      <c r="F278">
        <v>0</v>
      </c>
      <c r="G278">
        <v>8</v>
      </c>
    </row>
    <row r="279" spans="1:7" x14ac:dyDescent="0.25">
      <c r="A279">
        <v>200001959</v>
      </c>
      <c r="B279" t="s">
        <v>497</v>
      </c>
      <c r="C279" t="s">
        <v>9</v>
      </c>
      <c r="D279">
        <v>0</v>
      </c>
      <c r="E279" s="15">
        <v>1.1499999999999999</v>
      </c>
      <c r="F279">
        <v>0</v>
      </c>
      <c r="G279">
        <v>9</v>
      </c>
    </row>
    <row r="280" spans="1:7" x14ac:dyDescent="0.25">
      <c r="A280">
        <v>200001970</v>
      </c>
      <c r="B280" t="s">
        <v>498</v>
      </c>
      <c r="C280" t="s">
        <v>9</v>
      </c>
      <c r="D280">
        <v>0</v>
      </c>
      <c r="E280" s="15">
        <v>1.25</v>
      </c>
      <c r="F280">
        <v>0</v>
      </c>
      <c r="G280">
        <v>11</v>
      </c>
    </row>
    <row r="281" spans="1:7" x14ac:dyDescent="0.25">
      <c r="A281">
        <v>200001971</v>
      </c>
      <c r="B281" t="s">
        <v>499</v>
      </c>
      <c r="C281" t="s">
        <v>9</v>
      </c>
      <c r="D281">
        <v>0.57999999999999996</v>
      </c>
      <c r="E281" s="15">
        <v>0</v>
      </c>
      <c r="F281">
        <v>0</v>
      </c>
      <c r="G281">
        <v>0</v>
      </c>
    </row>
    <row r="282" spans="1:7" x14ac:dyDescent="0.25">
      <c r="A282">
        <v>200000229</v>
      </c>
      <c r="B282" t="s">
        <v>500</v>
      </c>
      <c r="C282" t="s">
        <v>9</v>
      </c>
      <c r="D282">
        <v>0</v>
      </c>
      <c r="E282" s="15">
        <v>0</v>
      </c>
      <c r="F282">
        <v>0</v>
      </c>
      <c r="G282">
        <v>0</v>
      </c>
    </row>
    <row r="283" spans="1:7" x14ac:dyDescent="0.25">
      <c r="A283">
        <v>200000718</v>
      </c>
      <c r="B283" t="s">
        <v>501</v>
      </c>
      <c r="C283" t="s">
        <v>9</v>
      </c>
      <c r="D283">
        <v>0</v>
      </c>
      <c r="E283" s="15">
        <v>62.2</v>
      </c>
      <c r="F283">
        <v>0</v>
      </c>
      <c r="G283">
        <v>2</v>
      </c>
    </row>
    <row r="284" spans="1:7" x14ac:dyDescent="0.25">
      <c r="A284">
        <v>200000227</v>
      </c>
      <c r="B284" t="s">
        <v>502</v>
      </c>
      <c r="C284" t="s">
        <v>9</v>
      </c>
      <c r="D284">
        <v>0</v>
      </c>
      <c r="E284" s="15">
        <v>0</v>
      </c>
      <c r="F284">
        <v>0</v>
      </c>
      <c r="G284">
        <v>0</v>
      </c>
    </row>
    <row r="285" spans="1:7" x14ac:dyDescent="0.25">
      <c r="A285">
        <v>200001591</v>
      </c>
      <c r="B285" t="s">
        <v>503</v>
      </c>
      <c r="C285" t="s">
        <v>9</v>
      </c>
      <c r="D285">
        <v>0</v>
      </c>
      <c r="E285" s="15">
        <v>0</v>
      </c>
      <c r="F285">
        <v>0</v>
      </c>
      <c r="G285">
        <v>0</v>
      </c>
    </row>
    <row r="286" spans="1:7" x14ac:dyDescent="0.25">
      <c r="A286">
        <v>200000228</v>
      </c>
      <c r="B286" t="s">
        <v>504</v>
      </c>
      <c r="C286" t="s">
        <v>9</v>
      </c>
      <c r="D286">
        <v>0</v>
      </c>
      <c r="E286" s="15">
        <v>0</v>
      </c>
      <c r="F286">
        <v>0</v>
      </c>
      <c r="G286">
        <v>0</v>
      </c>
    </row>
    <row r="287" spans="1:7" x14ac:dyDescent="0.25">
      <c r="A287">
        <v>200000172</v>
      </c>
      <c r="B287" t="s">
        <v>506</v>
      </c>
      <c r="C287" t="s">
        <v>9</v>
      </c>
      <c r="D287">
        <v>0</v>
      </c>
      <c r="E287" s="15">
        <v>16</v>
      </c>
      <c r="F287">
        <v>0</v>
      </c>
      <c r="G287">
        <v>4</v>
      </c>
    </row>
    <row r="288" spans="1:7" x14ac:dyDescent="0.25">
      <c r="A288">
        <v>200001593</v>
      </c>
      <c r="B288" t="s">
        <v>507</v>
      </c>
      <c r="C288" t="s">
        <v>9</v>
      </c>
      <c r="D288">
        <v>0</v>
      </c>
      <c r="E288" s="15">
        <v>32</v>
      </c>
      <c r="F288">
        <v>0</v>
      </c>
      <c r="G288">
        <v>5</v>
      </c>
    </row>
    <row r="289" spans="1:7" x14ac:dyDescent="0.25">
      <c r="A289">
        <v>200001312</v>
      </c>
      <c r="B289" t="s">
        <v>508</v>
      </c>
      <c r="C289" t="s">
        <v>9</v>
      </c>
      <c r="D289">
        <v>0</v>
      </c>
      <c r="E289" s="15">
        <v>19</v>
      </c>
      <c r="F289">
        <v>0</v>
      </c>
      <c r="G289">
        <v>2</v>
      </c>
    </row>
    <row r="290" spans="1:7" x14ac:dyDescent="0.25">
      <c r="A290">
        <v>200000423</v>
      </c>
      <c r="B290" t="s">
        <v>516</v>
      </c>
      <c r="C290" t="s">
        <v>9</v>
      </c>
      <c r="D290">
        <v>0.16</v>
      </c>
      <c r="E290" s="15">
        <v>0</v>
      </c>
      <c r="F290">
        <v>0</v>
      </c>
      <c r="G290">
        <v>0</v>
      </c>
    </row>
    <row r="291" spans="1:7" x14ac:dyDescent="0.25">
      <c r="A291">
        <v>200000424</v>
      </c>
      <c r="B291" t="s">
        <v>517</v>
      </c>
      <c r="C291" t="s">
        <v>9</v>
      </c>
      <c r="D291">
        <v>0.16</v>
      </c>
      <c r="E291" s="15">
        <v>64.28</v>
      </c>
      <c r="F291">
        <v>0</v>
      </c>
      <c r="G291">
        <v>5</v>
      </c>
    </row>
    <row r="292" spans="1:7" x14ac:dyDescent="0.25">
      <c r="A292">
        <v>200004132</v>
      </c>
      <c r="B292" t="s">
        <v>524</v>
      </c>
      <c r="C292" t="s">
        <v>9</v>
      </c>
      <c r="D292">
        <v>0.16</v>
      </c>
      <c r="E292" s="15">
        <v>56.35</v>
      </c>
      <c r="F292">
        <v>0</v>
      </c>
      <c r="G292">
        <v>4</v>
      </c>
    </row>
    <row r="293" spans="1:7" x14ac:dyDescent="0.25">
      <c r="A293">
        <v>200000425</v>
      </c>
      <c r="B293" t="s">
        <v>526</v>
      </c>
      <c r="C293" t="s">
        <v>9</v>
      </c>
      <c r="D293">
        <v>2</v>
      </c>
      <c r="E293" s="15">
        <v>24.13</v>
      </c>
      <c r="F293">
        <v>0</v>
      </c>
      <c r="G293">
        <v>5</v>
      </c>
    </row>
    <row r="294" spans="1:7" x14ac:dyDescent="0.25">
      <c r="A294">
        <v>200000426</v>
      </c>
      <c r="B294" t="s">
        <v>527</v>
      </c>
      <c r="C294" t="s">
        <v>9</v>
      </c>
      <c r="D294">
        <v>0.16</v>
      </c>
      <c r="E294" s="15">
        <v>14.44</v>
      </c>
      <c r="F294">
        <v>0</v>
      </c>
      <c r="G294">
        <v>5</v>
      </c>
    </row>
    <row r="295" spans="1:7" x14ac:dyDescent="0.25">
      <c r="A295">
        <v>200000427</v>
      </c>
      <c r="B295" t="s">
        <v>528</v>
      </c>
      <c r="C295" t="s">
        <v>9</v>
      </c>
      <c r="D295">
        <v>0.16</v>
      </c>
      <c r="E295" s="15">
        <v>13</v>
      </c>
      <c r="F295">
        <v>0</v>
      </c>
      <c r="G295">
        <v>5</v>
      </c>
    </row>
    <row r="296" spans="1:7" x14ac:dyDescent="0.25">
      <c r="A296">
        <v>200005761</v>
      </c>
      <c r="B296" t="s">
        <v>599</v>
      </c>
      <c r="C296" t="s">
        <v>9</v>
      </c>
      <c r="D296">
        <v>2.33</v>
      </c>
      <c r="E296" s="15">
        <v>176.75</v>
      </c>
      <c r="F296">
        <v>199</v>
      </c>
      <c r="G296">
        <v>71</v>
      </c>
    </row>
    <row r="297" spans="1:7" x14ac:dyDescent="0.25">
      <c r="A297">
        <v>200002716</v>
      </c>
      <c r="B297" t="s">
        <v>531</v>
      </c>
      <c r="C297" t="s">
        <v>9</v>
      </c>
      <c r="D297">
        <v>10</v>
      </c>
      <c r="E297" s="15">
        <v>0.38</v>
      </c>
      <c r="F297">
        <v>0</v>
      </c>
      <c r="G297">
        <v>100</v>
      </c>
    </row>
    <row r="298" spans="1:7" x14ac:dyDescent="0.25">
      <c r="A298">
        <v>200002717</v>
      </c>
      <c r="B298" t="s">
        <v>532</v>
      </c>
      <c r="C298" t="s">
        <v>9</v>
      </c>
      <c r="D298">
        <v>6.33</v>
      </c>
      <c r="E298" s="15">
        <v>0.38</v>
      </c>
      <c r="F298">
        <v>0</v>
      </c>
      <c r="G298">
        <v>60</v>
      </c>
    </row>
    <row r="299" spans="1:7" x14ac:dyDescent="0.25">
      <c r="A299">
        <v>200000456</v>
      </c>
      <c r="B299" t="s">
        <v>534</v>
      </c>
      <c r="C299" t="s">
        <v>9</v>
      </c>
      <c r="D299">
        <v>4.58</v>
      </c>
      <c r="E299" s="15">
        <v>2.41</v>
      </c>
      <c r="F299">
        <v>0</v>
      </c>
      <c r="G299">
        <v>26</v>
      </c>
    </row>
    <row r="300" spans="1:7" x14ac:dyDescent="0.25">
      <c r="A300">
        <v>200001615</v>
      </c>
      <c r="B300" t="s">
        <v>538</v>
      </c>
      <c r="C300" t="s">
        <v>9</v>
      </c>
      <c r="D300">
        <v>0</v>
      </c>
      <c r="E300" s="15">
        <v>1.67</v>
      </c>
      <c r="F300">
        <v>0</v>
      </c>
      <c r="G300">
        <v>20</v>
      </c>
    </row>
    <row r="301" spans="1:7" x14ac:dyDescent="0.25">
      <c r="A301">
        <v>200001616</v>
      </c>
      <c r="B301" t="s">
        <v>540</v>
      </c>
      <c r="C301" t="s">
        <v>9</v>
      </c>
      <c r="D301">
        <v>0</v>
      </c>
      <c r="E301" s="15">
        <v>0</v>
      </c>
      <c r="F301">
        <v>0</v>
      </c>
      <c r="G301">
        <v>0</v>
      </c>
    </row>
    <row r="302" spans="1:7" x14ac:dyDescent="0.25">
      <c r="A302">
        <v>200000457</v>
      </c>
      <c r="B302" t="s">
        <v>541</v>
      </c>
      <c r="C302" t="s">
        <v>9</v>
      </c>
      <c r="D302">
        <v>0</v>
      </c>
      <c r="E302" s="15">
        <v>0</v>
      </c>
      <c r="F302">
        <v>0</v>
      </c>
      <c r="G302">
        <v>0</v>
      </c>
    </row>
    <row r="303" spans="1:7" x14ac:dyDescent="0.25">
      <c r="A303">
        <v>200000460</v>
      </c>
      <c r="B303" t="s">
        <v>544</v>
      </c>
      <c r="C303" t="s">
        <v>294</v>
      </c>
      <c r="D303">
        <v>2.5</v>
      </c>
      <c r="E303" s="15">
        <v>0</v>
      </c>
      <c r="F303">
        <v>0</v>
      </c>
      <c r="G303">
        <v>0</v>
      </c>
    </row>
    <row r="304" spans="1:7" x14ac:dyDescent="0.25">
      <c r="A304">
        <v>200000463</v>
      </c>
      <c r="B304" t="s">
        <v>545</v>
      </c>
      <c r="C304" t="s">
        <v>546</v>
      </c>
      <c r="D304">
        <v>0</v>
      </c>
      <c r="E304" s="15">
        <v>0</v>
      </c>
      <c r="F304">
        <v>0</v>
      </c>
      <c r="G304">
        <v>0</v>
      </c>
    </row>
    <row r="305" spans="1:13" x14ac:dyDescent="0.25">
      <c r="A305">
        <v>200001975</v>
      </c>
      <c r="B305" t="s">
        <v>551</v>
      </c>
      <c r="C305" t="s">
        <v>9</v>
      </c>
      <c r="D305">
        <v>0</v>
      </c>
      <c r="E305" s="15">
        <v>15.14</v>
      </c>
      <c r="F305">
        <v>0</v>
      </c>
      <c r="G305">
        <v>3</v>
      </c>
    </row>
    <row r="306" spans="1:13" x14ac:dyDescent="0.25">
      <c r="A306">
        <v>200001972</v>
      </c>
      <c r="B306" t="s">
        <v>552</v>
      </c>
      <c r="C306" t="s">
        <v>9</v>
      </c>
      <c r="D306">
        <v>0</v>
      </c>
      <c r="E306" s="15">
        <v>2.86</v>
      </c>
      <c r="F306">
        <v>0</v>
      </c>
      <c r="G306">
        <v>4</v>
      </c>
    </row>
    <row r="307" spans="1:13" x14ac:dyDescent="0.25">
      <c r="A307">
        <v>200001973</v>
      </c>
      <c r="B307" t="s">
        <v>553</v>
      </c>
      <c r="C307" t="s">
        <v>9</v>
      </c>
      <c r="D307">
        <v>0</v>
      </c>
      <c r="E307" s="15">
        <v>8.85</v>
      </c>
      <c r="F307">
        <v>0</v>
      </c>
      <c r="G307">
        <v>3</v>
      </c>
    </row>
    <row r="308" spans="1:13" x14ac:dyDescent="0.25">
      <c r="A308">
        <v>200001974</v>
      </c>
      <c r="B308" t="s">
        <v>554</v>
      </c>
      <c r="C308" t="s">
        <v>9</v>
      </c>
      <c r="D308">
        <v>0</v>
      </c>
      <c r="E308" s="15">
        <v>10.7</v>
      </c>
      <c r="F308">
        <v>0</v>
      </c>
      <c r="G308">
        <v>4</v>
      </c>
      <c r="M308" s="2"/>
    </row>
    <row r="309" spans="1:13" x14ac:dyDescent="0.25">
      <c r="A309">
        <v>200003643</v>
      </c>
      <c r="B309" t="s">
        <v>555</v>
      </c>
      <c r="C309" t="s">
        <v>9</v>
      </c>
      <c r="D309">
        <v>0</v>
      </c>
      <c r="E309" s="15">
        <v>17.010000000000002</v>
      </c>
      <c r="F309">
        <v>0</v>
      </c>
      <c r="G309">
        <v>2</v>
      </c>
    </row>
    <row r="310" spans="1:13" x14ac:dyDescent="0.25">
      <c r="A310">
        <v>200003644</v>
      </c>
      <c r="B310" t="s">
        <v>556</v>
      </c>
      <c r="C310" t="s">
        <v>9</v>
      </c>
      <c r="D310">
        <v>0</v>
      </c>
      <c r="E310" s="15">
        <v>11.94</v>
      </c>
      <c r="F310">
        <v>0</v>
      </c>
      <c r="G310">
        <v>3</v>
      </c>
    </row>
    <row r="311" spans="1:13" x14ac:dyDescent="0.25">
      <c r="A311">
        <v>200003645</v>
      </c>
      <c r="B311" t="s">
        <v>557</v>
      </c>
      <c r="C311" t="s">
        <v>9</v>
      </c>
      <c r="D311">
        <v>0</v>
      </c>
      <c r="E311" s="15">
        <v>13.2</v>
      </c>
      <c r="F311">
        <v>0</v>
      </c>
      <c r="G311">
        <v>2</v>
      </c>
    </row>
    <row r="312" spans="1:13" x14ac:dyDescent="0.25">
      <c r="A312">
        <v>200001999</v>
      </c>
      <c r="B312" t="s">
        <v>558</v>
      </c>
      <c r="C312" t="s">
        <v>9</v>
      </c>
      <c r="D312">
        <v>0</v>
      </c>
      <c r="E312" s="15">
        <v>0</v>
      </c>
      <c r="F312">
        <v>0</v>
      </c>
      <c r="G312">
        <v>0</v>
      </c>
    </row>
    <row r="313" spans="1:13" x14ac:dyDescent="0.25">
      <c r="A313">
        <v>200003646</v>
      </c>
      <c r="B313" t="s">
        <v>559</v>
      </c>
      <c r="C313" t="s">
        <v>9</v>
      </c>
      <c r="D313">
        <v>0</v>
      </c>
      <c r="E313" s="15">
        <v>29.28</v>
      </c>
      <c r="F313">
        <v>0</v>
      </c>
      <c r="G313">
        <v>2</v>
      </c>
    </row>
    <row r="314" spans="1:13" x14ac:dyDescent="0.25">
      <c r="A314">
        <v>200002000</v>
      </c>
      <c r="B314" t="s">
        <v>560</v>
      </c>
      <c r="C314" t="s">
        <v>9</v>
      </c>
      <c r="D314">
        <v>0</v>
      </c>
      <c r="E314" s="15">
        <v>11.91</v>
      </c>
      <c r="F314">
        <v>0</v>
      </c>
      <c r="G314">
        <v>5</v>
      </c>
    </row>
    <row r="315" spans="1:13" x14ac:dyDescent="0.25">
      <c r="A315">
        <v>200001986</v>
      </c>
      <c r="B315" t="s">
        <v>561</v>
      </c>
      <c r="C315" t="s">
        <v>9</v>
      </c>
      <c r="D315">
        <v>0</v>
      </c>
      <c r="E315" s="15">
        <v>4.75</v>
      </c>
      <c r="F315">
        <v>0</v>
      </c>
      <c r="G315">
        <v>8</v>
      </c>
    </row>
    <row r="316" spans="1:13" x14ac:dyDescent="0.25">
      <c r="A316">
        <v>200001987</v>
      </c>
      <c r="B316" t="s">
        <v>562</v>
      </c>
      <c r="C316" t="s">
        <v>9</v>
      </c>
      <c r="D316">
        <v>0</v>
      </c>
      <c r="E316" s="15">
        <v>7.5</v>
      </c>
      <c r="F316">
        <v>0</v>
      </c>
      <c r="G316">
        <v>3</v>
      </c>
    </row>
    <row r="317" spans="1:13" x14ac:dyDescent="0.25">
      <c r="A317">
        <v>200001988</v>
      </c>
      <c r="B317" t="s">
        <v>563</v>
      </c>
      <c r="C317" t="s">
        <v>9</v>
      </c>
      <c r="D317">
        <v>0.16</v>
      </c>
      <c r="E317" s="15">
        <v>11.3</v>
      </c>
      <c r="F317">
        <v>0</v>
      </c>
      <c r="G317">
        <v>5</v>
      </c>
    </row>
    <row r="318" spans="1:13" x14ac:dyDescent="0.25">
      <c r="A318">
        <v>200001989</v>
      </c>
      <c r="B318" t="s">
        <v>564</v>
      </c>
      <c r="C318" t="s">
        <v>9</v>
      </c>
      <c r="D318">
        <v>0</v>
      </c>
      <c r="E318" s="15">
        <v>12.94</v>
      </c>
      <c r="F318">
        <v>0</v>
      </c>
      <c r="G318">
        <v>24</v>
      </c>
    </row>
    <row r="319" spans="1:13" x14ac:dyDescent="0.25">
      <c r="A319">
        <v>200001990</v>
      </c>
      <c r="B319" t="s">
        <v>565</v>
      </c>
      <c r="C319" t="s">
        <v>9</v>
      </c>
      <c r="D319">
        <v>0</v>
      </c>
      <c r="E319" s="15">
        <v>22.5</v>
      </c>
      <c r="F319">
        <v>0</v>
      </c>
      <c r="G319">
        <v>1</v>
      </c>
    </row>
    <row r="320" spans="1:13" x14ac:dyDescent="0.25">
      <c r="A320">
        <v>200001991</v>
      </c>
      <c r="B320" t="s">
        <v>566</v>
      </c>
      <c r="C320" t="s">
        <v>9</v>
      </c>
      <c r="D320">
        <v>0</v>
      </c>
      <c r="E320" s="15">
        <v>20.99</v>
      </c>
      <c r="F320">
        <v>0</v>
      </c>
      <c r="G320">
        <v>5</v>
      </c>
    </row>
    <row r="321" spans="1:7" x14ac:dyDescent="0.25">
      <c r="A321">
        <v>200002002</v>
      </c>
      <c r="B321" t="s">
        <v>567</v>
      </c>
      <c r="C321" t="s">
        <v>9</v>
      </c>
      <c r="D321">
        <v>0</v>
      </c>
      <c r="E321" s="15">
        <v>2.04</v>
      </c>
      <c r="F321">
        <v>0</v>
      </c>
      <c r="G321">
        <v>3</v>
      </c>
    </row>
    <row r="322" spans="1:7" x14ac:dyDescent="0.25">
      <c r="A322">
        <v>200002001</v>
      </c>
      <c r="B322" t="s">
        <v>568</v>
      </c>
      <c r="C322" t="s">
        <v>9</v>
      </c>
      <c r="D322">
        <v>0</v>
      </c>
      <c r="E322" s="15">
        <v>1.3</v>
      </c>
      <c r="F322">
        <v>0</v>
      </c>
      <c r="G322">
        <v>8</v>
      </c>
    </row>
    <row r="323" spans="1:7" x14ac:dyDescent="0.25">
      <c r="A323">
        <v>200001992</v>
      </c>
      <c r="B323" t="s">
        <v>569</v>
      </c>
      <c r="C323" t="s">
        <v>9</v>
      </c>
      <c r="D323">
        <v>0.75</v>
      </c>
      <c r="E323" s="15">
        <v>0.81</v>
      </c>
      <c r="F323">
        <v>0</v>
      </c>
      <c r="G323">
        <v>2</v>
      </c>
    </row>
    <row r="324" spans="1:7" x14ac:dyDescent="0.25">
      <c r="A324">
        <v>200001993</v>
      </c>
      <c r="B324" t="s">
        <v>570</v>
      </c>
      <c r="C324" t="s">
        <v>9</v>
      </c>
      <c r="D324">
        <v>0.5</v>
      </c>
      <c r="E324" s="15">
        <v>1.89</v>
      </c>
      <c r="F324">
        <v>0</v>
      </c>
      <c r="G324">
        <v>6</v>
      </c>
    </row>
    <row r="325" spans="1:7" x14ac:dyDescent="0.25">
      <c r="A325">
        <v>200001994</v>
      </c>
      <c r="B325" t="s">
        <v>571</v>
      </c>
      <c r="C325" t="s">
        <v>9</v>
      </c>
      <c r="D325">
        <v>0.16</v>
      </c>
      <c r="E325" s="15">
        <v>2.48</v>
      </c>
      <c r="F325">
        <v>0</v>
      </c>
      <c r="G325">
        <v>6</v>
      </c>
    </row>
    <row r="326" spans="1:7" x14ac:dyDescent="0.25">
      <c r="A326">
        <v>200003603</v>
      </c>
      <c r="B326" t="s">
        <v>572</v>
      </c>
      <c r="C326" t="s">
        <v>9</v>
      </c>
      <c r="D326">
        <v>0</v>
      </c>
      <c r="E326" s="15">
        <v>2.93</v>
      </c>
      <c r="F326">
        <v>0</v>
      </c>
      <c r="G326">
        <v>1</v>
      </c>
    </row>
    <row r="327" spans="1:7" x14ac:dyDescent="0.25">
      <c r="A327">
        <v>200001995</v>
      </c>
      <c r="B327" t="s">
        <v>573</v>
      </c>
      <c r="C327" t="s">
        <v>9</v>
      </c>
      <c r="D327">
        <v>0.08</v>
      </c>
      <c r="E327" s="15">
        <v>5.89</v>
      </c>
      <c r="F327">
        <v>0</v>
      </c>
      <c r="G327">
        <v>4</v>
      </c>
    </row>
    <row r="328" spans="1:7" x14ac:dyDescent="0.25">
      <c r="A328">
        <v>200001998</v>
      </c>
      <c r="B328" t="s">
        <v>574</v>
      </c>
      <c r="C328" t="s">
        <v>9</v>
      </c>
      <c r="D328">
        <v>0</v>
      </c>
      <c r="E328" s="15">
        <v>1.64</v>
      </c>
      <c r="F328">
        <v>0</v>
      </c>
      <c r="G328">
        <v>5</v>
      </c>
    </row>
    <row r="329" spans="1:7" x14ac:dyDescent="0.25">
      <c r="A329">
        <v>200003647</v>
      </c>
      <c r="B329" t="s">
        <v>575</v>
      </c>
      <c r="C329" t="s">
        <v>9</v>
      </c>
      <c r="D329">
        <v>0</v>
      </c>
      <c r="E329" s="15">
        <v>0</v>
      </c>
      <c r="F329">
        <v>0</v>
      </c>
      <c r="G329">
        <v>0</v>
      </c>
    </row>
    <row r="330" spans="1:7" x14ac:dyDescent="0.25">
      <c r="A330">
        <v>200003648</v>
      </c>
      <c r="B330" t="s">
        <v>576</v>
      </c>
      <c r="C330" t="s">
        <v>9</v>
      </c>
      <c r="D330">
        <v>0</v>
      </c>
      <c r="E330" s="15">
        <v>0</v>
      </c>
      <c r="F330">
        <v>0</v>
      </c>
      <c r="G330">
        <v>0</v>
      </c>
    </row>
    <row r="331" spans="1:7" x14ac:dyDescent="0.25">
      <c r="A331">
        <v>200001996</v>
      </c>
      <c r="B331" t="s">
        <v>577</v>
      </c>
      <c r="C331" t="s">
        <v>9</v>
      </c>
      <c r="D331">
        <v>0.66</v>
      </c>
      <c r="E331" s="15">
        <v>0.54</v>
      </c>
      <c r="F331">
        <v>0</v>
      </c>
      <c r="G331">
        <v>7</v>
      </c>
    </row>
    <row r="332" spans="1:7" x14ac:dyDescent="0.25">
      <c r="A332">
        <v>200003649</v>
      </c>
      <c r="B332" t="s">
        <v>579</v>
      </c>
      <c r="C332" t="s">
        <v>9</v>
      </c>
      <c r="D332">
        <v>0</v>
      </c>
      <c r="E332" s="15">
        <v>7.17</v>
      </c>
      <c r="F332">
        <v>0</v>
      </c>
      <c r="G332">
        <v>1</v>
      </c>
    </row>
    <row r="333" spans="1:7" x14ac:dyDescent="0.25">
      <c r="A333">
        <v>200001997</v>
      </c>
      <c r="B333" t="s">
        <v>580</v>
      </c>
      <c r="C333" t="s">
        <v>9</v>
      </c>
      <c r="D333">
        <v>0</v>
      </c>
      <c r="E333" s="15">
        <v>0.84</v>
      </c>
      <c r="F333">
        <v>0</v>
      </c>
      <c r="G333">
        <v>11</v>
      </c>
    </row>
    <row r="334" spans="1:7" x14ac:dyDescent="0.25">
      <c r="A334">
        <v>200001979</v>
      </c>
      <c r="B334" t="s">
        <v>582</v>
      </c>
      <c r="C334" t="s">
        <v>9</v>
      </c>
      <c r="D334">
        <v>0.16</v>
      </c>
      <c r="E334" s="15">
        <v>4.09</v>
      </c>
      <c r="F334">
        <v>0</v>
      </c>
      <c r="G334">
        <v>2</v>
      </c>
    </row>
    <row r="335" spans="1:7" x14ac:dyDescent="0.25">
      <c r="A335">
        <v>200001976</v>
      </c>
      <c r="B335" t="s">
        <v>583</v>
      </c>
      <c r="C335" t="s">
        <v>9</v>
      </c>
      <c r="D335">
        <v>0.16</v>
      </c>
      <c r="E335" s="15">
        <v>1.31</v>
      </c>
      <c r="F335">
        <v>0</v>
      </c>
      <c r="G335">
        <v>5</v>
      </c>
    </row>
    <row r="336" spans="1:7" x14ac:dyDescent="0.25">
      <c r="A336">
        <v>200001977</v>
      </c>
      <c r="B336" t="s">
        <v>584</v>
      </c>
      <c r="C336" t="s">
        <v>9</v>
      </c>
      <c r="D336">
        <v>0.5</v>
      </c>
      <c r="E336" s="15">
        <v>2.35</v>
      </c>
      <c r="F336">
        <v>0</v>
      </c>
      <c r="G336">
        <v>5</v>
      </c>
    </row>
    <row r="337" spans="1:7" x14ac:dyDescent="0.25">
      <c r="A337">
        <v>200001978</v>
      </c>
      <c r="B337" t="s">
        <v>585</v>
      </c>
      <c r="C337" t="s">
        <v>9</v>
      </c>
      <c r="D337">
        <v>0.75</v>
      </c>
      <c r="E337" s="15">
        <v>4.07</v>
      </c>
      <c r="F337">
        <v>1</v>
      </c>
      <c r="G337">
        <v>0</v>
      </c>
    </row>
    <row r="338" spans="1:7" x14ac:dyDescent="0.25">
      <c r="A338">
        <v>200001980</v>
      </c>
      <c r="B338" t="s">
        <v>586</v>
      </c>
      <c r="C338" t="s">
        <v>9</v>
      </c>
      <c r="D338">
        <v>0</v>
      </c>
      <c r="E338" s="15">
        <v>0</v>
      </c>
      <c r="F338">
        <v>0</v>
      </c>
      <c r="G338">
        <v>0</v>
      </c>
    </row>
    <row r="339" spans="1:7" x14ac:dyDescent="0.25">
      <c r="A339">
        <v>200001981</v>
      </c>
      <c r="B339" t="s">
        <v>587</v>
      </c>
      <c r="C339" t="s">
        <v>9</v>
      </c>
      <c r="D339">
        <v>0.57999999999999996</v>
      </c>
      <c r="E339" s="15">
        <v>0</v>
      </c>
      <c r="F339">
        <v>0</v>
      </c>
      <c r="G339">
        <v>0</v>
      </c>
    </row>
    <row r="340" spans="1:7" x14ac:dyDescent="0.25">
      <c r="A340">
        <v>200001982</v>
      </c>
      <c r="B340" t="s">
        <v>588</v>
      </c>
      <c r="C340" t="s">
        <v>9</v>
      </c>
      <c r="D340">
        <v>0.83</v>
      </c>
      <c r="E340" s="15">
        <v>0</v>
      </c>
      <c r="F340">
        <v>0</v>
      </c>
      <c r="G340">
        <v>0</v>
      </c>
    </row>
    <row r="341" spans="1:7" x14ac:dyDescent="0.25">
      <c r="A341">
        <v>200001983</v>
      </c>
      <c r="B341" t="s">
        <v>589</v>
      </c>
      <c r="C341" t="s">
        <v>9</v>
      </c>
      <c r="D341">
        <v>0</v>
      </c>
      <c r="E341" s="15">
        <v>0</v>
      </c>
      <c r="F341">
        <v>0</v>
      </c>
      <c r="G341">
        <v>0</v>
      </c>
    </row>
    <row r="342" spans="1:7" x14ac:dyDescent="0.25">
      <c r="A342">
        <v>200001984</v>
      </c>
      <c r="B342" t="s">
        <v>590</v>
      </c>
      <c r="C342" t="s">
        <v>9</v>
      </c>
      <c r="D342">
        <v>0</v>
      </c>
      <c r="E342" s="15">
        <v>0</v>
      </c>
      <c r="F342">
        <v>0</v>
      </c>
      <c r="G342">
        <v>0</v>
      </c>
    </row>
    <row r="343" spans="1:7" x14ac:dyDescent="0.25">
      <c r="A343">
        <v>200001985</v>
      </c>
      <c r="B343" t="s">
        <v>591</v>
      </c>
      <c r="C343" t="s">
        <v>9</v>
      </c>
      <c r="D343">
        <v>0.16</v>
      </c>
      <c r="E343" s="15">
        <v>6.54</v>
      </c>
      <c r="F343">
        <v>0</v>
      </c>
      <c r="G343">
        <v>2</v>
      </c>
    </row>
    <row r="344" spans="1:7" x14ac:dyDescent="0.25">
      <c r="A344">
        <v>200003602</v>
      </c>
      <c r="B344" t="s">
        <v>592</v>
      </c>
      <c r="C344" t="s">
        <v>9</v>
      </c>
      <c r="D344">
        <v>0</v>
      </c>
      <c r="E344" s="15">
        <v>21</v>
      </c>
      <c r="F344">
        <v>0</v>
      </c>
      <c r="G344">
        <v>2</v>
      </c>
    </row>
    <row r="345" spans="1:7" x14ac:dyDescent="0.25">
      <c r="A345">
        <v>200000471</v>
      </c>
      <c r="B345" t="s">
        <v>594</v>
      </c>
      <c r="C345" t="s">
        <v>9</v>
      </c>
      <c r="D345">
        <v>0.66</v>
      </c>
      <c r="E345" s="15">
        <v>1.52</v>
      </c>
      <c r="F345">
        <v>0</v>
      </c>
      <c r="G345">
        <v>5</v>
      </c>
    </row>
    <row r="346" spans="1:7" x14ac:dyDescent="0.25">
      <c r="A346">
        <v>200000472</v>
      </c>
      <c r="B346" t="s">
        <v>595</v>
      </c>
      <c r="C346" t="s">
        <v>9</v>
      </c>
      <c r="D346">
        <v>0.57999999999999996</v>
      </c>
      <c r="E346" s="15">
        <v>0</v>
      </c>
      <c r="F346">
        <v>0</v>
      </c>
      <c r="G346">
        <v>0</v>
      </c>
    </row>
    <row r="347" spans="1:7" x14ac:dyDescent="0.25">
      <c r="A347">
        <v>200000473</v>
      </c>
      <c r="B347" t="s">
        <v>596</v>
      </c>
      <c r="C347" t="s">
        <v>9</v>
      </c>
      <c r="D347">
        <v>0</v>
      </c>
      <c r="E347" s="15">
        <v>1</v>
      </c>
      <c r="F347">
        <v>0</v>
      </c>
      <c r="G347">
        <v>4</v>
      </c>
    </row>
    <row r="348" spans="1:7" x14ac:dyDescent="0.25">
      <c r="A348">
        <v>200000474</v>
      </c>
      <c r="B348" t="s">
        <v>597</v>
      </c>
      <c r="C348" t="s">
        <v>9</v>
      </c>
      <c r="D348">
        <v>0</v>
      </c>
      <c r="E348" s="15">
        <v>1.3</v>
      </c>
      <c r="F348">
        <v>0</v>
      </c>
      <c r="G348">
        <v>5</v>
      </c>
    </row>
    <row r="349" spans="1:7" x14ac:dyDescent="0.25">
      <c r="A349">
        <v>200002820</v>
      </c>
      <c r="B349" t="s">
        <v>598</v>
      </c>
      <c r="C349" t="s">
        <v>9</v>
      </c>
      <c r="D349">
        <v>0.25</v>
      </c>
      <c r="E349" s="15">
        <v>13.9</v>
      </c>
      <c r="F349">
        <v>0</v>
      </c>
      <c r="G349">
        <v>3</v>
      </c>
    </row>
    <row r="350" spans="1:7" x14ac:dyDescent="0.25">
      <c r="A350">
        <v>200002115</v>
      </c>
      <c r="B350" t="s">
        <v>605</v>
      </c>
      <c r="C350" t="s">
        <v>546</v>
      </c>
      <c r="D350">
        <v>2.58</v>
      </c>
      <c r="E350" s="15">
        <v>0</v>
      </c>
      <c r="F350">
        <v>0</v>
      </c>
      <c r="G350">
        <v>0</v>
      </c>
    </row>
    <row r="351" spans="1:7" x14ac:dyDescent="0.25">
      <c r="A351">
        <v>200000489</v>
      </c>
      <c r="B351" t="s">
        <v>607</v>
      </c>
      <c r="C351" t="s">
        <v>67</v>
      </c>
      <c r="D351">
        <v>0.25</v>
      </c>
      <c r="E351" s="15">
        <v>68.91</v>
      </c>
      <c r="F351">
        <v>0</v>
      </c>
      <c r="G351">
        <v>4</v>
      </c>
    </row>
    <row r="352" spans="1:7" x14ac:dyDescent="0.25">
      <c r="A352">
        <v>200002213</v>
      </c>
      <c r="B352" t="s">
        <v>612</v>
      </c>
      <c r="C352" t="s">
        <v>9</v>
      </c>
      <c r="D352">
        <v>0.16</v>
      </c>
      <c r="E352" s="15">
        <v>103.81</v>
      </c>
      <c r="F352">
        <v>0</v>
      </c>
      <c r="G352">
        <v>6</v>
      </c>
    </row>
    <row r="353" spans="1:7" x14ac:dyDescent="0.25">
      <c r="A353">
        <v>200000494</v>
      </c>
      <c r="B353" t="s">
        <v>613</v>
      </c>
      <c r="C353" t="s">
        <v>9</v>
      </c>
      <c r="D353">
        <v>0.16</v>
      </c>
      <c r="E353" s="15">
        <v>40</v>
      </c>
      <c r="F353">
        <v>0</v>
      </c>
      <c r="G353">
        <v>5</v>
      </c>
    </row>
    <row r="354" spans="1:7" x14ac:dyDescent="0.25">
      <c r="A354">
        <v>200000495</v>
      </c>
      <c r="B354" t="s">
        <v>614</v>
      </c>
      <c r="C354" t="s">
        <v>9</v>
      </c>
      <c r="D354">
        <v>0</v>
      </c>
      <c r="E354" s="15">
        <v>102.75</v>
      </c>
      <c r="F354">
        <v>0</v>
      </c>
      <c r="G354">
        <v>6</v>
      </c>
    </row>
    <row r="355" spans="1:7" x14ac:dyDescent="0.25">
      <c r="A355">
        <v>200000496</v>
      </c>
      <c r="B355" t="s">
        <v>615</v>
      </c>
      <c r="C355" t="s">
        <v>9</v>
      </c>
      <c r="D355">
        <v>0.33</v>
      </c>
      <c r="E355" s="15">
        <v>139.31</v>
      </c>
      <c r="F355">
        <v>0</v>
      </c>
      <c r="G355">
        <v>5</v>
      </c>
    </row>
    <row r="356" spans="1:7" x14ac:dyDescent="0.25">
      <c r="A356">
        <v>200000497</v>
      </c>
      <c r="B356" t="s">
        <v>616</v>
      </c>
      <c r="C356" t="s">
        <v>9</v>
      </c>
      <c r="D356">
        <v>5.41</v>
      </c>
      <c r="E356" s="15">
        <v>80.95</v>
      </c>
      <c r="F356">
        <v>0</v>
      </c>
      <c r="G356">
        <v>10</v>
      </c>
    </row>
    <row r="357" spans="1:7" x14ac:dyDescent="0.25">
      <c r="A357">
        <v>200006089</v>
      </c>
      <c r="B357" t="s">
        <v>617</v>
      </c>
      <c r="C357" t="s">
        <v>9</v>
      </c>
      <c r="D357">
        <v>0.16</v>
      </c>
      <c r="E357" s="15">
        <v>0</v>
      </c>
      <c r="F357">
        <v>0</v>
      </c>
      <c r="G357">
        <v>0</v>
      </c>
    </row>
    <row r="358" spans="1:7" x14ac:dyDescent="0.25">
      <c r="A358">
        <v>200002118</v>
      </c>
      <c r="B358" t="s">
        <v>618</v>
      </c>
      <c r="C358" t="s">
        <v>9</v>
      </c>
      <c r="D358">
        <v>0</v>
      </c>
      <c r="E358" s="15">
        <v>0</v>
      </c>
      <c r="F358">
        <v>0</v>
      </c>
      <c r="G358">
        <v>0</v>
      </c>
    </row>
    <row r="359" spans="1:7" x14ac:dyDescent="0.25">
      <c r="A359">
        <v>200002438</v>
      </c>
      <c r="B359" t="s">
        <v>620</v>
      </c>
      <c r="C359" t="s">
        <v>9</v>
      </c>
      <c r="D359">
        <v>0</v>
      </c>
      <c r="E359" s="15">
        <v>0</v>
      </c>
      <c r="F359">
        <v>0</v>
      </c>
      <c r="G359">
        <v>0</v>
      </c>
    </row>
    <row r="360" spans="1:7" x14ac:dyDescent="0.25">
      <c r="A360">
        <v>200002439</v>
      </c>
      <c r="B360" t="s">
        <v>621</v>
      </c>
      <c r="C360" t="s">
        <v>9</v>
      </c>
      <c r="D360">
        <v>1.1599999999999999</v>
      </c>
      <c r="E360" s="15">
        <v>500.25</v>
      </c>
      <c r="F360">
        <v>0</v>
      </c>
      <c r="G360">
        <v>2</v>
      </c>
    </row>
    <row r="361" spans="1:7" x14ac:dyDescent="0.25">
      <c r="A361">
        <v>200002003</v>
      </c>
      <c r="B361" t="s">
        <v>624</v>
      </c>
      <c r="C361" t="s">
        <v>9</v>
      </c>
      <c r="D361">
        <v>0.25</v>
      </c>
      <c r="E361" s="15">
        <v>1.0900000000000001</v>
      </c>
      <c r="F361">
        <v>0</v>
      </c>
      <c r="G361">
        <v>10</v>
      </c>
    </row>
    <row r="362" spans="1:7" x14ac:dyDescent="0.25">
      <c r="A362">
        <v>200003650</v>
      </c>
      <c r="B362" t="s">
        <v>625</v>
      </c>
      <c r="C362" t="s">
        <v>9</v>
      </c>
      <c r="D362">
        <v>0.41</v>
      </c>
      <c r="E362" s="15">
        <v>0</v>
      </c>
      <c r="F362">
        <v>0</v>
      </c>
      <c r="G362">
        <v>0</v>
      </c>
    </row>
    <row r="363" spans="1:7" x14ac:dyDescent="0.25">
      <c r="A363">
        <v>200003651</v>
      </c>
      <c r="B363" t="s">
        <v>626</v>
      </c>
      <c r="C363" t="s">
        <v>9</v>
      </c>
      <c r="D363">
        <v>0</v>
      </c>
      <c r="E363" s="15">
        <v>3.44</v>
      </c>
      <c r="F363">
        <v>0</v>
      </c>
      <c r="G363">
        <v>5</v>
      </c>
    </row>
    <row r="364" spans="1:7" x14ac:dyDescent="0.25">
      <c r="A364">
        <v>200000503</v>
      </c>
      <c r="B364" t="s">
        <v>627</v>
      </c>
      <c r="C364" t="s">
        <v>9</v>
      </c>
      <c r="D364">
        <v>0.08</v>
      </c>
      <c r="E364" s="15">
        <v>0.88</v>
      </c>
      <c r="F364">
        <v>0</v>
      </c>
      <c r="G364">
        <v>5</v>
      </c>
    </row>
    <row r="365" spans="1:7" x14ac:dyDescent="0.25">
      <c r="A365">
        <v>200003652</v>
      </c>
      <c r="B365" t="s">
        <v>628</v>
      </c>
      <c r="C365" t="s">
        <v>9</v>
      </c>
      <c r="D365">
        <v>0</v>
      </c>
      <c r="E365" s="15">
        <v>5.0999999999999996</v>
      </c>
      <c r="F365">
        <v>0</v>
      </c>
      <c r="G365">
        <v>5</v>
      </c>
    </row>
    <row r="366" spans="1:7" x14ac:dyDescent="0.25">
      <c r="A366">
        <v>200000504</v>
      </c>
      <c r="B366" t="s">
        <v>629</v>
      </c>
      <c r="C366" t="s">
        <v>9</v>
      </c>
      <c r="D366">
        <v>0.75</v>
      </c>
      <c r="E366" s="15">
        <v>0</v>
      </c>
      <c r="F366">
        <v>0</v>
      </c>
      <c r="G366">
        <v>0</v>
      </c>
    </row>
    <row r="367" spans="1:7" x14ac:dyDescent="0.25">
      <c r="A367">
        <v>200003534</v>
      </c>
      <c r="B367" t="s">
        <v>630</v>
      </c>
      <c r="C367" t="s">
        <v>9</v>
      </c>
      <c r="D367">
        <v>0</v>
      </c>
      <c r="E367" s="15">
        <v>0</v>
      </c>
      <c r="F367">
        <v>0</v>
      </c>
      <c r="G367">
        <v>0</v>
      </c>
    </row>
    <row r="368" spans="1:7" x14ac:dyDescent="0.25">
      <c r="A368">
        <v>200000505</v>
      </c>
      <c r="B368" t="s">
        <v>631</v>
      </c>
      <c r="C368" t="s">
        <v>9</v>
      </c>
      <c r="D368">
        <v>0</v>
      </c>
      <c r="E368" s="15">
        <v>5.29</v>
      </c>
      <c r="F368">
        <v>0</v>
      </c>
      <c r="G368">
        <v>11</v>
      </c>
    </row>
    <row r="369" spans="1:7" x14ac:dyDescent="0.25">
      <c r="A369">
        <v>200001837</v>
      </c>
      <c r="B369" t="s">
        <v>1143</v>
      </c>
      <c r="C369" t="s">
        <v>9</v>
      </c>
      <c r="D369">
        <v>1.1599999999999999</v>
      </c>
      <c r="E369" s="15">
        <v>9.3699999999999992</v>
      </c>
      <c r="F369">
        <v>0</v>
      </c>
      <c r="G369">
        <v>1</v>
      </c>
    </row>
    <row r="370" spans="1:7" x14ac:dyDescent="0.25">
      <c r="A370">
        <v>200003309</v>
      </c>
      <c r="B370" t="s">
        <v>632</v>
      </c>
      <c r="C370" t="s">
        <v>9</v>
      </c>
      <c r="D370">
        <v>0</v>
      </c>
      <c r="E370" s="15">
        <v>0</v>
      </c>
      <c r="F370">
        <v>0</v>
      </c>
      <c r="G370">
        <v>0</v>
      </c>
    </row>
    <row r="371" spans="1:7" x14ac:dyDescent="0.25">
      <c r="A371">
        <v>200006039</v>
      </c>
      <c r="B371" t="s">
        <v>633</v>
      </c>
      <c r="C371" t="s">
        <v>9</v>
      </c>
      <c r="D371">
        <v>1.58</v>
      </c>
      <c r="E371" s="15">
        <v>0</v>
      </c>
      <c r="F371">
        <v>0</v>
      </c>
      <c r="G371">
        <v>0</v>
      </c>
    </row>
    <row r="372" spans="1:7" x14ac:dyDescent="0.25">
      <c r="A372">
        <v>200006198</v>
      </c>
      <c r="B372" t="s">
        <v>634</v>
      </c>
      <c r="C372" t="s">
        <v>9</v>
      </c>
      <c r="D372">
        <v>0.57999999999999996</v>
      </c>
      <c r="E372" s="15">
        <v>0</v>
      </c>
      <c r="F372">
        <v>0</v>
      </c>
      <c r="G372">
        <v>0</v>
      </c>
    </row>
    <row r="373" spans="1:7" x14ac:dyDescent="0.25">
      <c r="A373">
        <v>200000885</v>
      </c>
      <c r="B373" t="s">
        <v>635</v>
      </c>
      <c r="C373" t="s">
        <v>9</v>
      </c>
      <c r="D373">
        <v>3.33</v>
      </c>
      <c r="E373" s="15">
        <v>0</v>
      </c>
      <c r="F373">
        <v>0</v>
      </c>
      <c r="G373">
        <v>0</v>
      </c>
    </row>
    <row r="374" spans="1:7" x14ac:dyDescent="0.25">
      <c r="A374">
        <v>200002144</v>
      </c>
      <c r="B374" t="s">
        <v>637</v>
      </c>
      <c r="C374" t="s">
        <v>9</v>
      </c>
      <c r="D374">
        <v>5</v>
      </c>
      <c r="E374" s="15">
        <v>0.12</v>
      </c>
      <c r="F374">
        <v>0</v>
      </c>
      <c r="G374">
        <v>102</v>
      </c>
    </row>
    <row r="375" spans="1:7" x14ac:dyDescent="0.25">
      <c r="A375">
        <v>200002132</v>
      </c>
      <c r="B375" t="s">
        <v>639</v>
      </c>
      <c r="C375" t="s">
        <v>9</v>
      </c>
      <c r="D375">
        <v>0</v>
      </c>
      <c r="E375" s="15">
        <v>0</v>
      </c>
      <c r="F375">
        <v>0</v>
      </c>
      <c r="G375">
        <v>0</v>
      </c>
    </row>
    <row r="376" spans="1:7" x14ac:dyDescent="0.25">
      <c r="A376">
        <v>200002133</v>
      </c>
      <c r="B376" t="s">
        <v>640</v>
      </c>
      <c r="C376" t="s">
        <v>9</v>
      </c>
      <c r="D376">
        <v>0</v>
      </c>
      <c r="E376" s="15">
        <v>0</v>
      </c>
      <c r="F376">
        <v>0</v>
      </c>
      <c r="G376">
        <v>0</v>
      </c>
    </row>
    <row r="377" spans="1:7" x14ac:dyDescent="0.25">
      <c r="A377">
        <v>200000522</v>
      </c>
      <c r="B377" t="s">
        <v>641</v>
      </c>
      <c r="C377" t="s">
        <v>9</v>
      </c>
      <c r="D377">
        <v>0</v>
      </c>
      <c r="E377" s="15">
        <v>0.22</v>
      </c>
      <c r="F377">
        <v>0</v>
      </c>
      <c r="G377">
        <v>150</v>
      </c>
    </row>
    <row r="378" spans="1:7" x14ac:dyDescent="0.25">
      <c r="A378">
        <v>200002143</v>
      </c>
      <c r="B378" t="s">
        <v>642</v>
      </c>
      <c r="C378" t="s">
        <v>9</v>
      </c>
      <c r="D378">
        <v>0</v>
      </c>
      <c r="E378" s="15">
        <v>0</v>
      </c>
      <c r="F378">
        <v>0</v>
      </c>
      <c r="G378">
        <v>0</v>
      </c>
    </row>
    <row r="379" spans="1:7" x14ac:dyDescent="0.25">
      <c r="A379">
        <v>200005820</v>
      </c>
      <c r="B379" t="s">
        <v>646</v>
      </c>
      <c r="C379" t="s">
        <v>96</v>
      </c>
      <c r="D379">
        <v>0.91</v>
      </c>
      <c r="E379" s="15">
        <v>26.13</v>
      </c>
      <c r="F379">
        <v>0</v>
      </c>
      <c r="G379">
        <v>5</v>
      </c>
    </row>
    <row r="380" spans="1:7" x14ac:dyDescent="0.25">
      <c r="A380">
        <v>200002142</v>
      </c>
      <c r="B380" t="s">
        <v>649</v>
      </c>
      <c r="C380" t="s">
        <v>9</v>
      </c>
      <c r="D380">
        <v>4.16</v>
      </c>
      <c r="E380" s="15">
        <v>0.3</v>
      </c>
      <c r="F380">
        <v>0</v>
      </c>
      <c r="G380">
        <v>154</v>
      </c>
    </row>
    <row r="381" spans="1:7" x14ac:dyDescent="0.25">
      <c r="A381">
        <v>200002151</v>
      </c>
      <c r="B381" t="s">
        <v>651</v>
      </c>
      <c r="C381" t="s">
        <v>9</v>
      </c>
      <c r="D381">
        <v>12.66</v>
      </c>
      <c r="E381" s="15">
        <v>0.25</v>
      </c>
      <c r="F381">
        <v>0</v>
      </c>
      <c r="G381">
        <v>32</v>
      </c>
    </row>
    <row r="382" spans="1:7" x14ac:dyDescent="0.25">
      <c r="A382">
        <v>200002150</v>
      </c>
      <c r="B382" t="s">
        <v>656</v>
      </c>
      <c r="C382" t="s">
        <v>9</v>
      </c>
      <c r="D382">
        <v>0</v>
      </c>
      <c r="E382" s="15">
        <v>0</v>
      </c>
      <c r="F382">
        <v>0</v>
      </c>
      <c r="G382">
        <v>0</v>
      </c>
    </row>
    <row r="383" spans="1:7" x14ac:dyDescent="0.25">
      <c r="A383">
        <v>200005822</v>
      </c>
      <c r="B383" t="s">
        <v>657</v>
      </c>
      <c r="C383" t="s">
        <v>96</v>
      </c>
      <c r="D383">
        <v>0</v>
      </c>
      <c r="E383" s="15">
        <v>88.77</v>
      </c>
      <c r="F383">
        <v>0</v>
      </c>
      <c r="G383">
        <v>2</v>
      </c>
    </row>
    <row r="384" spans="1:7" x14ac:dyDescent="0.25">
      <c r="A384">
        <v>200002135</v>
      </c>
      <c r="B384" t="s">
        <v>658</v>
      </c>
      <c r="C384" t="s">
        <v>9</v>
      </c>
      <c r="D384">
        <v>0</v>
      </c>
      <c r="E384" s="15">
        <v>0</v>
      </c>
      <c r="F384">
        <v>0</v>
      </c>
      <c r="G384">
        <v>0</v>
      </c>
    </row>
    <row r="385" spans="1:7" x14ac:dyDescent="0.25">
      <c r="A385">
        <v>200002155</v>
      </c>
      <c r="B385" t="s">
        <v>659</v>
      </c>
      <c r="C385" t="s">
        <v>9</v>
      </c>
      <c r="D385">
        <v>0</v>
      </c>
      <c r="E385" s="15">
        <v>0</v>
      </c>
      <c r="F385">
        <v>0</v>
      </c>
      <c r="G385">
        <v>0</v>
      </c>
    </row>
    <row r="386" spans="1:7" x14ac:dyDescent="0.25">
      <c r="A386">
        <v>200001069</v>
      </c>
      <c r="B386" t="s">
        <v>661</v>
      </c>
      <c r="C386" t="s">
        <v>9</v>
      </c>
      <c r="D386">
        <v>0</v>
      </c>
      <c r="E386" s="15">
        <v>0</v>
      </c>
      <c r="F386">
        <v>0</v>
      </c>
      <c r="G386">
        <v>0</v>
      </c>
    </row>
    <row r="387" spans="1:7" x14ac:dyDescent="0.25">
      <c r="A387">
        <v>200005823</v>
      </c>
      <c r="B387" t="s">
        <v>662</v>
      </c>
      <c r="C387" t="s">
        <v>96</v>
      </c>
      <c r="D387">
        <v>0</v>
      </c>
      <c r="E387" s="15">
        <v>0</v>
      </c>
      <c r="F387">
        <v>0</v>
      </c>
      <c r="G387">
        <v>0</v>
      </c>
    </row>
    <row r="388" spans="1:7" x14ac:dyDescent="0.25">
      <c r="A388">
        <v>200002139</v>
      </c>
      <c r="B388" t="s">
        <v>665</v>
      </c>
      <c r="C388" t="s">
        <v>9</v>
      </c>
      <c r="D388">
        <v>5.33</v>
      </c>
      <c r="E388" s="15">
        <v>0.12</v>
      </c>
      <c r="F388">
        <v>0</v>
      </c>
      <c r="G388">
        <v>5</v>
      </c>
    </row>
    <row r="389" spans="1:7" x14ac:dyDescent="0.25">
      <c r="A389">
        <v>200002140</v>
      </c>
      <c r="B389" t="s">
        <v>668</v>
      </c>
      <c r="C389" t="s">
        <v>9</v>
      </c>
      <c r="D389">
        <v>0</v>
      </c>
      <c r="E389" s="15">
        <v>0</v>
      </c>
      <c r="F389">
        <v>0</v>
      </c>
      <c r="G389">
        <v>0</v>
      </c>
    </row>
    <row r="390" spans="1:7" x14ac:dyDescent="0.25">
      <c r="A390">
        <v>200002154</v>
      </c>
      <c r="B390" t="s">
        <v>669</v>
      </c>
      <c r="C390" t="s">
        <v>9</v>
      </c>
      <c r="D390">
        <v>1.58</v>
      </c>
      <c r="E390" s="15">
        <v>0</v>
      </c>
      <c r="F390">
        <v>0</v>
      </c>
      <c r="G390">
        <v>0</v>
      </c>
    </row>
    <row r="391" spans="1:7" x14ac:dyDescent="0.25">
      <c r="A391">
        <v>200004146</v>
      </c>
      <c r="B391" t="s">
        <v>671</v>
      </c>
      <c r="C391" t="s">
        <v>9</v>
      </c>
      <c r="D391">
        <v>0</v>
      </c>
      <c r="E391" s="15">
        <v>0</v>
      </c>
      <c r="F391">
        <v>0</v>
      </c>
      <c r="G391">
        <v>0</v>
      </c>
    </row>
    <row r="392" spans="1:7" x14ac:dyDescent="0.25">
      <c r="A392">
        <v>200005824</v>
      </c>
      <c r="B392" t="s">
        <v>675</v>
      </c>
      <c r="C392" t="s">
        <v>96</v>
      </c>
      <c r="D392">
        <v>3.08</v>
      </c>
      <c r="E392" s="15">
        <v>11.16</v>
      </c>
      <c r="F392">
        <v>0</v>
      </c>
      <c r="G392">
        <v>5</v>
      </c>
    </row>
    <row r="393" spans="1:7" x14ac:dyDescent="0.25">
      <c r="A393">
        <v>200002137</v>
      </c>
      <c r="B393" t="s">
        <v>676</v>
      </c>
      <c r="C393" t="s">
        <v>9</v>
      </c>
      <c r="D393">
        <v>0</v>
      </c>
      <c r="E393" s="15">
        <v>0</v>
      </c>
      <c r="F393">
        <v>0</v>
      </c>
      <c r="G393">
        <v>0</v>
      </c>
    </row>
    <row r="394" spans="1:7" x14ac:dyDescent="0.25">
      <c r="A394">
        <v>200006064</v>
      </c>
      <c r="B394" t="s">
        <v>678</v>
      </c>
      <c r="C394" t="s">
        <v>9</v>
      </c>
      <c r="D394">
        <v>0</v>
      </c>
      <c r="E394" s="15">
        <v>0</v>
      </c>
      <c r="F394">
        <v>0</v>
      </c>
      <c r="G394">
        <v>0</v>
      </c>
    </row>
    <row r="395" spans="1:7" x14ac:dyDescent="0.25">
      <c r="A395">
        <v>200002357</v>
      </c>
      <c r="B395" t="s">
        <v>788</v>
      </c>
      <c r="C395" t="s">
        <v>9</v>
      </c>
      <c r="D395">
        <v>0</v>
      </c>
      <c r="E395" s="15">
        <v>32.29</v>
      </c>
      <c r="F395">
        <v>0</v>
      </c>
      <c r="G395">
        <v>2</v>
      </c>
    </row>
    <row r="396" spans="1:7" x14ac:dyDescent="0.25">
      <c r="A396">
        <v>200002356</v>
      </c>
      <c r="B396" t="s">
        <v>789</v>
      </c>
      <c r="C396" t="s">
        <v>9</v>
      </c>
      <c r="D396">
        <v>0</v>
      </c>
      <c r="E396" s="15">
        <v>48</v>
      </c>
      <c r="F396">
        <v>0</v>
      </c>
      <c r="G396">
        <v>5</v>
      </c>
    </row>
    <row r="397" spans="1:7" x14ac:dyDescent="0.25">
      <c r="A397">
        <v>200002355</v>
      </c>
      <c r="B397" t="s">
        <v>790</v>
      </c>
      <c r="C397" t="s">
        <v>9</v>
      </c>
      <c r="D397">
        <v>0</v>
      </c>
      <c r="E397" s="15">
        <v>61.08</v>
      </c>
      <c r="F397">
        <v>0</v>
      </c>
      <c r="G397">
        <v>5</v>
      </c>
    </row>
    <row r="398" spans="1:7" x14ac:dyDescent="0.25">
      <c r="A398">
        <v>200002358</v>
      </c>
      <c r="B398" t="s">
        <v>791</v>
      </c>
      <c r="C398" t="s">
        <v>9</v>
      </c>
      <c r="D398">
        <v>0</v>
      </c>
      <c r="E398" s="15">
        <v>26.41</v>
      </c>
      <c r="F398">
        <v>0</v>
      </c>
      <c r="G398">
        <v>3</v>
      </c>
    </row>
    <row r="399" spans="1:7" x14ac:dyDescent="0.25">
      <c r="A399">
        <v>200002354</v>
      </c>
      <c r="B399" t="s">
        <v>792</v>
      </c>
      <c r="C399" t="s">
        <v>9</v>
      </c>
      <c r="D399">
        <v>0</v>
      </c>
      <c r="E399" s="15">
        <v>82.66</v>
      </c>
      <c r="F399">
        <v>0</v>
      </c>
      <c r="G399">
        <v>5</v>
      </c>
    </row>
    <row r="400" spans="1:7" x14ac:dyDescent="0.25">
      <c r="A400">
        <v>200005815</v>
      </c>
      <c r="B400" t="s">
        <v>695</v>
      </c>
      <c r="C400" t="s">
        <v>696</v>
      </c>
      <c r="D400">
        <v>8.16</v>
      </c>
      <c r="E400" s="15">
        <v>36.880000000000003</v>
      </c>
      <c r="F400">
        <v>25</v>
      </c>
      <c r="G400">
        <v>1843</v>
      </c>
    </row>
    <row r="401" spans="1:7" x14ac:dyDescent="0.25">
      <c r="A401">
        <v>200003313</v>
      </c>
      <c r="B401" t="s">
        <v>697</v>
      </c>
      <c r="C401" t="s">
        <v>9</v>
      </c>
      <c r="D401">
        <v>0</v>
      </c>
      <c r="E401" s="15">
        <v>0</v>
      </c>
      <c r="F401">
        <v>0</v>
      </c>
      <c r="G401">
        <v>0</v>
      </c>
    </row>
    <row r="402" spans="1:7" x14ac:dyDescent="0.25">
      <c r="A402">
        <v>200000888</v>
      </c>
      <c r="B402" t="s">
        <v>698</v>
      </c>
      <c r="C402" t="s">
        <v>9</v>
      </c>
      <c r="D402">
        <v>0</v>
      </c>
      <c r="E402" s="15">
        <v>0</v>
      </c>
      <c r="F402">
        <v>0</v>
      </c>
      <c r="G402">
        <v>0</v>
      </c>
    </row>
    <row r="403" spans="1:7" x14ac:dyDescent="0.25">
      <c r="A403">
        <v>200005098</v>
      </c>
      <c r="B403" t="s">
        <v>700</v>
      </c>
      <c r="C403" t="s">
        <v>696</v>
      </c>
      <c r="D403">
        <v>2.25</v>
      </c>
      <c r="E403" s="15">
        <v>30.05</v>
      </c>
      <c r="F403">
        <v>1</v>
      </c>
      <c r="G403">
        <v>763</v>
      </c>
    </row>
    <row r="404" spans="1:7" x14ac:dyDescent="0.25">
      <c r="A404">
        <v>200001210</v>
      </c>
      <c r="B404" t="s">
        <v>701</v>
      </c>
      <c r="C404" t="s">
        <v>9</v>
      </c>
      <c r="D404">
        <v>0</v>
      </c>
      <c r="E404" s="15">
        <v>0</v>
      </c>
      <c r="F404">
        <v>0</v>
      </c>
      <c r="G404">
        <v>0</v>
      </c>
    </row>
    <row r="405" spans="1:7" x14ac:dyDescent="0.25">
      <c r="A405">
        <v>200003314</v>
      </c>
      <c r="B405" t="s">
        <v>702</v>
      </c>
      <c r="C405" t="s">
        <v>9</v>
      </c>
      <c r="D405">
        <v>0.83</v>
      </c>
      <c r="E405" s="15">
        <v>0</v>
      </c>
      <c r="F405">
        <v>0</v>
      </c>
      <c r="G405">
        <v>0</v>
      </c>
    </row>
    <row r="406" spans="1:7" x14ac:dyDescent="0.25">
      <c r="A406">
        <v>200000886</v>
      </c>
      <c r="B406" t="s">
        <v>704</v>
      </c>
      <c r="C406" t="s">
        <v>9</v>
      </c>
      <c r="D406">
        <v>3</v>
      </c>
      <c r="E406" s="15">
        <v>14.44</v>
      </c>
      <c r="F406">
        <v>0</v>
      </c>
      <c r="G406">
        <v>2</v>
      </c>
    </row>
    <row r="407" spans="1:7" x14ac:dyDescent="0.25">
      <c r="A407">
        <v>200000887</v>
      </c>
      <c r="B407" t="s">
        <v>706</v>
      </c>
      <c r="C407" t="s">
        <v>9</v>
      </c>
      <c r="D407">
        <v>6</v>
      </c>
      <c r="E407" s="15">
        <v>0</v>
      </c>
      <c r="F407">
        <v>0</v>
      </c>
      <c r="G407">
        <v>0</v>
      </c>
    </row>
    <row r="408" spans="1:7" x14ac:dyDescent="0.25">
      <c r="A408">
        <v>200002119</v>
      </c>
      <c r="B408" t="s">
        <v>712</v>
      </c>
      <c r="C408" t="s">
        <v>9</v>
      </c>
      <c r="D408">
        <v>0</v>
      </c>
      <c r="E408" s="15">
        <v>0</v>
      </c>
      <c r="F408">
        <v>0</v>
      </c>
      <c r="G408">
        <v>0</v>
      </c>
    </row>
    <row r="409" spans="1:7" x14ac:dyDescent="0.25">
      <c r="A409">
        <v>200000530</v>
      </c>
      <c r="B409" t="s">
        <v>713</v>
      </c>
      <c r="C409" t="s">
        <v>714</v>
      </c>
      <c r="D409">
        <v>0</v>
      </c>
      <c r="E409" s="15">
        <v>3</v>
      </c>
      <c r="F409">
        <v>0</v>
      </c>
      <c r="G409">
        <v>13</v>
      </c>
    </row>
    <row r="410" spans="1:7" x14ac:dyDescent="0.25">
      <c r="A410">
        <v>200000531</v>
      </c>
      <c r="B410" t="s">
        <v>715</v>
      </c>
      <c r="C410" t="s">
        <v>714</v>
      </c>
      <c r="D410">
        <v>2.33</v>
      </c>
      <c r="E410" s="15">
        <v>4.17</v>
      </c>
      <c r="F410">
        <v>0</v>
      </c>
      <c r="G410">
        <v>5</v>
      </c>
    </row>
    <row r="411" spans="1:7" x14ac:dyDescent="0.25">
      <c r="A411">
        <v>200000532</v>
      </c>
      <c r="B411" t="s">
        <v>716</v>
      </c>
      <c r="C411" t="s">
        <v>714</v>
      </c>
      <c r="D411">
        <v>0</v>
      </c>
      <c r="E411" s="15">
        <v>4.99</v>
      </c>
      <c r="F411">
        <v>0</v>
      </c>
      <c r="G411">
        <v>4</v>
      </c>
    </row>
    <row r="412" spans="1:7" x14ac:dyDescent="0.25">
      <c r="A412">
        <v>200002362</v>
      </c>
      <c r="B412" t="s">
        <v>718</v>
      </c>
      <c r="C412" t="s">
        <v>9</v>
      </c>
      <c r="D412">
        <v>0.08</v>
      </c>
      <c r="E412" s="15">
        <v>18.53</v>
      </c>
      <c r="F412">
        <v>0</v>
      </c>
      <c r="G412">
        <v>1</v>
      </c>
    </row>
    <row r="413" spans="1:7" x14ac:dyDescent="0.25">
      <c r="A413">
        <v>200002363</v>
      </c>
      <c r="B413" t="s">
        <v>719</v>
      </c>
      <c r="C413" t="s">
        <v>9</v>
      </c>
      <c r="D413">
        <v>0.08</v>
      </c>
      <c r="E413" s="15">
        <v>18.53</v>
      </c>
      <c r="F413">
        <v>0</v>
      </c>
      <c r="G413">
        <v>2</v>
      </c>
    </row>
    <row r="414" spans="1:7" x14ac:dyDescent="0.25">
      <c r="A414">
        <v>200001592</v>
      </c>
      <c r="B414" t="s">
        <v>731</v>
      </c>
      <c r="C414" t="s">
        <v>9</v>
      </c>
      <c r="D414">
        <v>0</v>
      </c>
      <c r="E414" s="15">
        <v>0</v>
      </c>
      <c r="F414">
        <v>0</v>
      </c>
      <c r="G414">
        <v>0</v>
      </c>
    </row>
    <row r="415" spans="1:7" x14ac:dyDescent="0.25">
      <c r="A415">
        <v>200001034</v>
      </c>
      <c r="B415" t="s">
        <v>732</v>
      </c>
      <c r="C415" t="s">
        <v>9</v>
      </c>
      <c r="D415">
        <v>0</v>
      </c>
      <c r="E415" s="15">
        <v>0</v>
      </c>
      <c r="F415">
        <v>0</v>
      </c>
      <c r="G415">
        <v>0</v>
      </c>
    </row>
    <row r="416" spans="1:7" x14ac:dyDescent="0.25">
      <c r="A416">
        <v>200000544</v>
      </c>
      <c r="B416" t="s">
        <v>734</v>
      </c>
      <c r="C416" t="s">
        <v>9</v>
      </c>
      <c r="D416">
        <v>0</v>
      </c>
      <c r="E416" s="15">
        <v>0</v>
      </c>
      <c r="F416">
        <v>0</v>
      </c>
      <c r="G416">
        <v>0</v>
      </c>
    </row>
    <row r="417" spans="1:7" x14ac:dyDescent="0.25">
      <c r="A417">
        <v>200002004</v>
      </c>
      <c r="B417" t="s">
        <v>738</v>
      </c>
      <c r="C417" t="s">
        <v>9</v>
      </c>
      <c r="D417">
        <v>0.25</v>
      </c>
      <c r="E417" s="15">
        <v>0.75</v>
      </c>
      <c r="F417">
        <v>0</v>
      </c>
      <c r="G417">
        <v>6</v>
      </c>
    </row>
    <row r="418" spans="1:7" x14ac:dyDescent="0.25">
      <c r="A418">
        <v>200003653</v>
      </c>
      <c r="B418" t="s">
        <v>739</v>
      </c>
      <c r="C418" t="s">
        <v>9</v>
      </c>
      <c r="D418">
        <v>0</v>
      </c>
      <c r="E418" s="15">
        <v>0</v>
      </c>
      <c r="F418">
        <v>0</v>
      </c>
      <c r="G418">
        <v>0</v>
      </c>
    </row>
    <row r="419" spans="1:7" x14ac:dyDescent="0.25">
      <c r="A419">
        <v>200003654</v>
      </c>
      <c r="B419" t="s">
        <v>740</v>
      </c>
      <c r="C419" t="s">
        <v>9</v>
      </c>
      <c r="D419">
        <v>0</v>
      </c>
      <c r="E419" s="15">
        <v>0</v>
      </c>
      <c r="F419">
        <v>0</v>
      </c>
      <c r="G419">
        <v>0</v>
      </c>
    </row>
    <row r="420" spans="1:7" x14ac:dyDescent="0.25">
      <c r="A420">
        <v>200000547</v>
      </c>
      <c r="B420" t="s">
        <v>741</v>
      </c>
      <c r="C420" t="s">
        <v>9</v>
      </c>
      <c r="D420">
        <v>0.16</v>
      </c>
      <c r="E420" s="15">
        <v>0.53</v>
      </c>
      <c r="F420">
        <v>0</v>
      </c>
      <c r="G420">
        <v>5</v>
      </c>
    </row>
    <row r="421" spans="1:7" x14ac:dyDescent="0.25">
      <c r="A421">
        <v>200003655</v>
      </c>
      <c r="B421" t="s">
        <v>742</v>
      </c>
      <c r="C421" t="s">
        <v>9</v>
      </c>
      <c r="D421">
        <v>0</v>
      </c>
      <c r="E421" s="15">
        <v>3.24</v>
      </c>
      <c r="F421">
        <v>0</v>
      </c>
      <c r="G421">
        <v>1</v>
      </c>
    </row>
    <row r="422" spans="1:7" x14ac:dyDescent="0.25">
      <c r="A422">
        <v>200000548</v>
      </c>
      <c r="B422" t="s">
        <v>743</v>
      </c>
      <c r="C422" t="s">
        <v>9</v>
      </c>
      <c r="D422">
        <v>0.41</v>
      </c>
      <c r="E422" s="15">
        <v>0.4</v>
      </c>
      <c r="F422">
        <v>0</v>
      </c>
      <c r="G422">
        <v>5</v>
      </c>
    </row>
    <row r="423" spans="1:7" x14ac:dyDescent="0.25">
      <c r="A423">
        <v>200004166</v>
      </c>
      <c r="B423" t="s">
        <v>748</v>
      </c>
      <c r="C423" t="s">
        <v>9</v>
      </c>
      <c r="D423">
        <v>1.33</v>
      </c>
      <c r="E423" s="15">
        <v>0</v>
      </c>
      <c r="F423">
        <v>0</v>
      </c>
      <c r="G423">
        <v>0</v>
      </c>
    </row>
    <row r="424" spans="1:7" x14ac:dyDescent="0.25">
      <c r="A424">
        <v>200003884</v>
      </c>
      <c r="B424" t="s">
        <v>749</v>
      </c>
      <c r="C424" t="s">
        <v>9</v>
      </c>
      <c r="D424">
        <v>0.41</v>
      </c>
      <c r="E424" s="15">
        <v>152</v>
      </c>
      <c r="F424">
        <v>0</v>
      </c>
      <c r="G424">
        <v>2</v>
      </c>
    </row>
    <row r="425" spans="1:7" x14ac:dyDescent="0.25">
      <c r="A425">
        <v>200002698</v>
      </c>
      <c r="B425" t="s">
        <v>750</v>
      </c>
      <c r="C425" t="s">
        <v>9</v>
      </c>
      <c r="D425">
        <v>3.08</v>
      </c>
      <c r="E425" s="15">
        <v>143</v>
      </c>
      <c r="F425">
        <v>11</v>
      </c>
      <c r="G425">
        <v>5</v>
      </c>
    </row>
    <row r="426" spans="1:7" x14ac:dyDescent="0.25">
      <c r="A426">
        <v>200004167</v>
      </c>
      <c r="B426" t="s">
        <v>751</v>
      </c>
      <c r="C426" t="s">
        <v>9</v>
      </c>
      <c r="D426">
        <v>1.41</v>
      </c>
      <c r="E426" s="15">
        <v>0</v>
      </c>
      <c r="F426">
        <v>0</v>
      </c>
      <c r="G426">
        <v>0</v>
      </c>
    </row>
    <row r="427" spans="1:7" x14ac:dyDescent="0.25">
      <c r="A427">
        <v>200002215</v>
      </c>
      <c r="B427" t="s">
        <v>754</v>
      </c>
      <c r="C427" t="s">
        <v>9</v>
      </c>
      <c r="D427">
        <v>1.25</v>
      </c>
      <c r="E427" s="15">
        <v>18.32</v>
      </c>
      <c r="F427">
        <v>0</v>
      </c>
      <c r="G427">
        <v>5</v>
      </c>
    </row>
    <row r="428" spans="1:7" x14ac:dyDescent="0.25">
      <c r="A428">
        <v>200006040</v>
      </c>
      <c r="B428" t="s">
        <v>755</v>
      </c>
      <c r="C428" t="s">
        <v>9</v>
      </c>
      <c r="D428">
        <v>0.5</v>
      </c>
      <c r="E428" s="15">
        <v>145</v>
      </c>
      <c r="F428">
        <v>0</v>
      </c>
      <c r="G428">
        <v>172</v>
      </c>
    </row>
    <row r="429" spans="1:7" x14ac:dyDescent="0.25">
      <c r="A429">
        <v>200003710</v>
      </c>
      <c r="B429" t="s">
        <v>756</v>
      </c>
      <c r="C429" t="s">
        <v>9</v>
      </c>
      <c r="D429">
        <v>0.5</v>
      </c>
      <c r="E429" s="15">
        <v>141.33000000000001</v>
      </c>
      <c r="F429">
        <v>0</v>
      </c>
      <c r="G429">
        <v>153</v>
      </c>
    </row>
    <row r="430" spans="1:7" x14ac:dyDescent="0.25">
      <c r="A430">
        <v>200003310</v>
      </c>
      <c r="B430" t="s">
        <v>758</v>
      </c>
      <c r="C430" t="s">
        <v>9</v>
      </c>
      <c r="D430">
        <v>0.41</v>
      </c>
      <c r="E430" s="15">
        <v>140.31</v>
      </c>
      <c r="F430">
        <v>0</v>
      </c>
      <c r="G430">
        <v>341</v>
      </c>
    </row>
    <row r="431" spans="1:7" x14ac:dyDescent="0.25">
      <c r="A431">
        <v>200004125</v>
      </c>
      <c r="B431" t="s">
        <v>760</v>
      </c>
      <c r="C431" t="s">
        <v>9</v>
      </c>
      <c r="D431">
        <v>0.75</v>
      </c>
      <c r="E431" s="15">
        <v>172.03</v>
      </c>
      <c r="F431">
        <v>15</v>
      </c>
      <c r="G431">
        <v>89</v>
      </c>
    </row>
    <row r="432" spans="1:7" x14ac:dyDescent="0.25">
      <c r="A432">
        <v>200004620</v>
      </c>
      <c r="B432" t="s">
        <v>761</v>
      </c>
      <c r="C432" t="s">
        <v>9</v>
      </c>
      <c r="D432">
        <v>7.75</v>
      </c>
      <c r="E432" s="15">
        <v>153.33000000000001</v>
      </c>
      <c r="F432">
        <v>11</v>
      </c>
      <c r="G432">
        <v>505</v>
      </c>
    </row>
    <row r="433" spans="1:7" x14ac:dyDescent="0.25">
      <c r="A433">
        <v>200003405</v>
      </c>
      <c r="B433" t="s">
        <v>762</v>
      </c>
      <c r="C433" t="s">
        <v>82</v>
      </c>
      <c r="D433">
        <v>0.08</v>
      </c>
      <c r="E433" s="15">
        <v>12</v>
      </c>
      <c r="F433">
        <v>0</v>
      </c>
      <c r="G433">
        <v>2</v>
      </c>
    </row>
    <row r="434" spans="1:7" x14ac:dyDescent="0.25">
      <c r="A434">
        <v>200003408</v>
      </c>
      <c r="B434" t="s">
        <v>764</v>
      </c>
      <c r="C434" t="s">
        <v>9</v>
      </c>
      <c r="D434">
        <v>5</v>
      </c>
      <c r="E434" s="15">
        <v>1</v>
      </c>
      <c r="F434">
        <v>0</v>
      </c>
      <c r="G434">
        <v>98</v>
      </c>
    </row>
    <row r="435" spans="1:7" x14ac:dyDescent="0.25">
      <c r="A435">
        <v>200003409</v>
      </c>
      <c r="B435" t="s">
        <v>766</v>
      </c>
      <c r="C435" t="s">
        <v>9</v>
      </c>
      <c r="D435">
        <v>0</v>
      </c>
      <c r="E435" s="15">
        <v>1</v>
      </c>
      <c r="F435">
        <v>0</v>
      </c>
      <c r="G435">
        <v>100</v>
      </c>
    </row>
    <row r="436" spans="1:7" x14ac:dyDescent="0.25">
      <c r="A436">
        <v>200003410</v>
      </c>
      <c r="B436" t="s">
        <v>768</v>
      </c>
      <c r="C436" t="s">
        <v>9</v>
      </c>
      <c r="D436">
        <v>0</v>
      </c>
      <c r="E436" s="15">
        <v>477.78</v>
      </c>
      <c r="F436">
        <v>0</v>
      </c>
      <c r="G436">
        <v>2</v>
      </c>
    </row>
    <row r="437" spans="1:7" x14ac:dyDescent="0.25">
      <c r="A437">
        <v>200003411</v>
      </c>
      <c r="B437" t="s">
        <v>769</v>
      </c>
      <c r="C437" t="s">
        <v>9</v>
      </c>
      <c r="D437">
        <v>0</v>
      </c>
      <c r="E437" s="15">
        <v>1.2</v>
      </c>
      <c r="F437">
        <v>0</v>
      </c>
      <c r="G437">
        <v>100</v>
      </c>
    </row>
    <row r="438" spans="1:7" x14ac:dyDescent="0.25">
      <c r="A438">
        <v>200002158</v>
      </c>
      <c r="B438" t="s">
        <v>772</v>
      </c>
      <c r="C438" t="s">
        <v>82</v>
      </c>
      <c r="D438">
        <v>0.08</v>
      </c>
      <c r="E438" s="15">
        <v>0</v>
      </c>
      <c r="F438">
        <v>0</v>
      </c>
      <c r="G438">
        <v>0</v>
      </c>
    </row>
    <row r="439" spans="1:7" x14ac:dyDescent="0.25">
      <c r="A439">
        <v>200002160</v>
      </c>
      <c r="B439" t="s">
        <v>773</v>
      </c>
      <c r="C439" t="s">
        <v>82</v>
      </c>
      <c r="D439">
        <v>0</v>
      </c>
      <c r="E439" s="15">
        <v>0</v>
      </c>
      <c r="F439">
        <v>0</v>
      </c>
      <c r="G439">
        <v>0</v>
      </c>
    </row>
    <row r="440" spans="1:7" x14ac:dyDescent="0.25">
      <c r="A440">
        <v>200002161</v>
      </c>
      <c r="B440" t="s">
        <v>774</v>
      </c>
      <c r="C440" t="s">
        <v>82</v>
      </c>
      <c r="D440">
        <v>0.25</v>
      </c>
      <c r="E440" s="15">
        <v>42.64</v>
      </c>
      <c r="F440">
        <v>0</v>
      </c>
      <c r="G440">
        <v>2</v>
      </c>
    </row>
    <row r="441" spans="1:7" x14ac:dyDescent="0.25">
      <c r="A441">
        <v>200000563</v>
      </c>
      <c r="B441" t="s">
        <v>775</v>
      </c>
      <c r="C441" t="s">
        <v>82</v>
      </c>
      <c r="D441">
        <v>0</v>
      </c>
      <c r="E441" s="15">
        <v>7.18</v>
      </c>
      <c r="F441">
        <v>0</v>
      </c>
      <c r="G441">
        <v>3</v>
      </c>
    </row>
    <row r="442" spans="1:7" x14ac:dyDescent="0.25">
      <c r="A442">
        <v>200000564</v>
      </c>
      <c r="B442" t="s">
        <v>776</v>
      </c>
      <c r="C442" t="s">
        <v>82</v>
      </c>
      <c r="D442">
        <v>0.08</v>
      </c>
      <c r="E442" s="15">
        <v>7.44</v>
      </c>
      <c r="F442">
        <v>0</v>
      </c>
      <c r="G442">
        <v>3</v>
      </c>
    </row>
    <row r="443" spans="1:7" x14ac:dyDescent="0.25">
      <c r="A443">
        <v>200001070</v>
      </c>
      <c r="B443" t="s">
        <v>777</v>
      </c>
      <c r="C443" t="s">
        <v>82</v>
      </c>
      <c r="D443">
        <v>0</v>
      </c>
      <c r="E443" s="15">
        <v>23.46</v>
      </c>
      <c r="F443">
        <v>0</v>
      </c>
      <c r="G443">
        <v>2</v>
      </c>
    </row>
    <row r="444" spans="1:7" x14ac:dyDescent="0.25">
      <c r="A444">
        <v>200001071</v>
      </c>
      <c r="B444" t="s">
        <v>778</v>
      </c>
      <c r="C444" t="s">
        <v>82</v>
      </c>
      <c r="D444">
        <v>0</v>
      </c>
      <c r="E444" s="15">
        <v>7.72</v>
      </c>
      <c r="F444">
        <v>0</v>
      </c>
      <c r="G444">
        <v>6</v>
      </c>
    </row>
    <row r="445" spans="1:7" x14ac:dyDescent="0.25">
      <c r="A445">
        <v>200001074</v>
      </c>
      <c r="B445" t="s">
        <v>779</v>
      </c>
      <c r="C445" t="s">
        <v>82</v>
      </c>
      <c r="D445">
        <v>0</v>
      </c>
      <c r="E445" s="15">
        <v>0</v>
      </c>
      <c r="F445">
        <v>0</v>
      </c>
      <c r="G445">
        <v>0</v>
      </c>
    </row>
    <row r="446" spans="1:7" x14ac:dyDescent="0.25">
      <c r="A446">
        <v>200001073</v>
      </c>
      <c r="B446" t="s">
        <v>780</v>
      </c>
      <c r="C446" t="s">
        <v>82</v>
      </c>
      <c r="D446">
        <v>0.16</v>
      </c>
      <c r="E446" s="15">
        <v>36.520000000000003</v>
      </c>
      <c r="F446">
        <v>0</v>
      </c>
      <c r="G446">
        <v>3</v>
      </c>
    </row>
    <row r="447" spans="1:7" x14ac:dyDescent="0.25">
      <c r="A447">
        <v>200001076</v>
      </c>
      <c r="B447" t="s">
        <v>782</v>
      </c>
      <c r="C447" t="s">
        <v>82</v>
      </c>
      <c r="D447">
        <v>0</v>
      </c>
      <c r="E447" s="15">
        <v>0</v>
      </c>
      <c r="F447">
        <v>0</v>
      </c>
      <c r="G447">
        <v>0</v>
      </c>
    </row>
    <row r="448" spans="1:7" x14ac:dyDescent="0.25">
      <c r="A448">
        <v>200002349</v>
      </c>
      <c r="B448" t="s">
        <v>786</v>
      </c>
      <c r="C448" t="s">
        <v>9</v>
      </c>
      <c r="D448">
        <v>0</v>
      </c>
      <c r="E448" s="15">
        <v>3.47</v>
      </c>
      <c r="F448">
        <v>0</v>
      </c>
      <c r="G448">
        <v>3</v>
      </c>
    </row>
    <row r="449" spans="1:7" x14ac:dyDescent="0.25">
      <c r="A449">
        <v>200002350</v>
      </c>
      <c r="B449" t="s">
        <v>787</v>
      </c>
      <c r="C449" t="s">
        <v>9</v>
      </c>
      <c r="D449">
        <v>0</v>
      </c>
      <c r="E449" s="15">
        <v>4.4400000000000004</v>
      </c>
      <c r="F449">
        <v>0</v>
      </c>
      <c r="G449">
        <v>1</v>
      </c>
    </row>
    <row r="450" spans="1:7" x14ac:dyDescent="0.25">
      <c r="A450">
        <v>200001035</v>
      </c>
      <c r="B450" t="s">
        <v>793</v>
      </c>
      <c r="C450" t="s">
        <v>9</v>
      </c>
      <c r="D450">
        <v>0.16</v>
      </c>
      <c r="E450" s="15">
        <v>4.91</v>
      </c>
      <c r="F450">
        <v>0</v>
      </c>
      <c r="G450">
        <v>5</v>
      </c>
    </row>
    <row r="451" spans="1:7" x14ac:dyDescent="0.25">
      <c r="A451">
        <v>200001079</v>
      </c>
      <c r="B451" t="s">
        <v>795</v>
      </c>
      <c r="C451" t="s">
        <v>9</v>
      </c>
      <c r="D451">
        <v>3.75</v>
      </c>
      <c r="E451" s="15">
        <v>0.15</v>
      </c>
      <c r="F451">
        <v>0</v>
      </c>
      <c r="G451">
        <v>405</v>
      </c>
    </row>
    <row r="452" spans="1:7" x14ac:dyDescent="0.25">
      <c r="A452">
        <v>200002165</v>
      </c>
      <c r="B452" t="s">
        <v>796</v>
      </c>
      <c r="C452" t="s">
        <v>9</v>
      </c>
      <c r="D452">
        <v>0</v>
      </c>
      <c r="E452" s="15">
        <v>0.1</v>
      </c>
      <c r="F452">
        <v>0</v>
      </c>
      <c r="G452">
        <v>200</v>
      </c>
    </row>
    <row r="453" spans="1:7" x14ac:dyDescent="0.25">
      <c r="A453">
        <v>200002164</v>
      </c>
      <c r="B453" t="s">
        <v>798</v>
      </c>
      <c r="C453" t="s">
        <v>9</v>
      </c>
      <c r="D453">
        <v>0</v>
      </c>
      <c r="E453" s="15">
        <v>0.12</v>
      </c>
      <c r="F453">
        <v>0</v>
      </c>
      <c r="G453">
        <v>50</v>
      </c>
    </row>
    <row r="454" spans="1:7" x14ac:dyDescent="0.25">
      <c r="A454">
        <v>200002162</v>
      </c>
      <c r="B454" t="s">
        <v>800</v>
      </c>
      <c r="C454" t="s">
        <v>9</v>
      </c>
      <c r="D454">
        <v>0</v>
      </c>
      <c r="E454" s="15">
        <v>0</v>
      </c>
      <c r="F454">
        <v>0</v>
      </c>
      <c r="G454">
        <v>0</v>
      </c>
    </row>
    <row r="455" spans="1:7" x14ac:dyDescent="0.25">
      <c r="A455">
        <v>200005324</v>
      </c>
      <c r="B455" t="s">
        <v>803</v>
      </c>
      <c r="C455" t="s">
        <v>9</v>
      </c>
      <c r="D455">
        <v>33.33</v>
      </c>
      <c r="E455" s="15">
        <v>0.06</v>
      </c>
      <c r="F455">
        <v>200</v>
      </c>
      <c r="G455">
        <v>0</v>
      </c>
    </row>
    <row r="456" spans="1:7" x14ac:dyDescent="0.25">
      <c r="A456">
        <v>200001077</v>
      </c>
      <c r="B456" t="s">
        <v>808</v>
      </c>
      <c r="C456" t="s">
        <v>9</v>
      </c>
      <c r="D456">
        <v>0</v>
      </c>
      <c r="E456" s="15">
        <v>0</v>
      </c>
      <c r="F456">
        <v>0</v>
      </c>
      <c r="G456">
        <v>0</v>
      </c>
    </row>
    <row r="457" spans="1:7" x14ac:dyDescent="0.25">
      <c r="A457">
        <v>200002005</v>
      </c>
      <c r="B457" t="s">
        <v>812</v>
      </c>
      <c r="C457" t="s">
        <v>9</v>
      </c>
      <c r="D457">
        <v>0.16</v>
      </c>
      <c r="E457" s="15">
        <v>0</v>
      </c>
      <c r="F457">
        <v>0</v>
      </c>
      <c r="G457">
        <v>0</v>
      </c>
    </row>
    <row r="458" spans="1:7" x14ac:dyDescent="0.25">
      <c r="A458">
        <v>200002006</v>
      </c>
      <c r="B458" t="s">
        <v>813</v>
      </c>
      <c r="C458" t="s">
        <v>9</v>
      </c>
      <c r="D458">
        <v>0.25</v>
      </c>
      <c r="E458" s="15">
        <v>8.11</v>
      </c>
      <c r="F458">
        <v>0</v>
      </c>
      <c r="G458">
        <v>2</v>
      </c>
    </row>
    <row r="459" spans="1:7" x14ac:dyDescent="0.25">
      <c r="A459">
        <v>200002007</v>
      </c>
      <c r="B459" t="s">
        <v>814</v>
      </c>
      <c r="C459" t="s">
        <v>9</v>
      </c>
      <c r="D459">
        <v>0</v>
      </c>
      <c r="E459" s="15">
        <v>14.23</v>
      </c>
      <c r="F459">
        <v>0</v>
      </c>
      <c r="G459">
        <v>2</v>
      </c>
    </row>
    <row r="460" spans="1:7" x14ac:dyDescent="0.25">
      <c r="A460">
        <v>200003656</v>
      </c>
      <c r="B460" t="s">
        <v>815</v>
      </c>
      <c r="C460" t="s">
        <v>9</v>
      </c>
      <c r="D460">
        <v>0</v>
      </c>
      <c r="E460" s="15">
        <v>5.91</v>
      </c>
      <c r="F460">
        <v>0</v>
      </c>
      <c r="G460">
        <v>3</v>
      </c>
    </row>
    <row r="461" spans="1:7" x14ac:dyDescent="0.25">
      <c r="A461">
        <v>200004296</v>
      </c>
      <c r="B461" t="s">
        <v>811</v>
      </c>
      <c r="C461" t="s">
        <v>546</v>
      </c>
      <c r="D461">
        <v>0.5</v>
      </c>
      <c r="E461" s="15">
        <v>13.92</v>
      </c>
      <c r="F461">
        <v>0</v>
      </c>
      <c r="G461">
        <v>5</v>
      </c>
    </row>
    <row r="462" spans="1:7" x14ac:dyDescent="0.25">
      <c r="A462">
        <v>200002008</v>
      </c>
      <c r="B462" t="s">
        <v>817</v>
      </c>
      <c r="C462" t="s">
        <v>9</v>
      </c>
      <c r="D462">
        <v>0.41</v>
      </c>
      <c r="E462" s="15">
        <v>0</v>
      </c>
      <c r="F462">
        <v>0</v>
      </c>
      <c r="G462">
        <v>0</v>
      </c>
    </row>
    <row r="463" spans="1:7" x14ac:dyDescent="0.25">
      <c r="A463">
        <v>200002011</v>
      </c>
      <c r="B463" t="s">
        <v>816</v>
      </c>
      <c r="C463" t="s">
        <v>9</v>
      </c>
      <c r="D463">
        <v>0.33</v>
      </c>
      <c r="E463" s="15">
        <v>0</v>
      </c>
      <c r="F463">
        <v>0</v>
      </c>
      <c r="G463">
        <v>0</v>
      </c>
    </row>
    <row r="464" spans="1:7" x14ac:dyDescent="0.25">
      <c r="A464">
        <v>200002009</v>
      </c>
      <c r="B464" t="s">
        <v>818</v>
      </c>
      <c r="C464" t="s">
        <v>9</v>
      </c>
      <c r="D464">
        <v>0.33</v>
      </c>
      <c r="E464" s="15">
        <v>0</v>
      </c>
      <c r="F464">
        <v>0</v>
      </c>
      <c r="G464">
        <v>0</v>
      </c>
    </row>
    <row r="465" spans="1:7" x14ac:dyDescent="0.25">
      <c r="A465">
        <v>200002013</v>
      </c>
      <c r="B465" t="s">
        <v>819</v>
      </c>
      <c r="C465" t="s">
        <v>9</v>
      </c>
      <c r="D465">
        <v>0.08</v>
      </c>
      <c r="E465" s="15">
        <v>81.290000000000006</v>
      </c>
      <c r="F465">
        <v>0</v>
      </c>
      <c r="G465">
        <v>1</v>
      </c>
    </row>
    <row r="466" spans="1:7" x14ac:dyDescent="0.25">
      <c r="A466">
        <v>200000591</v>
      </c>
      <c r="B466" t="s">
        <v>820</v>
      </c>
      <c r="C466" t="s">
        <v>9</v>
      </c>
      <c r="D466">
        <v>0</v>
      </c>
      <c r="E466" s="15">
        <v>0</v>
      </c>
      <c r="F466">
        <v>0</v>
      </c>
      <c r="G466">
        <v>0</v>
      </c>
    </row>
    <row r="467" spans="1:7" x14ac:dyDescent="0.25">
      <c r="A467">
        <v>200000592</v>
      </c>
      <c r="B467" t="s">
        <v>821</v>
      </c>
      <c r="C467" t="s">
        <v>9</v>
      </c>
      <c r="D467">
        <v>0</v>
      </c>
      <c r="E467" s="15">
        <v>0</v>
      </c>
      <c r="F467">
        <v>0</v>
      </c>
      <c r="G467">
        <v>0</v>
      </c>
    </row>
    <row r="468" spans="1:7" x14ac:dyDescent="0.25">
      <c r="A468">
        <v>200000586</v>
      </c>
      <c r="B468" t="s">
        <v>823</v>
      </c>
      <c r="C468" t="s">
        <v>9</v>
      </c>
      <c r="D468">
        <v>0</v>
      </c>
      <c r="E468" s="15">
        <v>0</v>
      </c>
      <c r="F468">
        <v>0</v>
      </c>
      <c r="G468">
        <v>0</v>
      </c>
    </row>
    <row r="469" spans="1:7" x14ac:dyDescent="0.25">
      <c r="A469">
        <v>200000587</v>
      </c>
      <c r="B469" t="s">
        <v>824</v>
      </c>
      <c r="C469" t="s">
        <v>9</v>
      </c>
      <c r="D469">
        <v>0.08</v>
      </c>
      <c r="E469" s="15">
        <v>0</v>
      </c>
      <c r="F469">
        <v>0</v>
      </c>
      <c r="G469">
        <v>0</v>
      </c>
    </row>
    <row r="470" spans="1:7" x14ac:dyDescent="0.25">
      <c r="A470">
        <v>200000588</v>
      </c>
      <c r="B470" t="s">
        <v>825</v>
      </c>
      <c r="C470" t="s">
        <v>9</v>
      </c>
      <c r="D470">
        <v>0.08</v>
      </c>
      <c r="E470" s="15">
        <v>18.899999999999999</v>
      </c>
      <c r="F470">
        <v>0</v>
      </c>
      <c r="G470">
        <v>5</v>
      </c>
    </row>
    <row r="471" spans="1:7" x14ac:dyDescent="0.25">
      <c r="A471">
        <v>200000589</v>
      </c>
      <c r="B471" t="s">
        <v>826</v>
      </c>
      <c r="C471" t="s">
        <v>9</v>
      </c>
      <c r="D471">
        <v>0</v>
      </c>
      <c r="E471" s="15">
        <v>0</v>
      </c>
      <c r="F471">
        <v>0</v>
      </c>
      <c r="G471">
        <v>0</v>
      </c>
    </row>
    <row r="472" spans="1:7" x14ac:dyDescent="0.25">
      <c r="A472">
        <v>200000590</v>
      </c>
      <c r="B472" t="s">
        <v>827</v>
      </c>
      <c r="C472" t="s">
        <v>9</v>
      </c>
      <c r="D472">
        <v>0.25</v>
      </c>
      <c r="E472" s="15">
        <v>0</v>
      </c>
      <c r="F472">
        <v>0</v>
      </c>
      <c r="G472">
        <v>0</v>
      </c>
    </row>
    <row r="473" spans="1:7" x14ac:dyDescent="0.25">
      <c r="A473">
        <v>200000593</v>
      </c>
      <c r="B473" t="s">
        <v>828</v>
      </c>
      <c r="C473" t="s">
        <v>9</v>
      </c>
      <c r="D473">
        <v>0.33</v>
      </c>
      <c r="E473" s="15">
        <v>23.57</v>
      </c>
      <c r="F473">
        <v>0</v>
      </c>
      <c r="G473">
        <v>1</v>
      </c>
    </row>
    <row r="474" spans="1:7" x14ac:dyDescent="0.25">
      <c r="A474">
        <v>200000594</v>
      </c>
      <c r="B474" t="s">
        <v>829</v>
      </c>
      <c r="C474" t="s">
        <v>9</v>
      </c>
      <c r="D474">
        <v>0.41</v>
      </c>
      <c r="E474" s="15">
        <v>0</v>
      </c>
      <c r="F474">
        <v>0</v>
      </c>
      <c r="G474">
        <v>0</v>
      </c>
    </row>
    <row r="475" spans="1:7" x14ac:dyDescent="0.25">
      <c r="A475">
        <v>200004298</v>
      </c>
      <c r="B475" t="s">
        <v>835</v>
      </c>
      <c r="C475" t="s">
        <v>546</v>
      </c>
      <c r="D475">
        <v>0</v>
      </c>
      <c r="E475" s="15">
        <v>0</v>
      </c>
      <c r="F475">
        <v>0</v>
      </c>
      <c r="G475">
        <v>0</v>
      </c>
    </row>
    <row r="476" spans="1:7" x14ac:dyDescent="0.25">
      <c r="A476">
        <v>200003642</v>
      </c>
      <c r="B476" t="s">
        <v>838</v>
      </c>
      <c r="C476" t="s">
        <v>9</v>
      </c>
      <c r="D476">
        <v>0.33</v>
      </c>
      <c r="E476" s="15">
        <v>72.95</v>
      </c>
      <c r="F476">
        <v>0</v>
      </c>
      <c r="G476">
        <v>42</v>
      </c>
    </row>
    <row r="477" spans="1:7" x14ac:dyDescent="0.25">
      <c r="A477">
        <v>200002353</v>
      </c>
      <c r="B477" t="s">
        <v>839</v>
      </c>
      <c r="C477" t="s">
        <v>9</v>
      </c>
      <c r="D477">
        <v>0.16</v>
      </c>
      <c r="E477" s="15">
        <v>35</v>
      </c>
      <c r="F477">
        <v>0</v>
      </c>
      <c r="G477">
        <v>10</v>
      </c>
    </row>
    <row r="478" spans="1:7" x14ac:dyDescent="0.25">
      <c r="A478">
        <v>200002216</v>
      </c>
      <c r="B478" t="s">
        <v>841</v>
      </c>
      <c r="C478" t="s">
        <v>9</v>
      </c>
      <c r="D478">
        <v>0</v>
      </c>
      <c r="E478" s="15">
        <v>0</v>
      </c>
      <c r="F478">
        <v>0</v>
      </c>
      <c r="G478">
        <v>0</v>
      </c>
    </row>
    <row r="479" spans="1:7" x14ac:dyDescent="0.25">
      <c r="A479">
        <v>200003674</v>
      </c>
      <c r="B479" t="s">
        <v>842</v>
      </c>
      <c r="C479" t="s">
        <v>9</v>
      </c>
      <c r="D479">
        <v>0</v>
      </c>
      <c r="E479" s="15">
        <v>43.1</v>
      </c>
      <c r="F479">
        <v>0</v>
      </c>
      <c r="G479">
        <v>8</v>
      </c>
    </row>
    <row r="480" spans="1:7" x14ac:dyDescent="0.25">
      <c r="A480">
        <v>200002217</v>
      </c>
      <c r="B480" t="s">
        <v>843</v>
      </c>
      <c r="C480" t="s">
        <v>9</v>
      </c>
      <c r="D480">
        <v>0</v>
      </c>
      <c r="E480" s="15">
        <v>0</v>
      </c>
      <c r="F480">
        <v>0</v>
      </c>
      <c r="G480">
        <v>0</v>
      </c>
    </row>
    <row r="481" spans="1:7" x14ac:dyDescent="0.25">
      <c r="A481">
        <v>200003640</v>
      </c>
      <c r="B481" t="s">
        <v>844</v>
      </c>
      <c r="C481" t="s">
        <v>9</v>
      </c>
      <c r="D481">
        <v>0.16</v>
      </c>
      <c r="E481" s="15">
        <v>86.62</v>
      </c>
      <c r="F481">
        <v>0</v>
      </c>
      <c r="G481">
        <v>5</v>
      </c>
    </row>
    <row r="482" spans="1:7" x14ac:dyDescent="0.25">
      <c r="A482">
        <v>200003641</v>
      </c>
      <c r="B482" t="s">
        <v>845</v>
      </c>
      <c r="C482" t="s">
        <v>9</v>
      </c>
      <c r="D482">
        <v>0.16</v>
      </c>
      <c r="E482" s="15">
        <v>94.99</v>
      </c>
      <c r="F482">
        <v>0</v>
      </c>
      <c r="G482">
        <v>6</v>
      </c>
    </row>
    <row r="483" spans="1:7" x14ac:dyDescent="0.25">
      <c r="A483">
        <v>200002014</v>
      </c>
      <c r="B483" t="s">
        <v>846</v>
      </c>
      <c r="C483" t="s">
        <v>9</v>
      </c>
      <c r="D483">
        <v>0</v>
      </c>
      <c r="E483" s="15">
        <v>18.02</v>
      </c>
      <c r="F483">
        <v>0</v>
      </c>
      <c r="G483">
        <v>3</v>
      </c>
    </row>
    <row r="484" spans="1:7" x14ac:dyDescent="0.25">
      <c r="A484">
        <v>200000598</v>
      </c>
      <c r="B484" t="s">
        <v>847</v>
      </c>
      <c r="C484" t="s">
        <v>9</v>
      </c>
      <c r="D484">
        <v>0</v>
      </c>
      <c r="E484" s="15">
        <v>21.74</v>
      </c>
      <c r="F484">
        <v>0</v>
      </c>
      <c r="G484">
        <v>15</v>
      </c>
    </row>
    <row r="485" spans="1:7" x14ac:dyDescent="0.25">
      <c r="A485">
        <v>200000599</v>
      </c>
      <c r="B485" t="s">
        <v>848</v>
      </c>
      <c r="C485" t="s">
        <v>9</v>
      </c>
      <c r="D485">
        <v>0</v>
      </c>
      <c r="E485" s="15">
        <v>34.200000000000003</v>
      </c>
      <c r="F485">
        <v>0</v>
      </c>
      <c r="G485">
        <v>3</v>
      </c>
    </row>
    <row r="486" spans="1:7" x14ac:dyDescent="0.25">
      <c r="A486">
        <v>200000604</v>
      </c>
      <c r="B486" t="s">
        <v>855</v>
      </c>
      <c r="C486" t="s">
        <v>9</v>
      </c>
      <c r="D486">
        <v>0.83</v>
      </c>
      <c r="E486" s="15">
        <v>8.64</v>
      </c>
      <c r="F486">
        <v>0</v>
      </c>
      <c r="G486">
        <v>10</v>
      </c>
    </row>
    <row r="487" spans="1:7" x14ac:dyDescent="0.25">
      <c r="A487">
        <v>200001599</v>
      </c>
      <c r="B487" t="s">
        <v>856</v>
      </c>
      <c r="C487" t="s">
        <v>9</v>
      </c>
      <c r="D487">
        <v>3.58</v>
      </c>
      <c r="E487" s="15">
        <v>0</v>
      </c>
      <c r="F487">
        <v>0</v>
      </c>
      <c r="G487">
        <v>0</v>
      </c>
    </row>
    <row r="488" spans="1:7" x14ac:dyDescent="0.25">
      <c r="A488">
        <v>200001619</v>
      </c>
      <c r="B488" t="s">
        <v>857</v>
      </c>
      <c r="C488" t="s">
        <v>9</v>
      </c>
      <c r="D488">
        <v>0</v>
      </c>
      <c r="E488" s="15">
        <v>0</v>
      </c>
      <c r="F488">
        <v>0</v>
      </c>
      <c r="G488">
        <v>0</v>
      </c>
    </row>
    <row r="489" spans="1:7" x14ac:dyDescent="0.25">
      <c r="A489">
        <v>200003675</v>
      </c>
      <c r="B489" t="s">
        <v>858</v>
      </c>
      <c r="C489" t="s">
        <v>9</v>
      </c>
      <c r="D489">
        <v>2</v>
      </c>
      <c r="E489" s="15">
        <v>18.59</v>
      </c>
      <c r="F489">
        <v>0</v>
      </c>
      <c r="G489">
        <v>9</v>
      </c>
    </row>
    <row r="490" spans="1:7" x14ac:dyDescent="0.25">
      <c r="A490">
        <v>200001594</v>
      </c>
      <c r="B490" t="s">
        <v>860</v>
      </c>
      <c r="C490" t="s">
        <v>9</v>
      </c>
      <c r="D490">
        <v>1.25</v>
      </c>
      <c r="E490" s="15">
        <v>0</v>
      </c>
      <c r="F490">
        <v>0</v>
      </c>
      <c r="G490">
        <v>0</v>
      </c>
    </row>
    <row r="491" spans="1:7" x14ac:dyDescent="0.25">
      <c r="A491">
        <v>200000610</v>
      </c>
      <c r="B491" t="s">
        <v>862</v>
      </c>
      <c r="C491" t="s">
        <v>9</v>
      </c>
      <c r="D491">
        <v>47.91</v>
      </c>
      <c r="E491" s="15">
        <v>2.12</v>
      </c>
      <c r="F491">
        <v>4</v>
      </c>
      <c r="G491">
        <v>30</v>
      </c>
    </row>
    <row r="492" spans="1:7" x14ac:dyDescent="0.25">
      <c r="A492">
        <v>200000614</v>
      </c>
      <c r="B492" t="s">
        <v>867</v>
      </c>
      <c r="C492" t="s">
        <v>9</v>
      </c>
      <c r="D492">
        <v>0.08</v>
      </c>
      <c r="E492" s="15">
        <v>21.5</v>
      </c>
      <c r="F492">
        <v>0</v>
      </c>
      <c r="G492">
        <v>7</v>
      </c>
    </row>
    <row r="493" spans="1:7" x14ac:dyDescent="0.25">
      <c r="A493">
        <v>200001618</v>
      </c>
      <c r="B493" t="s">
        <v>869</v>
      </c>
      <c r="C493" t="s">
        <v>63</v>
      </c>
      <c r="D493">
        <v>0.16</v>
      </c>
      <c r="E493" s="15">
        <v>0</v>
      </c>
      <c r="F493">
        <v>0</v>
      </c>
      <c r="G493">
        <v>0</v>
      </c>
    </row>
    <row r="494" spans="1:7" x14ac:dyDescent="0.25">
      <c r="A494">
        <v>200005788</v>
      </c>
      <c r="B494" t="s">
        <v>1147</v>
      </c>
      <c r="C494" t="s">
        <v>9</v>
      </c>
      <c r="D494">
        <v>0</v>
      </c>
      <c r="E494" s="15">
        <v>93.04</v>
      </c>
      <c r="F494">
        <v>0</v>
      </c>
      <c r="G494">
        <v>35</v>
      </c>
    </row>
    <row r="495" spans="1:7" x14ac:dyDescent="0.25">
      <c r="A495">
        <v>200002057</v>
      </c>
      <c r="B495" t="s">
        <v>873</v>
      </c>
      <c r="C495" t="s">
        <v>9</v>
      </c>
      <c r="D495">
        <v>0.33</v>
      </c>
      <c r="E495" s="15">
        <v>140.99</v>
      </c>
      <c r="F495">
        <v>0</v>
      </c>
      <c r="G495">
        <v>4</v>
      </c>
    </row>
    <row r="496" spans="1:7" x14ac:dyDescent="0.25">
      <c r="A496">
        <v>200002058</v>
      </c>
      <c r="B496" t="s">
        <v>876</v>
      </c>
      <c r="C496" t="s">
        <v>9</v>
      </c>
      <c r="D496">
        <v>0.83</v>
      </c>
      <c r="E496" s="15">
        <v>153.94999999999999</v>
      </c>
      <c r="F496">
        <v>0</v>
      </c>
      <c r="G496">
        <v>5</v>
      </c>
    </row>
    <row r="497" spans="1:7" x14ac:dyDescent="0.25">
      <c r="A497">
        <v>200004985</v>
      </c>
      <c r="B497" t="s">
        <v>877</v>
      </c>
      <c r="C497" t="s">
        <v>9</v>
      </c>
      <c r="D497">
        <v>4.83</v>
      </c>
      <c r="E497" s="15">
        <v>5.79</v>
      </c>
      <c r="F497">
        <v>0</v>
      </c>
      <c r="G497">
        <v>10</v>
      </c>
    </row>
    <row r="498" spans="1:7" x14ac:dyDescent="0.25">
      <c r="A498">
        <v>200002020</v>
      </c>
      <c r="B498" t="s">
        <v>878</v>
      </c>
      <c r="C498" t="s">
        <v>9</v>
      </c>
      <c r="D498">
        <v>0</v>
      </c>
      <c r="E498" s="15">
        <v>0</v>
      </c>
      <c r="F498">
        <v>0</v>
      </c>
      <c r="G498">
        <v>0</v>
      </c>
    </row>
    <row r="499" spans="1:7" x14ac:dyDescent="0.25">
      <c r="A499">
        <v>200004669</v>
      </c>
      <c r="B499" t="s">
        <v>879</v>
      </c>
      <c r="C499" t="s">
        <v>9</v>
      </c>
      <c r="D499">
        <v>0</v>
      </c>
      <c r="E499" s="15">
        <v>0</v>
      </c>
      <c r="F499">
        <v>0</v>
      </c>
      <c r="G499">
        <v>0</v>
      </c>
    </row>
    <row r="500" spans="1:7" x14ac:dyDescent="0.25">
      <c r="A500">
        <v>200001011</v>
      </c>
      <c r="B500" t="s">
        <v>880</v>
      </c>
      <c r="C500" t="s">
        <v>9</v>
      </c>
      <c r="D500">
        <v>5.41</v>
      </c>
      <c r="E500" s="15">
        <v>0</v>
      </c>
      <c r="F500">
        <v>0</v>
      </c>
      <c r="G500">
        <v>0</v>
      </c>
    </row>
    <row r="501" spans="1:7" x14ac:dyDescent="0.25">
      <c r="A501">
        <v>200002286</v>
      </c>
      <c r="B501" t="s">
        <v>882</v>
      </c>
      <c r="C501" t="s">
        <v>9</v>
      </c>
      <c r="D501">
        <v>0.25</v>
      </c>
      <c r="E501" s="15">
        <v>11.2</v>
      </c>
      <c r="F501">
        <v>0</v>
      </c>
      <c r="G501">
        <v>26</v>
      </c>
    </row>
    <row r="502" spans="1:7" x14ac:dyDescent="0.25">
      <c r="A502">
        <v>200002277</v>
      </c>
      <c r="B502" t="s">
        <v>884</v>
      </c>
      <c r="C502" t="s">
        <v>546</v>
      </c>
      <c r="D502">
        <v>0.5</v>
      </c>
      <c r="E502" s="15">
        <v>14.45</v>
      </c>
      <c r="F502">
        <v>0</v>
      </c>
      <c r="G502">
        <v>2</v>
      </c>
    </row>
    <row r="503" spans="1:7" x14ac:dyDescent="0.25">
      <c r="A503">
        <v>200000714</v>
      </c>
      <c r="B503" t="s">
        <v>885</v>
      </c>
      <c r="C503" t="s">
        <v>546</v>
      </c>
      <c r="D503">
        <v>0</v>
      </c>
      <c r="E503" s="15">
        <v>38.799999999999997</v>
      </c>
      <c r="F503">
        <v>0</v>
      </c>
      <c r="G503">
        <v>2</v>
      </c>
    </row>
    <row r="504" spans="1:7" x14ac:dyDescent="0.25">
      <c r="A504">
        <v>200000625</v>
      </c>
      <c r="B504" t="s">
        <v>887</v>
      </c>
      <c r="C504" t="s">
        <v>9</v>
      </c>
      <c r="D504">
        <v>0.91</v>
      </c>
      <c r="E504" s="15">
        <v>11.36</v>
      </c>
      <c r="F504">
        <v>0</v>
      </c>
      <c r="G504">
        <v>21</v>
      </c>
    </row>
    <row r="505" spans="1:7" x14ac:dyDescent="0.25">
      <c r="A505">
        <v>200000626</v>
      </c>
      <c r="B505" t="s">
        <v>888</v>
      </c>
      <c r="C505" t="s">
        <v>9</v>
      </c>
      <c r="D505">
        <v>0.16</v>
      </c>
      <c r="E505" s="15">
        <v>11.49</v>
      </c>
      <c r="F505">
        <v>0</v>
      </c>
      <c r="G505">
        <v>6</v>
      </c>
    </row>
    <row r="506" spans="1:7" x14ac:dyDescent="0.25">
      <c r="A506">
        <v>200003176</v>
      </c>
      <c r="B506" t="s">
        <v>889</v>
      </c>
      <c r="C506" t="s">
        <v>9</v>
      </c>
      <c r="D506">
        <v>2.25</v>
      </c>
      <c r="E506" s="15">
        <v>6.1</v>
      </c>
      <c r="F506">
        <v>0</v>
      </c>
      <c r="G506">
        <v>9</v>
      </c>
    </row>
    <row r="507" spans="1:7" x14ac:dyDescent="0.25">
      <c r="A507">
        <v>200003430</v>
      </c>
      <c r="B507" t="s">
        <v>1076</v>
      </c>
      <c r="C507" t="s">
        <v>9</v>
      </c>
      <c r="D507">
        <v>0</v>
      </c>
      <c r="E507" s="15">
        <v>0</v>
      </c>
      <c r="F507">
        <v>0</v>
      </c>
      <c r="G507">
        <v>0</v>
      </c>
    </row>
    <row r="508" spans="1:7" x14ac:dyDescent="0.25">
      <c r="A508">
        <v>200002166</v>
      </c>
      <c r="B508" t="s">
        <v>1077</v>
      </c>
      <c r="C508" t="s">
        <v>9</v>
      </c>
      <c r="D508">
        <v>0</v>
      </c>
      <c r="E508" s="15">
        <v>0</v>
      </c>
      <c r="F508">
        <v>0</v>
      </c>
      <c r="G508">
        <v>0</v>
      </c>
    </row>
    <row r="509" spans="1:7" x14ac:dyDescent="0.25">
      <c r="A509">
        <v>200003315</v>
      </c>
      <c r="B509" t="s">
        <v>909</v>
      </c>
      <c r="C509" t="s">
        <v>910</v>
      </c>
      <c r="D509">
        <v>0</v>
      </c>
      <c r="E509" s="15">
        <v>0</v>
      </c>
      <c r="F509">
        <v>0</v>
      </c>
      <c r="G509">
        <v>0</v>
      </c>
    </row>
    <row r="510" spans="1:7" x14ac:dyDescent="0.25">
      <c r="A510">
        <v>200003316</v>
      </c>
      <c r="B510" t="s">
        <v>913</v>
      </c>
      <c r="C510" t="s">
        <v>910</v>
      </c>
      <c r="D510">
        <v>0</v>
      </c>
      <c r="E510" s="15">
        <v>0</v>
      </c>
      <c r="F510">
        <v>0</v>
      </c>
      <c r="G510">
        <v>0</v>
      </c>
    </row>
    <row r="511" spans="1:7" x14ac:dyDescent="0.25">
      <c r="A511">
        <v>200003891</v>
      </c>
      <c r="B511" t="s">
        <v>914</v>
      </c>
      <c r="C511" t="s">
        <v>294</v>
      </c>
      <c r="D511">
        <v>0</v>
      </c>
      <c r="E511" s="15">
        <v>50</v>
      </c>
      <c r="F511">
        <v>0</v>
      </c>
      <c r="G511">
        <v>1</v>
      </c>
    </row>
    <row r="512" spans="1:7" x14ac:dyDescent="0.25">
      <c r="A512">
        <v>200002038</v>
      </c>
      <c r="B512" t="s">
        <v>915</v>
      </c>
      <c r="C512" t="s">
        <v>9</v>
      </c>
      <c r="D512">
        <v>0.5</v>
      </c>
      <c r="E512" s="15">
        <v>0</v>
      </c>
      <c r="F512">
        <v>0</v>
      </c>
      <c r="G512">
        <v>0</v>
      </c>
    </row>
    <row r="513" spans="1:7" x14ac:dyDescent="0.25">
      <c r="A513">
        <v>200002039</v>
      </c>
      <c r="B513" t="s">
        <v>916</v>
      </c>
      <c r="C513" t="s">
        <v>9</v>
      </c>
      <c r="D513">
        <v>0</v>
      </c>
      <c r="E513" s="15">
        <v>10.93</v>
      </c>
      <c r="F513">
        <v>0</v>
      </c>
      <c r="G513">
        <v>6</v>
      </c>
    </row>
    <row r="514" spans="1:7" x14ac:dyDescent="0.25">
      <c r="A514">
        <v>200002037</v>
      </c>
      <c r="B514" t="s">
        <v>917</v>
      </c>
      <c r="C514" t="s">
        <v>9</v>
      </c>
      <c r="D514">
        <v>0</v>
      </c>
      <c r="E514" s="15">
        <v>2.13</v>
      </c>
      <c r="F514">
        <v>0</v>
      </c>
      <c r="G514">
        <v>4</v>
      </c>
    </row>
    <row r="515" spans="1:7" x14ac:dyDescent="0.25">
      <c r="A515">
        <v>200002025</v>
      </c>
      <c r="B515" t="s">
        <v>918</v>
      </c>
      <c r="C515" t="s">
        <v>9</v>
      </c>
      <c r="D515">
        <v>0</v>
      </c>
      <c r="E515" s="15">
        <v>0</v>
      </c>
      <c r="F515">
        <v>0</v>
      </c>
      <c r="G515">
        <v>0</v>
      </c>
    </row>
    <row r="516" spans="1:7" x14ac:dyDescent="0.25">
      <c r="A516">
        <v>200002031</v>
      </c>
      <c r="B516" t="s">
        <v>919</v>
      </c>
      <c r="C516" t="s">
        <v>9</v>
      </c>
      <c r="D516">
        <v>0.57999999999999996</v>
      </c>
      <c r="E516" s="15">
        <v>0</v>
      </c>
      <c r="F516">
        <v>0</v>
      </c>
      <c r="G516">
        <v>0</v>
      </c>
    </row>
    <row r="517" spans="1:7" x14ac:dyDescent="0.25">
      <c r="A517">
        <v>200002821</v>
      </c>
      <c r="B517" t="s">
        <v>920</v>
      </c>
      <c r="C517" t="s">
        <v>9</v>
      </c>
      <c r="D517">
        <v>0</v>
      </c>
      <c r="E517" s="15">
        <v>6.9</v>
      </c>
      <c r="F517">
        <v>0</v>
      </c>
      <c r="G517">
        <v>4</v>
      </c>
    </row>
    <row r="518" spans="1:7" x14ac:dyDescent="0.25">
      <c r="A518">
        <v>200002023</v>
      </c>
      <c r="B518" t="s">
        <v>921</v>
      </c>
      <c r="C518" t="s">
        <v>9</v>
      </c>
      <c r="D518">
        <v>0</v>
      </c>
      <c r="E518" s="15">
        <v>2.68</v>
      </c>
      <c r="F518">
        <v>0</v>
      </c>
      <c r="G518">
        <v>3</v>
      </c>
    </row>
    <row r="519" spans="1:7" x14ac:dyDescent="0.25">
      <c r="A519">
        <v>200003662</v>
      </c>
      <c r="B519" t="s">
        <v>922</v>
      </c>
      <c r="C519" t="s">
        <v>9</v>
      </c>
      <c r="D519">
        <v>0</v>
      </c>
      <c r="E519" s="15">
        <v>14.3</v>
      </c>
      <c r="F519">
        <v>0</v>
      </c>
      <c r="G519">
        <v>2</v>
      </c>
    </row>
    <row r="520" spans="1:7" x14ac:dyDescent="0.25">
      <c r="A520">
        <v>200003663</v>
      </c>
      <c r="B520" t="s">
        <v>923</v>
      </c>
      <c r="C520" t="s">
        <v>9</v>
      </c>
      <c r="D520">
        <v>0</v>
      </c>
      <c r="E520" s="15">
        <v>7.42</v>
      </c>
      <c r="F520">
        <v>0</v>
      </c>
      <c r="G520">
        <v>2</v>
      </c>
    </row>
    <row r="521" spans="1:7" x14ac:dyDescent="0.25">
      <c r="A521">
        <v>200001037</v>
      </c>
      <c r="B521" t="s">
        <v>924</v>
      </c>
      <c r="C521" t="s">
        <v>9</v>
      </c>
      <c r="D521">
        <v>0</v>
      </c>
      <c r="E521" s="15">
        <v>0</v>
      </c>
      <c r="F521">
        <v>0</v>
      </c>
      <c r="G521">
        <v>0</v>
      </c>
    </row>
    <row r="522" spans="1:7" x14ac:dyDescent="0.25">
      <c r="A522">
        <v>200003664</v>
      </c>
      <c r="B522" t="s">
        <v>925</v>
      </c>
      <c r="C522" t="s">
        <v>9</v>
      </c>
      <c r="D522">
        <v>0</v>
      </c>
      <c r="E522" s="15">
        <v>25.41</v>
      </c>
      <c r="F522">
        <v>0</v>
      </c>
      <c r="G522">
        <v>2</v>
      </c>
    </row>
    <row r="523" spans="1:7" x14ac:dyDescent="0.25">
      <c r="A523">
        <v>200001038</v>
      </c>
      <c r="B523" t="s">
        <v>926</v>
      </c>
      <c r="C523" t="s">
        <v>9</v>
      </c>
      <c r="D523">
        <v>0</v>
      </c>
      <c r="E523" s="15">
        <v>1.38</v>
      </c>
      <c r="F523">
        <v>0</v>
      </c>
      <c r="G523">
        <v>12</v>
      </c>
    </row>
    <row r="524" spans="1:7" x14ac:dyDescent="0.25">
      <c r="A524">
        <v>200002028</v>
      </c>
      <c r="B524" t="s">
        <v>927</v>
      </c>
      <c r="C524" t="s">
        <v>9</v>
      </c>
      <c r="D524">
        <v>0</v>
      </c>
      <c r="E524" s="15">
        <v>2.14</v>
      </c>
      <c r="F524">
        <v>0</v>
      </c>
      <c r="G524">
        <v>7</v>
      </c>
    </row>
    <row r="525" spans="1:7" x14ac:dyDescent="0.25">
      <c r="A525">
        <v>200001579</v>
      </c>
      <c r="B525" t="s">
        <v>928</v>
      </c>
      <c r="C525" t="s">
        <v>9</v>
      </c>
      <c r="D525">
        <v>0.25</v>
      </c>
      <c r="E525" s="15">
        <v>5.1100000000000003</v>
      </c>
      <c r="F525">
        <v>0</v>
      </c>
      <c r="G525">
        <v>6</v>
      </c>
    </row>
    <row r="526" spans="1:7" x14ac:dyDescent="0.25">
      <c r="A526">
        <v>200001580</v>
      </c>
      <c r="B526" t="s">
        <v>929</v>
      </c>
      <c r="C526" t="s">
        <v>9</v>
      </c>
      <c r="D526">
        <v>0</v>
      </c>
      <c r="E526" s="15">
        <v>3.67</v>
      </c>
      <c r="F526">
        <v>0</v>
      </c>
      <c r="G526">
        <v>10</v>
      </c>
    </row>
    <row r="527" spans="1:7" x14ac:dyDescent="0.25">
      <c r="A527">
        <v>200000639</v>
      </c>
      <c r="B527" t="s">
        <v>930</v>
      </c>
      <c r="C527" t="s">
        <v>9</v>
      </c>
      <c r="D527">
        <v>0.16</v>
      </c>
      <c r="E527" s="15">
        <v>0.41</v>
      </c>
      <c r="F527">
        <v>0</v>
      </c>
      <c r="G527">
        <v>33</v>
      </c>
    </row>
    <row r="528" spans="1:7" x14ac:dyDescent="0.25">
      <c r="A528">
        <v>200000640</v>
      </c>
      <c r="B528" t="s">
        <v>931</v>
      </c>
      <c r="C528" t="s">
        <v>9</v>
      </c>
      <c r="D528">
        <v>0.83</v>
      </c>
      <c r="E528" s="15">
        <v>0</v>
      </c>
      <c r="F528">
        <v>0</v>
      </c>
      <c r="G528">
        <v>0</v>
      </c>
    </row>
    <row r="529" spans="1:7" x14ac:dyDescent="0.25">
      <c r="A529">
        <v>200001039</v>
      </c>
      <c r="B529" t="s">
        <v>932</v>
      </c>
      <c r="C529" t="s">
        <v>9</v>
      </c>
      <c r="D529">
        <v>0</v>
      </c>
      <c r="E529" s="15">
        <v>3.5</v>
      </c>
      <c r="F529">
        <v>0</v>
      </c>
      <c r="G529">
        <v>4</v>
      </c>
    </row>
    <row r="530" spans="1:7" x14ac:dyDescent="0.25">
      <c r="A530">
        <v>200002033</v>
      </c>
      <c r="B530" t="s">
        <v>933</v>
      </c>
      <c r="C530" t="s">
        <v>9</v>
      </c>
      <c r="D530">
        <v>0</v>
      </c>
      <c r="E530" s="15">
        <v>0</v>
      </c>
      <c r="F530">
        <v>0</v>
      </c>
      <c r="G530">
        <v>0</v>
      </c>
    </row>
    <row r="531" spans="1:7" x14ac:dyDescent="0.25">
      <c r="A531">
        <v>200002035</v>
      </c>
      <c r="B531" t="s">
        <v>934</v>
      </c>
      <c r="C531" t="s">
        <v>9</v>
      </c>
      <c r="D531">
        <v>0</v>
      </c>
      <c r="E531" s="15">
        <v>0</v>
      </c>
      <c r="F531">
        <v>0</v>
      </c>
      <c r="G531">
        <v>0</v>
      </c>
    </row>
    <row r="532" spans="1:7" x14ac:dyDescent="0.25">
      <c r="A532">
        <v>200002036</v>
      </c>
      <c r="B532" t="s">
        <v>935</v>
      </c>
      <c r="C532" t="s">
        <v>9</v>
      </c>
      <c r="D532">
        <v>0</v>
      </c>
      <c r="E532" s="15">
        <v>13.67</v>
      </c>
      <c r="F532">
        <v>0</v>
      </c>
      <c r="G532">
        <v>5</v>
      </c>
    </row>
    <row r="533" spans="1:7" x14ac:dyDescent="0.25">
      <c r="A533">
        <v>200000641</v>
      </c>
      <c r="B533" t="s">
        <v>937</v>
      </c>
      <c r="C533" t="s">
        <v>9</v>
      </c>
      <c r="D533">
        <v>0</v>
      </c>
      <c r="E533" s="15">
        <v>0</v>
      </c>
      <c r="F533">
        <v>0</v>
      </c>
      <c r="G533">
        <v>0</v>
      </c>
    </row>
    <row r="534" spans="1:7" x14ac:dyDescent="0.25">
      <c r="A534">
        <v>200005407</v>
      </c>
      <c r="B534" t="s">
        <v>948</v>
      </c>
      <c r="C534" t="s">
        <v>9</v>
      </c>
      <c r="D534">
        <v>0</v>
      </c>
      <c r="E534" s="15">
        <v>0</v>
      </c>
      <c r="F534">
        <v>0</v>
      </c>
      <c r="G534">
        <v>0</v>
      </c>
    </row>
    <row r="535" spans="1:7" x14ac:dyDescent="0.25">
      <c r="A535">
        <v>200000650</v>
      </c>
      <c r="B535" t="s">
        <v>956</v>
      </c>
      <c r="C535" t="s">
        <v>67</v>
      </c>
      <c r="D535">
        <v>0</v>
      </c>
      <c r="E535" s="15">
        <v>0</v>
      </c>
      <c r="F535">
        <v>0</v>
      </c>
      <c r="G535">
        <v>0</v>
      </c>
    </row>
    <row r="536" spans="1:7" x14ac:dyDescent="0.25">
      <c r="A536">
        <v>200006329</v>
      </c>
      <c r="B536" t="s">
        <v>964</v>
      </c>
      <c r="C536" t="s">
        <v>9</v>
      </c>
      <c r="D536">
        <v>0</v>
      </c>
      <c r="E536" s="15">
        <v>224.23</v>
      </c>
      <c r="F536">
        <v>0</v>
      </c>
      <c r="G536">
        <v>1</v>
      </c>
    </row>
    <row r="537" spans="1:7" x14ac:dyDescent="0.25">
      <c r="A537">
        <v>200001092</v>
      </c>
      <c r="B537" t="s">
        <v>968</v>
      </c>
      <c r="C537" t="s">
        <v>63</v>
      </c>
      <c r="D537">
        <v>0</v>
      </c>
      <c r="E537" s="15">
        <v>0</v>
      </c>
      <c r="F537">
        <v>0</v>
      </c>
      <c r="G537">
        <v>0</v>
      </c>
    </row>
    <row r="538" spans="1:7" x14ac:dyDescent="0.25">
      <c r="A538">
        <v>200003809</v>
      </c>
      <c r="B538" t="s">
        <v>969</v>
      </c>
      <c r="C538" t="s">
        <v>63</v>
      </c>
      <c r="D538">
        <v>0</v>
      </c>
      <c r="E538" s="15">
        <v>0</v>
      </c>
      <c r="F538">
        <v>0</v>
      </c>
      <c r="G538">
        <v>0</v>
      </c>
    </row>
    <row r="539" spans="1:7" x14ac:dyDescent="0.25">
      <c r="A539">
        <v>200004190</v>
      </c>
      <c r="B539" t="s">
        <v>970</v>
      </c>
      <c r="C539" t="s">
        <v>63</v>
      </c>
      <c r="D539">
        <v>0</v>
      </c>
      <c r="E539" s="15">
        <v>0</v>
      </c>
      <c r="F539">
        <v>0</v>
      </c>
      <c r="G539">
        <v>0</v>
      </c>
    </row>
    <row r="540" spans="1:7" x14ac:dyDescent="0.25">
      <c r="A540">
        <v>200001215</v>
      </c>
      <c r="B540" t="s">
        <v>976</v>
      </c>
      <c r="C540" t="s">
        <v>63</v>
      </c>
      <c r="D540">
        <v>0</v>
      </c>
      <c r="E540" s="15">
        <v>0</v>
      </c>
      <c r="F540">
        <v>0</v>
      </c>
      <c r="G540">
        <v>0</v>
      </c>
    </row>
    <row r="541" spans="1:7" x14ac:dyDescent="0.25">
      <c r="A541">
        <v>200001214</v>
      </c>
      <c r="B541" t="s">
        <v>977</v>
      </c>
      <c r="C541" t="s">
        <v>63</v>
      </c>
      <c r="D541">
        <v>0</v>
      </c>
      <c r="E541" s="15">
        <v>0</v>
      </c>
      <c r="F541">
        <v>0</v>
      </c>
      <c r="G541">
        <v>0</v>
      </c>
    </row>
    <row r="542" spans="1:7" x14ac:dyDescent="0.25">
      <c r="A542">
        <v>200001212</v>
      </c>
      <c r="B542" t="s">
        <v>979</v>
      </c>
      <c r="C542" t="s">
        <v>63</v>
      </c>
      <c r="D542">
        <v>0.16</v>
      </c>
      <c r="E542" s="15">
        <v>0</v>
      </c>
      <c r="F542">
        <v>0</v>
      </c>
      <c r="G542">
        <v>0</v>
      </c>
    </row>
    <row r="543" spans="1:7" x14ac:dyDescent="0.25">
      <c r="A543">
        <v>200004148</v>
      </c>
      <c r="B543" t="s">
        <v>980</v>
      </c>
      <c r="C543" t="s">
        <v>9</v>
      </c>
      <c r="D543">
        <v>0</v>
      </c>
      <c r="E543" s="15">
        <v>0</v>
      </c>
      <c r="F543">
        <v>0</v>
      </c>
      <c r="G543">
        <v>0</v>
      </c>
    </row>
    <row r="544" spans="1:7" x14ac:dyDescent="0.25">
      <c r="A544">
        <v>200000749</v>
      </c>
      <c r="B544" t="s">
        <v>984</v>
      </c>
      <c r="C544" t="s">
        <v>67</v>
      </c>
      <c r="D544">
        <v>0.5</v>
      </c>
      <c r="E544" s="15">
        <v>325.26</v>
      </c>
      <c r="F544">
        <v>0</v>
      </c>
      <c r="G544">
        <v>2</v>
      </c>
    </row>
    <row r="545" spans="1:7" x14ac:dyDescent="0.25">
      <c r="A545">
        <v>200000660</v>
      </c>
      <c r="B545" t="s">
        <v>985</v>
      </c>
      <c r="C545" t="s">
        <v>67</v>
      </c>
      <c r="D545">
        <v>3.08</v>
      </c>
      <c r="E545" s="15">
        <v>325.74</v>
      </c>
      <c r="F545">
        <v>0</v>
      </c>
      <c r="G545">
        <v>2</v>
      </c>
    </row>
    <row r="546" spans="1:7" x14ac:dyDescent="0.25">
      <c r="A546">
        <v>200002719</v>
      </c>
      <c r="B546" t="s">
        <v>988</v>
      </c>
      <c r="C546" t="s">
        <v>63</v>
      </c>
      <c r="D546">
        <v>0</v>
      </c>
      <c r="E546" s="15">
        <v>0</v>
      </c>
      <c r="F546">
        <v>0</v>
      </c>
      <c r="G546">
        <v>0</v>
      </c>
    </row>
    <row r="547" spans="1:7" x14ac:dyDescent="0.25">
      <c r="A547">
        <v>200001620</v>
      </c>
      <c r="B547" t="s">
        <v>989</v>
      </c>
      <c r="C547" t="s">
        <v>63</v>
      </c>
      <c r="D547">
        <v>0.91</v>
      </c>
      <c r="E547" s="15">
        <v>44.64</v>
      </c>
      <c r="F547">
        <v>0</v>
      </c>
      <c r="G547">
        <v>6</v>
      </c>
    </row>
    <row r="548" spans="1:7" x14ac:dyDescent="0.25">
      <c r="A548">
        <v>200001621</v>
      </c>
      <c r="B548" t="s">
        <v>990</v>
      </c>
      <c r="C548" t="s">
        <v>63</v>
      </c>
      <c r="D548">
        <v>0</v>
      </c>
      <c r="E548" s="15">
        <v>0</v>
      </c>
      <c r="F548">
        <v>0</v>
      </c>
      <c r="G548">
        <v>0</v>
      </c>
    </row>
    <row r="549" spans="1:7" x14ac:dyDescent="0.25">
      <c r="A549">
        <v>200001624</v>
      </c>
      <c r="B549" t="s">
        <v>991</v>
      </c>
      <c r="C549" t="s">
        <v>63</v>
      </c>
      <c r="D549">
        <v>0.08</v>
      </c>
      <c r="E549" s="15">
        <v>53.24</v>
      </c>
      <c r="F549">
        <v>0</v>
      </c>
      <c r="G549">
        <v>1</v>
      </c>
    </row>
    <row r="550" spans="1:7" x14ac:dyDescent="0.25">
      <c r="A550">
        <v>200001622</v>
      </c>
      <c r="B550" t="s">
        <v>993</v>
      </c>
      <c r="C550" t="s">
        <v>63</v>
      </c>
      <c r="D550">
        <v>0</v>
      </c>
      <c r="E550" s="15">
        <v>0</v>
      </c>
      <c r="F550">
        <v>0</v>
      </c>
      <c r="G550">
        <v>0</v>
      </c>
    </row>
    <row r="551" spans="1:7" x14ac:dyDescent="0.25">
      <c r="A551">
        <v>200001623</v>
      </c>
      <c r="B551" t="s">
        <v>994</v>
      </c>
      <c r="C551" t="s">
        <v>63</v>
      </c>
      <c r="D551">
        <v>0.16</v>
      </c>
      <c r="E551" s="15">
        <v>0</v>
      </c>
      <c r="F551">
        <v>0</v>
      </c>
      <c r="G551">
        <v>0</v>
      </c>
    </row>
    <row r="552" spans="1:7" x14ac:dyDescent="0.25">
      <c r="A552">
        <v>200001625</v>
      </c>
      <c r="B552" t="s">
        <v>995</v>
      </c>
      <c r="C552" t="s">
        <v>63</v>
      </c>
      <c r="D552">
        <v>0.25</v>
      </c>
      <c r="E552" s="15">
        <v>33.74</v>
      </c>
      <c r="F552">
        <v>0</v>
      </c>
      <c r="G552">
        <v>9</v>
      </c>
    </row>
    <row r="553" spans="1:7" x14ac:dyDescent="0.25">
      <c r="A553">
        <v>200002059</v>
      </c>
      <c r="B553" t="s">
        <v>998</v>
      </c>
      <c r="C553" t="s">
        <v>9</v>
      </c>
      <c r="D553">
        <v>0.25</v>
      </c>
      <c r="E553" s="15">
        <v>10.95</v>
      </c>
      <c r="F553">
        <v>0</v>
      </c>
      <c r="G553">
        <v>3</v>
      </c>
    </row>
    <row r="554" spans="1:7" x14ac:dyDescent="0.25">
      <c r="A554">
        <v>200003535</v>
      </c>
      <c r="B554" t="s">
        <v>1000</v>
      </c>
      <c r="C554" t="s">
        <v>9</v>
      </c>
      <c r="D554">
        <v>0</v>
      </c>
      <c r="E554" s="15">
        <v>52.39</v>
      </c>
      <c r="F554">
        <v>0</v>
      </c>
      <c r="G554">
        <v>2</v>
      </c>
    </row>
    <row r="555" spans="1:7" x14ac:dyDescent="0.25">
      <c r="A555">
        <v>200002218</v>
      </c>
      <c r="B555" t="s">
        <v>1001</v>
      </c>
      <c r="C555" t="s">
        <v>9</v>
      </c>
      <c r="D555">
        <v>0</v>
      </c>
      <c r="E555" s="15">
        <v>108.86</v>
      </c>
      <c r="F555">
        <v>0</v>
      </c>
      <c r="G555">
        <v>1</v>
      </c>
    </row>
    <row r="556" spans="1:7" x14ac:dyDescent="0.25">
      <c r="A556">
        <v>200002219</v>
      </c>
      <c r="B556" t="s">
        <v>1002</v>
      </c>
      <c r="C556" t="s">
        <v>9</v>
      </c>
      <c r="D556">
        <v>0.16</v>
      </c>
      <c r="E556" s="15">
        <v>397.35</v>
      </c>
      <c r="F556">
        <v>0</v>
      </c>
      <c r="G556">
        <v>1</v>
      </c>
    </row>
    <row r="557" spans="1:7" x14ac:dyDescent="0.25">
      <c r="A557">
        <v>200002220</v>
      </c>
      <c r="B557" t="s">
        <v>1003</v>
      </c>
      <c r="C557" t="s">
        <v>9</v>
      </c>
      <c r="D557">
        <v>0.08</v>
      </c>
      <c r="E557" s="15">
        <v>256.35000000000002</v>
      </c>
      <c r="F557">
        <v>0</v>
      </c>
      <c r="G557">
        <v>1</v>
      </c>
    </row>
    <row r="558" spans="1:7" x14ac:dyDescent="0.25">
      <c r="A558">
        <v>200002823</v>
      </c>
      <c r="B558" t="s">
        <v>1004</v>
      </c>
      <c r="C558" t="s">
        <v>9</v>
      </c>
      <c r="D558">
        <v>0</v>
      </c>
      <c r="E558" s="15">
        <v>150</v>
      </c>
      <c r="F558">
        <v>0</v>
      </c>
      <c r="G558">
        <v>2</v>
      </c>
    </row>
    <row r="559" spans="1:7" x14ac:dyDescent="0.25">
      <c r="A559">
        <v>200005231</v>
      </c>
      <c r="B559" t="s">
        <v>1007</v>
      </c>
      <c r="C559" t="s">
        <v>9</v>
      </c>
      <c r="D559">
        <v>1.83</v>
      </c>
      <c r="E559" s="15">
        <v>172.68</v>
      </c>
      <c r="F559">
        <v>0</v>
      </c>
      <c r="G559">
        <v>4</v>
      </c>
    </row>
    <row r="560" spans="1:7" x14ac:dyDescent="0.25">
      <c r="A560">
        <v>200003671</v>
      </c>
      <c r="B560" t="s">
        <v>1009</v>
      </c>
      <c r="C560" t="s">
        <v>9</v>
      </c>
      <c r="D560">
        <v>1.5</v>
      </c>
      <c r="E560" s="15">
        <v>300.89999999999998</v>
      </c>
      <c r="F560">
        <v>0</v>
      </c>
      <c r="G560">
        <v>7</v>
      </c>
    </row>
    <row r="561" spans="1:7" x14ac:dyDescent="0.25">
      <c r="A561">
        <v>200003672</v>
      </c>
      <c r="B561" t="s">
        <v>1010</v>
      </c>
      <c r="C561" t="s">
        <v>9</v>
      </c>
      <c r="D561">
        <v>0.91</v>
      </c>
      <c r="E561" s="15">
        <v>0</v>
      </c>
      <c r="F561">
        <v>0</v>
      </c>
      <c r="G561">
        <v>0</v>
      </c>
    </row>
    <row r="562" spans="1:7" x14ac:dyDescent="0.25">
      <c r="A562">
        <v>200004946</v>
      </c>
      <c r="B562" t="s">
        <v>1011</v>
      </c>
      <c r="C562" t="s">
        <v>9</v>
      </c>
      <c r="D562">
        <v>0</v>
      </c>
      <c r="E562" s="15">
        <v>132</v>
      </c>
      <c r="F562">
        <v>0</v>
      </c>
      <c r="G562">
        <v>2</v>
      </c>
    </row>
    <row r="563" spans="1:7" x14ac:dyDescent="0.25">
      <c r="A563">
        <v>200004133</v>
      </c>
      <c r="B563" t="s">
        <v>1014</v>
      </c>
      <c r="C563" t="s">
        <v>9</v>
      </c>
      <c r="D563">
        <v>0</v>
      </c>
      <c r="E563" s="15">
        <v>0</v>
      </c>
      <c r="F563">
        <v>0</v>
      </c>
      <c r="G563">
        <v>0</v>
      </c>
    </row>
    <row r="564" spans="1:7" x14ac:dyDescent="0.25">
      <c r="A564">
        <v>200001042</v>
      </c>
      <c r="B564" t="s">
        <v>1019</v>
      </c>
      <c r="C564" t="s">
        <v>9</v>
      </c>
      <c r="D564">
        <v>0</v>
      </c>
      <c r="E564" s="15">
        <v>0</v>
      </c>
      <c r="F564">
        <v>0</v>
      </c>
      <c r="G564">
        <v>0</v>
      </c>
    </row>
    <row r="565" spans="1:7" x14ac:dyDescent="0.25">
      <c r="A565">
        <v>200002221</v>
      </c>
      <c r="B565" t="s">
        <v>1021</v>
      </c>
      <c r="C565" t="s">
        <v>9</v>
      </c>
      <c r="D565">
        <v>0</v>
      </c>
      <c r="E565" s="15">
        <v>0</v>
      </c>
      <c r="F565">
        <v>0</v>
      </c>
      <c r="G565">
        <v>0</v>
      </c>
    </row>
    <row r="566" spans="1:7" x14ac:dyDescent="0.25">
      <c r="A566">
        <v>200000677</v>
      </c>
      <c r="B566" t="s">
        <v>1022</v>
      </c>
      <c r="C566" t="s">
        <v>9</v>
      </c>
      <c r="D566">
        <v>0</v>
      </c>
      <c r="E566" s="15">
        <v>0</v>
      </c>
      <c r="F566">
        <v>0</v>
      </c>
      <c r="G566">
        <v>0</v>
      </c>
    </row>
    <row r="567" spans="1:7" x14ac:dyDescent="0.25">
      <c r="A567">
        <v>200000678</v>
      </c>
      <c r="B567" t="s">
        <v>1023</v>
      </c>
      <c r="C567" t="s">
        <v>9</v>
      </c>
      <c r="D567">
        <v>0</v>
      </c>
      <c r="E567" s="15">
        <v>0</v>
      </c>
      <c r="F567">
        <v>0</v>
      </c>
      <c r="G567">
        <v>0</v>
      </c>
    </row>
    <row r="568" spans="1:7" x14ac:dyDescent="0.25">
      <c r="A568">
        <v>200001583</v>
      </c>
      <c r="B568" t="s">
        <v>1025</v>
      </c>
      <c r="C568" t="s">
        <v>9</v>
      </c>
      <c r="D568">
        <v>0</v>
      </c>
      <c r="E568" s="15">
        <v>0</v>
      </c>
      <c r="F568">
        <v>0</v>
      </c>
      <c r="G568">
        <v>0</v>
      </c>
    </row>
    <row r="569" spans="1:7" x14ac:dyDescent="0.25">
      <c r="A569">
        <v>200002224</v>
      </c>
      <c r="B569" t="s">
        <v>1026</v>
      </c>
      <c r="C569" t="s">
        <v>9</v>
      </c>
      <c r="D569">
        <v>1.1599999999999999</v>
      </c>
      <c r="E569" s="15">
        <v>87.8</v>
      </c>
      <c r="F569">
        <v>0</v>
      </c>
      <c r="G569">
        <v>5</v>
      </c>
    </row>
    <row r="570" spans="1:7" x14ac:dyDescent="0.25">
      <c r="A570">
        <v>200002222</v>
      </c>
      <c r="B570" t="s">
        <v>1027</v>
      </c>
      <c r="C570" t="s">
        <v>9</v>
      </c>
      <c r="D570">
        <v>0</v>
      </c>
      <c r="E570" s="15">
        <v>0</v>
      </c>
      <c r="F570">
        <v>0</v>
      </c>
      <c r="G570">
        <v>0</v>
      </c>
    </row>
    <row r="571" spans="1:7" x14ac:dyDescent="0.25">
      <c r="A571">
        <v>200002340</v>
      </c>
      <c r="B571" t="s">
        <v>1029</v>
      </c>
      <c r="C571" t="s">
        <v>9</v>
      </c>
      <c r="D571">
        <v>0</v>
      </c>
      <c r="E571" s="15">
        <v>0</v>
      </c>
      <c r="F571">
        <v>0</v>
      </c>
      <c r="G571">
        <v>0</v>
      </c>
    </row>
    <row r="572" spans="1:7" x14ac:dyDescent="0.25">
      <c r="A572">
        <v>200000682</v>
      </c>
      <c r="B572" t="s">
        <v>1033</v>
      </c>
      <c r="C572" t="s">
        <v>9</v>
      </c>
      <c r="D572">
        <v>2.33</v>
      </c>
      <c r="E572" s="15">
        <v>2.25</v>
      </c>
      <c r="F572">
        <v>0</v>
      </c>
      <c r="G572">
        <v>3</v>
      </c>
    </row>
    <row r="573" spans="1:7" x14ac:dyDescent="0.25">
      <c r="A573">
        <v>200000683</v>
      </c>
      <c r="B573" t="s">
        <v>1035</v>
      </c>
      <c r="C573" t="s">
        <v>9</v>
      </c>
      <c r="D573">
        <v>3.33</v>
      </c>
      <c r="E573" s="15">
        <v>4.8099999999999996</v>
      </c>
      <c r="F573">
        <v>0</v>
      </c>
      <c r="G573">
        <v>13</v>
      </c>
    </row>
    <row r="574" spans="1:7" x14ac:dyDescent="0.25">
      <c r="A574">
        <v>200001642</v>
      </c>
      <c r="B574" t="s">
        <v>1036</v>
      </c>
      <c r="C574" t="s">
        <v>9</v>
      </c>
      <c r="D574">
        <v>0.66</v>
      </c>
      <c r="E574" s="15">
        <v>6.91</v>
      </c>
      <c r="F574">
        <v>0</v>
      </c>
      <c r="G574">
        <v>9</v>
      </c>
    </row>
    <row r="575" spans="1:7" x14ac:dyDescent="0.25">
      <c r="A575">
        <v>200003673</v>
      </c>
      <c r="B575" t="s">
        <v>1045</v>
      </c>
      <c r="C575" t="s">
        <v>9</v>
      </c>
      <c r="D575">
        <v>0.75</v>
      </c>
      <c r="E575" s="15">
        <v>19.670000000000002</v>
      </c>
      <c r="F575">
        <v>0</v>
      </c>
      <c r="G575">
        <v>5</v>
      </c>
    </row>
    <row r="576" spans="1:7" x14ac:dyDescent="0.25">
      <c r="A576">
        <v>200003665</v>
      </c>
      <c r="B576" t="s">
        <v>1048</v>
      </c>
      <c r="C576" t="s">
        <v>9</v>
      </c>
      <c r="D576">
        <v>0</v>
      </c>
      <c r="E576" s="15">
        <v>37.25</v>
      </c>
      <c r="F576">
        <v>0</v>
      </c>
      <c r="G576">
        <v>2</v>
      </c>
    </row>
    <row r="577" spans="1:7" x14ac:dyDescent="0.25">
      <c r="A577">
        <v>200003666</v>
      </c>
      <c r="B577" t="s">
        <v>1049</v>
      </c>
      <c r="C577" t="s">
        <v>9</v>
      </c>
      <c r="D577">
        <v>0</v>
      </c>
      <c r="E577" s="15">
        <v>66.05</v>
      </c>
      <c r="F577">
        <v>0</v>
      </c>
      <c r="G577">
        <v>9</v>
      </c>
    </row>
    <row r="578" spans="1:7" x14ac:dyDescent="0.25">
      <c r="A578">
        <v>200003667</v>
      </c>
      <c r="B578" t="s">
        <v>1050</v>
      </c>
      <c r="C578" t="s">
        <v>9</v>
      </c>
      <c r="D578">
        <v>0</v>
      </c>
      <c r="E578" s="15">
        <v>32.15</v>
      </c>
      <c r="F578">
        <v>0</v>
      </c>
      <c r="G578">
        <v>9</v>
      </c>
    </row>
    <row r="579" spans="1:7" x14ac:dyDescent="0.25">
      <c r="A579">
        <v>200003668</v>
      </c>
      <c r="B579" t="s">
        <v>1051</v>
      </c>
      <c r="C579" t="s">
        <v>9</v>
      </c>
      <c r="D579">
        <v>0</v>
      </c>
      <c r="E579" s="15">
        <v>0</v>
      </c>
      <c r="F579">
        <v>0</v>
      </c>
      <c r="G579">
        <v>0</v>
      </c>
    </row>
    <row r="580" spans="1:7" x14ac:dyDescent="0.25">
      <c r="A580">
        <v>200003669</v>
      </c>
      <c r="B580" t="s">
        <v>1052</v>
      </c>
      <c r="C580" t="s">
        <v>9</v>
      </c>
      <c r="D580">
        <v>0</v>
      </c>
      <c r="E580" s="15">
        <v>66.3</v>
      </c>
      <c r="F580">
        <v>0</v>
      </c>
      <c r="G580">
        <v>5</v>
      </c>
    </row>
    <row r="581" spans="1:7" x14ac:dyDescent="0.25">
      <c r="A581">
        <v>200003670</v>
      </c>
      <c r="B581" t="s">
        <v>1053</v>
      </c>
      <c r="C581" t="s">
        <v>9</v>
      </c>
      <c r="D581">
        <v>0</v>
      </c>
      <c r="E581" s="15">
        <v>0</v>
      </c>
      <c r="F581">
        <v>0</v>
      </c>
      <c r="G581">
        <v>0</v>
      </c>
    </row>
    <row r="582" spans="1:7" x14ac:dyDescent="0.25">
      <c r="A582">
        <v>200002040</v>
      </c>
      <c r="B582" t="s">
        <v>1063</v>
      </c>
      <c r="C582" t="s">
        <v>9</v>
      </c>
      <c r="D582">
        <v>0</v>
      </c>
      <c r="E582" s="15">
        <v>59.09</v>
      </c>
      <c r="F582">
        <v>0</v>
      </c>
      <c r="G582">
        <v>2</v>
      </c>
    </row>
    <row r="583" spans="1:7" x14ac:dyDescent="0.25">
      <c r="A583">
        <v>200001587</v>
      </c>
      <c r="B583" t="s">
        <v>1064</v>
      </c>
      <c r="C583" t="s">
        <v>9</v>
      </c>
      <c r="D583">
        <v>0.16</v>
      </c>
      <c r="E583" s="15">
        <v>0</v>
      </c>
      <c r="F583">
        <v>0</v>
      </c>
      <c r="G583">
        <v>0</v>
      </c>
    </row>
    <row r="584" spans="1:7" x14ac:dyDescent="0.25">
      <c r="A584">
        <v>200000686</v>
      </c>
      <c r="B584" t="s">
        <v>1065</v>
      </c>
      <c r="C584" t="s">
        <v>9</v>
      </c>
      <c r="D584">
        <v>0.16</v>
      </c>
      <c r="E584" s="15">
        <v>18.260000000000002</v>
      </c>
      <c r="F584">
        <v>0</v>
      </c>
      <c r="G584">
        <v>3</v>
      </c>
    </row>
    <row r="585" spans="1:7" x14ac:dyDescent="0.25">
      <c r="A585">
        <v>200001585</v>
      </c>
      <c r="B585" t="s">
        <v>1067</v>
      </c>
      <c r="C585" t="s">
        <v>9</v>
      </c>
      <c r="D585">
        <v>0.75</v>
      </c>
      <c r="E585" s="15">
        <v>0</v>
      </c>
      <c r="F585">
        <v>0</v>
      </c>
      <c r="G585">
        <v>0</v>
      </c>
    </row>
    <row r="586" spans="1:7" x14ac:dyDescent="0.25">
      <c r="A586">
        <v>200001586</v>
      </c>
      <c r="B586" t="s">
        <v>1069</v>
      </c>
      <c r="C586" t="s">
        <v>9</v>
      </c>
      <c r="D586">
        <v>0</v>
      </c>
      <c r="E586" s="15">
        <v>22.3</v>
      </c>
      <c r="F586">
        <v>0</v>
      </c>
      <c r="G586">
        <v>1</v>
      </c>
    </row>
    <row r="587" spans="1:7" x14ac:dyDescent="0.25">
      <c r="A587">
        <v>200000687</v>
      </c>
      <c r="B587" t="s">
        <v>1054</v>
      </c>
      <c r="C587" t="s">
        <v>9</v>
      </c>
      <c r="D587">
        <v>0</v>
      </c>
      <c r="E587" s="15">
        <v>0</v>
      </c>
      <c r="F587">
        <v>0</v>
      </c>
      <c r="G587">
        <v>0</v>
      </c>
    </row>
    <row r="588" spans="1:7" x14ac:dyDescent="0.25">
      <c r="A588">
        <v>200002043</v>
      </c>
      <c r="B588" t="s">
        <v>1055</v>
      </c>
      <c r="C588" t="s">
        <v>9</v>
      </c>
      <c r="D588">
        <v>0</v>
      </c>
      <c r="E588" s="15">
        <v>0</v>
      </c>
      <c r="F588">
        <v>0</v>
      </c>
      <c r="G588">
        <v>0</v>
      </c>
    </row>
    <row r="589" spans="1:7" x14ac:dyDescent="0.25">
      <c r="A589">
        <v>200001046</v>
      </c>
      <c r="B589" t="s">
        <v>1056</v>
      </c>
      <c r="C589" t="s">
        <v>9</v>
      </c>
      <c r="D589">
        <v>0</v>
      </c>
      <c r="E589" s="15">
        <v>0</v>
      </c>
      <c r="F589">
        <v>0</v>
      </c>
      <c r="G589">
        <v>0</v>
      </c>
    </row>
    <row r="590" spans="1:7" x14ac:dyDescent="0.25">
      <c r="A590">
        <v>200002045</v>
      </c>
      <c r="B590" t="s">
        <v>1058</v>
      </c>
      <c r="C590" t="s">
        <v>9</v>
      </c>
      <c r="D590">
        <v>0</v>
      </c>
      <c r="E590" s="15">
        <v>0</v>
      </c>
      <c r="F590">
        <v>0</v>
      </c>
      <c r="G590">
        <v>0</v>
      </c>
    </row>
    <row r="591" spans="1:7" x14ac:dyDescent="0.25">
      <c r="A591">
        <v>200002047</v>
      </c>
      <c r="B591" t="s">
        <v>1060</v>
      </c>
      <c r="C591" t="s">
        <v>9</v>
      </c>
      <c r="D591">
        <v>0</v>
      </c>
      <c r="E591" s="15">
        <v>0</v>
      </c>
      <c r="F591">
        <v>0</v>
      </c>
      <c r="G591">
        <v>0</v>
      </c>
    </row>
    <row r="592" spans="1:7" x14ac:dyDescent="0.25">
      <c r="A592">
        <v>200003580</v>
      </c>
      <c r="B592" t="s">
        <v>1061</v>
      </c>
      <c r="C592" t="s">
        <v>9</v>
      </c>
      <c r="D592">
        <v>0</v>
      </c>
      <c r="E592" s="15">
        <v>0</v>
      </c>
      <c r="F592">
        <v>0</v>
      </c>
      <c r="G592">
        <v>0</v>
      </c>
    </row>
    <row r="593" spans="1:7" x14ac:dyDescent="0.25">
      <c r="A593">
        <v>200003581</v>
      </c>
      <c r="B593" t="s">
        <v>1062</v>
      </c>
      <c r="C593" t="s">
        <v>9</v>
      </c>
      <c r="D593">
        <v>0</v>
      </c>
      <c r="E593" s="15">
        <v>119.13</v>
      </c>
      <c r="F593">
        <v>0</v>
      </c>
      <c r="G593">
        <v>1</v>
      </c>
    </row>
    <row r="594" spans="1:7" x14ac:dyDescent="0.25">
      <c r="A594">
        <v>200002351</v>
      </c>
      <c r="B594" t="s">
        <v>1079</v>
      </c>
      <c r="C594" t="s">
        <v>9</v>
      </c>
      <c r="D594">
        <v>0</v>
      </c>
      <c r="E594" s="15">
        <v>26</v>
      </c>
      <c r="F594">
        <v>0</v>
      </c>
      <c r="G594">
        <v>1</v>
      </c>
    </row>
    <row r="595" spans="1:7" x14ac:dyDescent="0.25">
      <c r="A595">
        <v>200002352</v>
      </c>
      <c r="B595" t="s">
        <v>1080</v>
      </c>
      <c r="C595" t="s">
        <v>9</v>
      </c>
      <c r="D595">
        <v>0.33</v>
      </c>
      <c r="E595" s="15">
        <v>30.11</v>
      </c>
      <c r="F595">
        <v>0</v>
      </c>
      <c r="G595">
        <v>1</v>
      </c>
    </row>
    <row r="596" spans="1:7" x14ac:dyDescent="0.25">
      <c r="A596">
        <v>200003623</v>
      </c>
      <c r="B596" t="s">
        <v>1081</v>
      </c>
      <c r="C596" t="s">
        <v>9</v>
      </c>
      <c r="D596">
        <v>0.08</v>
      </c>
      <c r="E596" s="15">
        <v>6.24</v>
      </c>
      <c r="F596">
        <v>0</v>
      </c>
      <c r="G596">
        <v>8</v>
      </c>
    </row>
    <row r="597" spans="1:7" x14ac:dyDescent="0.25">
      <c r="A597">
        <v>200003657</v>
      </c>
      <c r="B597" t="s">
        <v>1082</v>
      </c>
      <c r="C597" t="s">
        <v>9</v>
      </c>
      <c r="D597">
        <v>0.08</v>
      </c>
      <c r="E597" s="15">
        <v>15.84</v>
      </c>
      <c r="F597">
        <v>0</v>
      </c>
      <c r="G597">
        <v>1</v>
      </c>
    </row>
    <row r="598" spans="1:7" x14ac:dyDescent="0.25">
      <c r="A598">
        <v>200003658</v>
      </c>
      <c r="B598" t="s">
        <v>1083</v>
      </c>
      <c r="C598" t="s">
        <v>9</v>
      </c>
      <c r="D598">
        <v>0</v>
      </c>
      <c r="E598" s="15">
        <v>0</v>
      </c>
      <c r="F598">
        <v>0</v>
      </c>
      <c r="G598">
        <v>0</v>
      </c>
    </row>
    <row r="599" spans="1:7" x14ac:dyDescent="0.25">
      <c r="A599">
        <v>200003659</v>
      </c>
      <c r="B599" t="s">
        <v>1084</v>
      </c>
      <c r="C599" t="s">
        <v>9</v>
      </c>
      <c r="D599">
        <v>0</v>
      </c>
      <c r="E599" s="15">
        <v>2.7</v>
      </c>
      <c r="F599">
        <v>0</v>
      </c>
      <c r="G599">
        <v>9</v>
      </c>
    </row>
    <row r="600" spans="1:7" x14ac:dyDescent="0.25">
      <c r="A600">
        <v>200003660</v>
      </c>
      <c r="B600" t="s">
        <v>1085</v>
      </c>
      <c r="C600" t="s">
        <v>9</v>
      </c>
      <c r="D600">
        <v>0</v>
      </c>
      <c r="E600" s="15">
        <v>23.39</v>
      </c>
      <c r="F600">
        <v>0</v>
      </c>
      <c r="G600">
        <v>5</v>
      </c>
    </row>
    <row r="601" spans="1:7" x14ac:dyDescent="0.25">
      <c r="A601">
        <v>200003661</v>
      </c>
      <c r="B601" t="s">
        <v>1086</v>
      </c>
      <c r="C601" t="s">
        <v>9</v>
      </c>
      <c r="D601">
        <v>0</v>
      </c>
      <c r="E601" s="15">
        <v>0</v>
      </c>
      <c r="F601">
        <v>0</v>
      </c>
      <c r="G601">
        <v>0</v>
      </c>
    </row>
    <row r="602" spans="1:7" x14ac:dyDescent="0.25">
      <c r="A602">
        <v>200003604</v>
      </c>
      <c r="B602" t="s">
        <v>1087</v>
      </c>
      <c r="C602" t="s">
        <v>9</v>
      </c>
      <c r="D602">
        <v>0</v>
      </c>
      <c r="E602" s="15">
        <v>3.35</v>
      </c>
      <c r="F602">
        <v>0</v>
      </c>
      <c r="G602">
        <v>8</v>
      </c>
    </row>
    <row r="603" spans="1:7" x14ac:dyDescent="0.25">
      <c r="A603">
        <v>200003605</v>
      </c>
      <c r="B603" t="s">
        <v>1088</v>
      </c>
      <c r="C603" t="s">
        <v>9</v>
      </c>
      <c r="D603">
        <v>0.33</v>
      </c>
      <c r="E603" s="15">
        <v>9.4</v>
      </c>
      <c r="F603">
        <v>0</v>
      </c>
      <c r="G603">
        <v>2</v>
      </c>
    </row>
    <row r="604" spans="1:7" x14ac:dyDescent="0.25">
      <c r="A604">
        <v>200001047</v>
      </c>
      <c r="B604" t="s">
        <v>1089</v>
      </c>
      <c r="C604" t="s">
        <v>9</v>
      </c>
      <c r="D604">
        <v>0</v>
      </c>
      <c r="E604" s="15">
        <v>0</v>
      </c>
      <c r="F604">
        <v>0</v>
      </c>
      <c r="G604">
        <v>0</v>
      </c>
    </row>
    <row r="605" spans="1:7" x14ac:dyDescent="0.25">
      <c r="A605">
        <v>200003606</v>
      </c>
      <c r="B605" t="s">
        <v>1090</v>
      </c>
      <c r="C605" t="s">
        <v>9</v>
      </c>
      <c r="D605">
        <v>0</v>
      </c>
      <c r="E605" s="15">
        <v>10.36</v>
      </c>
      <c r="F605">
        <v>0</v>
      </c>
      <c r="G605">
        <v>7</v>
      </c>
    </row>
    <row r="606" spans="1:7" x14ac:dyDescent="0.25">
      <c r="A606">
        <v>200003607</v>
      </c>
      <c r="B606" t="s">
        <v>1091</v>
      </c>
      <c r="C606" t="s">
        <v>9</v>
      </c>
      <c r="D606">
        <v>0</v>
      </c>
      <c r="E606" s="15">
        <v>173</v>
      </c>
      <c r="F606">
        <v>0</v>
      </c>
      <c r="G606">
        <v>2</v>
      </c>
    </row>
    <row r="607" spans="1:7" x14ac:dyDescent="0.25">
      <c r="A607">
        <v>200003608</v>
      </c>
      <c r="B607" t="s">
        <v>1092</v>
      </c>
      <c r="C607" t="s">
        <v>9</v>
      </c>
      <c r="D607">
        <v>0</v>
      </c>
      <c r="E607" s="15">
        <v>211</v>
      </c>
      <c r="F607">
        <v>0</v>
      </c>
      <c r="G607">
        <v>1</v>
      </c>
    </row>
    <row r="608" spans="1:7" x14ac:dyDescent="0.25">
      <c r="A608">
        <v>200003620</v>
      </c>
      <c r="B608" t="s">
        <v>1113</v>
      </c>
      <c r="C608" t="s">
        <v>9</v>
      </c>
      <c r="D608">
        <v>0</v>
      </c>
      <c r="E608" s="15">
        <v>0</v>
      </c>
      <c r="F608">
        <v>0</v>
      </c>
      <c r="G608">
        <v>0</v>
      </c>
    </row>
    <row r="609" spans="1:7" x14ac:dyDescent="0.25">
      <c r="A609">
        <v>200003621</v>
      </c>
      <c r="B609" t="s">
        <v>1114</v>
      </c>
      <c r="C609" t="s">
        <v>9</v>
      </c>
      <c r="D609">
        <v>0</v>
      </c>
      <c r="E609" s="15">
        <v>0</v>
      </c>
      <c r="F609">
        <v>0</v>
      </c>
      <c r="G609">
        <v>0</v>
      </c>
    </row>
    <row r="610" spans="1:7" x14ac:dyDescent="0.25">
      <c r="A610">
        <v>200000701</v>
      </c>
      <c r="B610" t="s">
        <v>1115</v>
      </c>
      <c r="C610" t="s">
        <v>9</v>
      </c>
      <c r="D610">
        <v>0.41</v>
      </c>
      <c r="E610" s="15">
        <v>110</v>
      </c>
      <c r="F610">
        <v>0</v>
      </c>
      <c r="G610">
        <v>2</v>
      </c>
    </row>
    <row r="611" spans="1:7" x14ac:dyDescent="0.25">
      <c r="A611">
        <v>200001048</v>
      </c>
      <c r="B611" t="s">
        <v>1116</v>
      </c>
      <c r="C611" t="s">
        <v>9</v>
      </c>
      <c r="D611">
        <v>0</v>
      </c>
      <c r="E611" s="15">
        <v>0</v>
      </c>
      <c r="F611">
        <v>0</v>
      </c>
      <c r="G611">
        <v>0</v>
      </c>
    </row>
    <row r="612" spans="1:7" x14ac:dyDescent="0.25">
      <c r="A612">
        <v>200000698</v>
      </c>
      <c r="B612" t="s">
        <v>1117</v>
      </c>
      <c r="C612" t="s">
        <v>9</v>
      </c>
      <c r="D612">
        <v>0</v>
      </c>
      <c r="E612" s="15">
        <v>0</v>
      </c>
      <c r="F612">
        <v>0</v>
      </c>
      <c r="G612">
        <v>0</v>
      </c>
    </row>
    <row r="613" spans="1:7" x14ac:dyDescent="0.25">
      <c r="A613">
        <v>200000700</v>
      </c>
      <c r="B613" t="s">
        <v>1119</v>
      </c>
      <c r="C613" t="s">
        <v>9</v>
      </c>
      <c r="D613">
        <v>0.57999999999999996</v>
      </c>
      <c r="E613" s="15">
        <v>0</v>
      </c>
      <c r="F613">
        <v>0</v>
      </c>
      <c r="G613">
        <v>0</v>
      </c>
    </row>
    <row r="614" spans="1:7" x14ac:dyDescent="0.25">
      <c r="A614">
        <v>200000699</v>
      </c>
      <c r="B614" t="s">
        <v>1120</v>
      </c>
      <c r="C614" t="s">
        <v>9</v>
      </c>
      <c r="D614">
        <v>0</v>
      </c>
      <c r="E614" s="15">
        <v>0</v>
      </c>
      <c r="F614">
        <v>0</v>
      </c>
      <c r="G614">
        <v>0</v>
      </c>
    </row>
    <row r="615" spans="1:7" x14ac:dyDescent="0.25">
      <c r="A615">
        <v>200002227</v>
      </c>
      <c r="B615" t="s">
        <v>1122</v>
      </c>
      <c r="C615" t="s">
        <v>9</v>
      </c>
      <c r="D615">
        <v>0.66</v>
      </c>
      <c r="E615" s="15">
        <v>31.69</v>
      </c>
      <c r="F615">
        <v>0</v>
      </c>
      <c r="G615">
        <v>5</v>
      </c>
    </row>
    <row r="616" spans="1:7" x14ac:dyDescent="0.25">
      <c r="A616">
        <v>200001051</v>
      </c>
      <c r="B616" t="s">
        <v>1123</v>
      </c>
      <c r="C616" t="s">
        <v>9</v>
      </c>
      <c r="D616">
        <v>0</v>
      </c>
      <c r="E616" s="15">
        <v>58</v>
      </c>
      <c r="F616">
        <v>0</v>
      </c>
      <c r="G616">
        <v>4</v>
      </c>
    </row>
    <row r="617" spans="1:7" x14ac:dyDescent="0.25">
      <c r="A617">
        <v>200003703</v>
      </c>
      <c r="B617" t="s">
        <v>1124</v>
      </c>
      <c r="C617" t="s">
        <v>9</v>
      </c>
      <c r="D617">
        <v>0</v>
      </c>
      <c r="E617" s="15">
        <v>60.64</v>
      </c>
      <c r="F617">
        <v>0</v>
      </c>
      <c r="G617">
        <v>5</v>
      </c>
    </row>
    <row r="618" spans="1:7" x14ac:dyDescent="0.25">
      <c r="A618">
        <v>200003684</v>
      </c>
      <c r="B618" t="s">
        <v>1125</v>
      </c>
      <c r="C618" t="s">
        <v>9</v>
      </c>
      <c r="D618">
        <v>0</v>
      </c>
      <c r="E618" s="15">
        <v>22.11</v>
      </c>
      <c r="F618">
        <v>0</v>
      </c>
      <c r="G618">
        <v>5</v>
      </c>
    </row>
    <row r="619" spans="1:7" x14ac:dyDescent="0.25">
      <c r="A619">
        <v>200003683</v>
      </c>
      <c r="B619" t="s">
        <v>1128</v>
      </c>
      <c r="C619" t="s">
        <v>9</v>
      </c>
      <c r="D619">
        <v>0</v>
      </c>
      <c r="E619" s="15">
        <v>39.69</v>
      </c>
      <c r="F619">
        <v>0</v>
      </c>
      <c r="G619">
        <v>3</v>
      </c>
    </row>
    <row r="620" spans="1:7" x14ac:dyDescent="0.25">
      <c r="A620">
        <v>200003685</v>
      </c>
      <c r="B620" t="s">
        <v>1129</v>
      </c>
      <c r="C620" t="s">
        <v>9</v>
      </c>
      <c r="D620">
        <v>0</v>
      </c>
      <c r="E620" s="15">
        <v>16.98</v>
      </c>
      <c r="F620">
        <v>0</v>
      </c>
      <c r="G620">
        <v>3</v>
      </c>
    </row>
    <row r="621" spans="1:7" x14ac:dyDescent="0.25">
      <c r="A621">
        <v>200001590</v>
      </c>
      <c r="B621" t="s">
        <v>1130</v>
      </c>
      <c r="C621" t="s">
        <v>9</v>
      </c>
      <c r="D621">
        <v>0</v>
      </c>
      <c r="E621" s="15">
        <v>210</v>
      </c>
      <c r="F621">
        <v>0</v>
      </c>
      <c r="G621">
        <v>2</v>
      </c>
    </row>
    <row r="622" spans="1:7" x14ac:dyDescent="0.25">
      <c r="A622">
        <v>200001050</v>
      </c>
      <c r="B622" t="s">
        <v>1131</v>
      </c>
      <c r="C622" t="s">
        <v>9</v>
      </c>
      <c r="D622">
        <v>0</v>
      </c>
      <c r="E622" s="15">
        <v>58.9</v>
      </c>
      <c r="F622">
        <v>0</v>
      </c>
      <c r="G622">
        <v>5</v>
      </c>
    </row>
    <row r="623" spans="1:7" x14ac:dyDescent="0.25">
      <c r="A623">
        <v>200001049</v>
      </c>
      <c r="B623" t="s">
        <v>1132</v>
      </c>
      <c r="C623" t="s">
        <v>9</v>
      </c>
      <c r="D623">
        <v>0.08</v>
      </c>
      <c r="E623" s="15">
        <v>28.12</v>
      </c>
      <c r="F623">
        <v>0</v>
      </c>
      <c r="G623">
        <v>2</v>
      </c>
    </row>
    <row r="624" spans="1:7" x14ac:dyDescent="0.25">
      <c r="A624">
        <v>200002226</v>
      </c>
      <c r="B624" t="s">
        <v>1133</v>
      </c>
      <c r="C624" t="s">
        <v>9</v>
      </c>
      <c r="D624">
        <v>1.33</v>
      </c>
      <c r="E624" s="15">
        <v>22.39</v>
      </c>
      <c r="F624">
        <v>0</v>
      </c>
      <c r="G624">
        <v>3</v>
      </c>
    </row>
    <row r="625" spans="1:7" x14ac:dyDescent="0.25">
      <c r="A625">
        <v>200001052</v>
      </c>
      <c r="B625" t="s">
        <v>1136</v>
      </c>
      <c r="C625" t="s">
        <v>9</v>
      </c>
      <c r="D625">
        <v>0</v>
      </c>
      <c r="E625" s="15">
        <v>47.59</v>
      </c>
      <c r="F625">
        <v>0</v>
      </c>
      <c r="G625">
        <v>5</v>
      </c>
    </row>
    <row r="626" spans="1:7" x14ac:dyDescent="0.25">
      <c r="A626">
        <v>200003682</v>
      </c>
      <c r="B626" t="s">
        <v>1137</v>
      </c>
      <c r="C626" t="s">
        <v>9</v>
      </c>
      <c r="D626">
        <v>0.08</v>
      </c>
      <c r="E626" s="15">
        <v>125.39</v>
      </c>
      <c r="F626">
        <v>0</v>
      </c>
      <c r="G626">
        <v>2</v>
      </c>
    </row>
    <row r="627" spans="1:7" x14ac:dyDescent="0.25">
      <c r="A627">
        <v>200003622</v>
      </c>
      <c r="B627" t="s">
        <v>1138</v>
      </c>
      <c r="C627" t="s">
        <v>9</v>
      </c>
      <c r="D627">
        <v>0</v>
      </c>
      <c r="E627" s="15">
        <v>268</v>
      </c>
      <c r="F627">
        <v>0</v>
      </c>
      <c r="G627">
        <v>1</v>
      </c>
    </row>
    <row r="628" spans="1:7" x14ac:dyDescent="0.25">
      <c r="A628">
        <v>200002060</v>
      </c>
      <c r="B628" t="s">
        <v>1095</v>
      </c>
      <c r="C628" t="s">
        <v>9</v>
      </c>
      <c r="D628">
        <v>0.75</v>
      </c>
      <c r="E628" s="15">
        <v>7.75</v>
      </c>
      <c r="F628">
        <v>0</v>
      </c>
      <c r="G628">
        <v>9</v>
      </c>
    </row>
    <row r="629" spans="1:7" x14ac:dyDescent="0.25">
      <c r="A629">
        <v>200001344</v>
      </c>
      <c r="B629" t="s">
        <v>1096</v>
      </c>
      <c r="C629" t="s">
        <v>9</v>
      </c>
      <c r="D629">
        <v>0</v>
      </c>
      <c r="E629" s="15">
        <v>87.65</v>
      </c>
      <c r="F629">
        <v>0</v>
      </c>
      <c r="G629">
        <v>3</v>
      </c>
    </row>
    <row r="630" spans="1:7" x14ac:dyDescent="0.25">
      <c r="A630">
        <v>200002228</v>
      </c>
      <c r="B630" t="s">
        <v>1097</v>
      </c>
      <c r="C630" t="s">
        <v>9</v>
      </c>
      <c r="D630">
        <v>0.33</v>
      </c>
      <c r="E630" s="15">
        <v>33.44</v>
      </c>
      <c r="F630">
        <v>0</v>
      </c>
      <c r="G630">
        <v>21</v>
      </c>
    </row>
    <row r="631" spans="1:7" x14ac:dyDescent="0.25">
      <c r="A631">
        <v>200002229</v>
      </c>
      <c r="B631" t="s">
        <v>1098</v>
      </c>
      <c r="C631" t="s">
        <v>9</v>
      </c>
      <c r="D631">
        <v>0.33</v>
      </c>
      <c r="E631" s="15">
        <v>24.48</v>
      </c>
      <c r="F631">
        <v>0</v>
      </c>
      <c r="G631">
        <v>9</v>
      </c>
    </row>
    <row r="632" spans="1:7" x14ac:dyDescent="0.25">
      <c r="A632">
        <v>200001627</v>
      </c>
      <c r="B632" t="s">
        <v>1101</v>
      </c>
      <c r="C632" t="s">
        <v>63</v>
      </c>
      <c r="D632">
        <v>0</v>
      </c>
      <c r="E632" s="15">
        <v>0</v>
      </c>
      <c r="F632">
        <v>0</v>
      </c>
      <c r="G632">
        <v>0</v>
      </c>
    </row>
  </sheetData>
  <phoneticPr fontId="1" type="noConversion"/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56" fitToHeight="0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9FCD3-A886-4D4A-A3D7-712151343AD5}">
  <sheetPr codeName="Planilha4"/>
  <dimension ref="A1:H280"/>
  <sheetViews>
    <sheetView topLeftCell="C1" workbookViewId="0">
      <selection activeCell="E13" sqref="E13"/>
    </sheetView>
  </sheetViews>
  <sheetFormatPr defaultRowHeight="15" x14ac:dyDescent="0.25"/>
  <cols>
    <col min="1" max="1" width="20" bestFit="1" customWidth="1"/>
    <col min="2" max="2" width="81.140625" bestFit="1" customWidth="1"/>
    <col min="3" max="3" width="24" bestFit="1" customWidth="1"/>
    <col min="4" max="4" width="81.140625" bestFit="1" customWidth="1"/>
    <col min="5" max="5" width="32.140625" bestFit="1" customWidth="1"/>
    <col min="6" max="6" width="16.42578125" bestFit="1" customWidth="1"/>
    <col min="7" max="7" width="21.5703125" bestFit="1" customWidth="1"/>
    <col min="8" max="8" width="28.140625" customWidth="1"/>
    <col min="9" max="9" width="28.140625" bestFit="1" customWidth="1"/>
  </cols>
  <sheetData>
    <row r="1" spans="1:8" x14ac:dyDescent="0.25">
      <c r="A1" s="1" t="s">
        <v>1148</v>
      </c>
      <c r="B1" s="1" t="s">
        <v>1149</v>
      </c>
      <c r="C1" s="1" t="s">
        <v>1150</v>
      </c>
      <c r="D1" s="1" t="s">
        <v>1151</v>
      </c>
      <c r="E1" s="1" t="s">
        <v>1152</v>
      </c>
      <c r="F1" t="s">
        <v>1153</v>
      </c>
      <c r="G1" s="1" t="s">
        <v>1154</v>
      </c>
      <c r="H1" s="1" t="s">
        <v>1155</v>
      </c>
    </row>
    <row r="2" spans="1:8" x14ac:dyDescent="0.25">
      <c r="A2">
        <v>200000003</v>
      </c>
      <c r="B2" t="s">
        <v>1156</v>
      </c>
      <c r="C2" s="2">
        <v>44364</v>
      </c>
      <c r="D2" t="s">
        <v>1157</v>
      </c>
      <c r="E2">
        <v>0.22</v>
      </c>
      <c r="F2">
        <v>390</v>
      </c>
      <c r="G2">
        <v>150</v>
      </c>
      <c r="H2">
        <v>12.5</v>
      </c>
    </row>
    <row r="3" spans="1:8" x14ac:dyDescent="0.25">
      <c r="A3">
        <v>200000863</v>
      </c>
      <c r="B3" t="s">
        <v>1158</v>
      </c>
      <c r="C3" s="2">
        <v>42122</v>
      </c>
      <c r="D3" t="s">
        <v>1159</v>
      </c>
      <c r="E3">
        <v>0.06</v>
      </c>
      <c r="F3">
        <v>2223</v>
      </c>
      <c r="G3">
        <v>30</v>
      </c>
      <c r="H3">
        <v>2.5</v>
      </c>
    </row>
    <row r="4" spans="1:8" x14ac:dyDescent="0.25">
      <c r="A4">
        <v>200002076</v>
      </c>
      <c r="B4" t="s">
        <v>1160</v>
      </c>
      <c r="C4" s="2">
        <v>44210</v>
      </c>
      <c r="D4" t="s">
        <v>1161</v>
      </c>
      <c r="E4">
        <v>1.45</v>
      </c>
      <c r="F4">
        <v>0</v>
      </c>
      <c r="G4">
        <v>30</v>
      </c>
      <c r="H4">
        <v>2.5</v>
      </c>
    </row>
    <row r="5" spans="1:8" x14ac:dyDescent="0.25">
      <c r="A5">
        <v>200000006</v>
      </c>
      <c r="B5" t="s">
        <v>1162</v>
      </c>
      <c r="C5" s="2">
        <v>44538</v>
      </c>
      <c r="D5" t="s">
        <v>1163</v>
      </c>
      <c r="E5">
        <v>2.63</v>
      </c>
      <c r="F5">
        <v>779</v>
      </c>
      <c r="G5">
        <v>64</v>
      </c>
      <c r="H5">
        <v>5.33</v>
      </c>
    </row>
    <row r="6" spans="1:8" x14ac:dyDescent="0.25">
      <c r="A6">
        <v>200003629</v>
      </c>
      <c r="B6" t="s">
        <v>1164</v>
      </c>
      <c r="C6" s="2">
        <v>44540</v>
      </c>
      <c r="D6" t="s">
        <v>1163</v>
      </c>
      <c r="E6">
        <v>158.02000000000001</v>
      </c>
      <c r="F6">
        <v>32</v>
      </c>
      <c r="G6">
        <v>2</v>
      </c>
      <c r="H6">
        <v>0.16</v>
      </c>
    </row>
    <row r="7" spans="1:8" x14ac:dyDescent="0.25">
      <c r="A7">
        <v>200004676</v>
      </c>
      <c r="B7" t="s">
        <v>20</v>
      </c>
      <c r="C7" s="2">
        <v>44538</v>
      </c>
      <c r="D7" t="s">
        <v>1163</v>
      </c>
      <c r="E7">
        <v>118.68</v>
      </c>
      <c r="F7">
        <v>118</v>
      </c>
      <c r="G7">
        <v>2</v>
      </c>
      <c r="H7">
        <v>0.16</v>
      </c>
    </row>
    <row r="8" spans="1:8" x14ac:dyDescent="0.25">
      <c r="A8">
        <v>200001765</v>
      </c>
      <c r="B8" t="s">
        <v>1165</v>
      </c>
      <c r="C8" s="2">
        <v>44400</v>
      </c>
      <c r="D8" t="s">
        <v>1157</v>
      </c>
      <c r="E8">
        <v>3.41</v>
      </c>
      <c r="F8">
        <v>434</v>
      </c>
      <c r="G8">
        <v>100</v>
      </c>
      <c r="H8">
        <v>8.33</v>
      </c>
    </row>
    <row r="9" spans="1:8" x14ac:dyDescent="0.25">
      <c r="A9">
        <v>200004299</v>
      </c>
      <c r="B9" t="s">
        <v>1166</v>
      </c>
      <c r="C9" s="2">
        <v>44148</v>
      </c>
      <c r="D9" t="s">
        <v>1163</v>
      </c>
      <c r="E9">
        <v>96.2</v>
      </c>
      <c r="F9">
        <v>8</v>
      </c>
      <c r="G9">
        <v>50</v>
      </c>
      <c r="H9">
        <v>4.16</v>
      </c>
    </row>
    <row r="10" spans="1:8" x14ac:dyDescent="0.25">
      <c r="A10">
        <v>200005682</v>
      </c>
      <c r="B10" t="s">
        <v>66</v>
      </c>
      <c r="C10" s="2">
        <v>44568</v>
      </c>
      <c r="D10" t="s">
        <v>1167</v>
      </c>
      <c r="E10">
        <v>540</v>
      </c>
      <c r="F10">
        <v>11</v>
      </c>
      <c r="G10">
        <v>11</v>
      </c>
      <c r="H10">
        <v>0.91</v>
      </c>
    </row>
    <row r="11" spans="1:8" x14ac:dyDescent="0.25">
      <c r="A11">
        <v>200001917</v>
      </c>
      <c r="B11" t="s">
        <v>68</v>
      </c>
      <c r="C11" s="2">
        <v>44538</v>
      </c>
      <c r="D11" t="s">
        <v>1163</v>
      </c>
      <c r="E11">
        <v>8.35</v>
      </c>
      <c r="F11">
        <v>53</v>
      </c>
      <c r="G11">
        <v>2</v>
      </c>
      <c r="H11">
        <v>0.16</v>
      </c>
    </row>
    <row r="12" spans="1:8" x14ac:dyDescent="0.25">
      <c r="A12">
        <v>200000023</v>
      </c>
      <c r="B12" t="s">
        <v>1168</v>
      </c>
      <c r="C12" s="2">
        <v>44568</v>
      </c>
      <c r="D12" t="s">
        <v>1169</v>
      </c>
      <c r="E12">
        <v>8.86</v>
      </c>
      <c r="F12">
        <v>250</v>
      </c>
      <c r="G12">
        <v>10</v>
      </c>
      <c r="H12">
        <v>0.83</v>
      </c>
    </row>
    <row r="13" spans="1:8" x14ac:dyDescent="0.25">
      <c r="A13">
        <v>200002131</v>
      </c>
      <c r="B13" t="s">
        <v>1170</v>
      </c>
      <c r="C13" s="2">
        <v>44083</v>
      </c>
      <c r="D13" t="s">
        <v>1163</v>
      </c>
      <c r="E13">
        <v>94.6</v>
      </c>
      <c r="F13">
        <v>5</v>
      </c>
      <c r="G13">
        <v>1</v>
      </c>
      <c r="H13">
        <v>0.08</v>
      </c>
    </row>
    <row r="14" spans="1:8" x14ac:dyDescent="0.25">
      <c r="A14">
        <v>200000030</v>
      </c>
      <c r="B14" t="s">
        <v>1171</v>
      </c>
      <c r="C14" s="2">
        <v>44568</v>
      </c>
      <c r="D14" t="s">
        <v>1172</v>
      </c>
      <c r="E14">
        <v>3.66</v>
      </c>
      <c r="F14">
        <v>109</v>
      </c>
      <c r="G14">
        <v>11</v>
      </c>
      <c r="H14">
        <v>0.91</v>
      </c>
    </row>
    <row r="15" spans="1:8" x14ac:dyDescent="0.25">
      <c r="A15">
        <v>200000032</v>
      </c>
      <c r="B15" t="s">
        <v>1173</v>
      </c>
      <c r="C15" s="2">
        <v>44568</v>
      </c>
      <c r="D15" t="s">
        <v>1172</v>
      </c>
      <c r="E15">
        <v>3.66</v>
      </c>
      <c r="F15">
        <v>15</v>
      </c>
      <c r="G15">
        <v>2</v>
      </c>
      <c r="H15">
        <v>0.16</v>
      </c>
    </row>
    <row r="16" spans="1:8" x14ac:dyDescent="0.25">
      <c r="A16">
        <v>200001718</v>
      </c>
      <c r="B16" t="s">
        <v>1174</v>
      </c>
      <c r="C16" s="2">
        <v>44543</v>
      </c>
      <c r="D16" t="s">
        <v>1163</v>
      </c>
      <c r="E16">
        <v>7.58</v>
      </c>
      <c r="F16">
        <v>74</v>
      </c>
      <c r="G16">
        <v>6</v>
      </c>
      <c r="H16">
        <v>0.5</v>
      </c>
    </row>
    <row r="17" spans="1:8" x14ac:dyDescent="0.25">
      <c r="A17">
        <v>200003059</v>
      </c>
      <c r="B17" t="s">
        <v>1175</v>
      </c>
      <c r="C17" s="2">
        <v>42179</v>
      </c>
      <c r="D17" t="s">
        <v>1176</v>
      </c>
      <c r="E17">
        <v>0.05</v>
      </c>
      <c r="F17">
        <v>45331</v>
      </c>
      <c r="G17">
        <v>100</v>
      </c>
      <c r="H17">
        <v>8.33</v>
      </c>
    </row>
    <row r="18" spans="1:8" x14ac:dyDescent="0.25">
      <c r="A18">
        <v>200000035</v>
      </c>
      <c r="B18" t="s">
        <v>1177</v>
      </c>
      <c r="C18" s="2">
        <v>44544</v>
      </c>
      <c r="D18" t="s">
        <v>1172</v>
      </c>
      <c r="E18">
        <v>5.93</v>
      </c>
      <c r="F18">
        <v>16</v>
      </c>
      <c r="G18">
        <v>2</v>
      </c>
      <c r="H18">
        <v>0.16</v>
      </c>
    </row>
    <row r="19" spans="1:8" x14ac:dyDescent="0.25">
      <c r="A19">
        <v>200000037</v>
      </c>
      <c r="B19" t="s">
        <v>1178</v>
      </c>
      <c r="C19" s="2">
        <v>44544</v>
      </c>
      <c r="D19" t="s">
        <v>1172</v>
      </c>
      <c r="E19">
        <v>0.16</v>
      </c>
      <c r="F19">
        <v>230</v>
      </c>
      <c r="G19">
        <v>10</v>
      </c>
      <c r="H19">
        <v>0.83</v>
      </c>
    </row>
    <row r="20" spans="1:8" x14ac:dyDescent="0.25">
      <c r="A20">
        <v>200003957</v>
      </c>
      <c r="B20" t="s">
        <v>84</v>
      </c>
      <c r="C20" s="2">
        <v>44525</v>
      </c>
      <c r="D20" t="s">
        <v>1163</v>
      </c>
      <c r="E20">
        <v>35.04</v>
      </c>
      <c r="F20">
        <v>7</v>
      </c>
      <c r="G20">
        <v>4</v>
      </c>
      <c r="H20">
        <v>0.33</v>
      </c>
    </row>
    <row r="21" spans="1:8" x14ac:dyDescent="0.25">
      <c r="A21">
        <v>200002709</v>
      </c>
      <c r="B21" t="s">
        <v>98</v>
      </c>
      <c r="C21" s="2">
        <v>44540</v>
      </c>
      <c r="D21" t="s">
        <v>1163</v>
      </c>
      <c r="E21">
        <v>16.93</v>
      </c>
      <c r="F21">
        <v>115</v>
      </c>
      <c r="G21">
        <v>12</v>
      </c>
      <c r="H21">
        <v>1</v>
      </c>
    </row>
    <row r="22" spans="1:8" x14ac:dyDescent="0.25">
      <c r="A22">
        <v>200004336</v>
      </c>
      <c r="B22" t="s">
        <v>1179</v>
      </c>
      <c r="C22" s="2">
        <v>44378</v>
      </c>
      <c r="D22" t="s">
        <v>1180</v>
      </c>
      <c r="E22">
        <v>0.42</v>
      </c>
      <c r="F22">
        <v>642</v>
      </c>
      <c r="G22">
        <v>100</v>
      </c>
      <c r="H22">
        <v>8.33</v>
      </c>
    </row>
    <row r="23" spans="1:8" x14ac:dyDescent="0.25">
      <c r="A23">
        <v>200001918</v>
      </c>
      <c r="B23" t="s">
        <v>101</v>
      </c>
      <c r="C23" s="2">
        <v>44544</v>
      </c>
      <c r="D23" t="s">
        <v>1163</v>
      </c>
      <c r="E23">
        <v>66.86</v>
      </c>
      <c r="F23">
        <v>64</v>
      </c>
      <c r="G23">
        <v>2</v>
      </c>
      <c r="H23">
        <v>0.16</v>
      </c>
    </row>
    <row r="24" spans="1:8" x14ac:dyDescent="0.25">
      <c r="A24">
        <v>200000017</v>
      </c>
      <c r="B24" t="s">
        <v>1181</v>
      </c>
      <c r="C24" s="2">
        <v>44566</v>
      </c>
      <c r="D24" t="s">
        <v>1182</v>
      </c>
      <c r="E24">
        <v>5.55</v>
      </c>
      <c r="F24">
        <v>650</v>
      </c>
      <c r="G24">
        <v>26</v>
      </c>
      <c r="H24">
        <v>2.16</v>
      </c>
    </row>
    <row r="25" spans="1:8" x14ac:dyDescent="0.25">
      <c r="A25">
        <v>200000053</v>
      </c>
      <c r="B25" t="s">
        <v>1183</v>
      </c>
      <c r="C25" s="2">
        <v>44516</v>
      </c>
      <c r="D25" t="s">
        <v>1184</v>
      </c>
      <c r="E25">
        <v>60</v>
      </c>
      <c r="F25">
        <v>7</v>
      </c>
      <c r="G25">
        <v>1</v>
      </c>
      <c r="H25">
        <v>0.08</v>
      </c>
    </row>
    <row r="26" spans="1:8" x14ac:dyDescent="0.25">
      <c r="A26">
        <v>200000058</v>
      </c>
      <c r="B26" t="s">
        <v>1185</v>
      </c>
      <c r="C26" s="2">
        <v>44516</v>
      </c>
      <c r="D26" t="s">
        <v>1184</v>
      </c>
      <c r="E26">
        <v>70</v>
      </c>
      <c r="F26">
        <v>7</v>
      </c>
      <c r="G26">
        <v>1</v>
      </c>
      <c r="H26">
        <v>0.08</v>
      </c>
    </row>
    <row r="27" spans="1:8" x14ac:dyDescent="0.25">
      <c r="A27">
        <v>200000063</v>
      </c>
      <c r="B27" t="s">
        <v>1186</v>
      </c>
      <c r="C27" s="2">
        <v>44516</v>
      </c>
      <c r="D27" t="s">
        <v>1184</v>
      </c>
      <c r="E27">
        <v>70</v>
      </c>
      <c r="F27">
        <v>8</v>
      </c>
      <c r="G27">
        <v>1</v>
      </c>
      <c r="H27">
        <v>0.08</v>
      </c>
    </row>
    <row r="28" spans="1:8" x14ac:dyDescent="0.25">
      <c r="A28">
        <v>200000068</v>
      </c>
      <c r="B28" t="s">
        <v>1187</v>
      </c>
      <c r="C28" s="2">
        <v>44539</v>
      </c>
      <c r="D28" t="s">
        <v>1188</v>
      </c>
      <c r="E28">
        <v>165</v>
      </c>
      <c r="F28">
        <v>156</v>
      </c>
      <c r="G28">
        <v>10</v>
      </c>
      <c r="H28">
        <v>0.83</v>
      </c>
    </row>
    <row r="29" spans="1:8" x14ac:dyDescent="0.25">
      <c r="A29">
        <v>200001058</v>
      </c>
      <c r="B29" t="s">
        <v>139</v>
      </c>
      <c r="C29" s="2">
        <v>44034</v>
      </c>
      <c r="D29" t="s">
        <v>1163</v>
      </c>
      <c r="E29">
        <v>20.83</v>
      </c>
      <c r="F29">
        <v>0</v>
      </c>
      <c r="G29">
        <v>1</v>
      </c>
      <c r="H29">
        <v>0.08</v>
      </c>
    </row>
    <row r="30" spans="1:8" x14ac:dyDescent="0.25">
      <c r="A30">
        <v>200000085</v>
      </c>
      <c r="B30" t="s">
        <v>1189</v>
      </c>
      <c r="C30" s="2">
        <v>40686</v>
      </c>
      <c r="D30" t="s">
        <v>1190</v>
      </c>
      <c r="E30">
        <v>2.6</v>
      </c>
      <c r="F30">
        <v>2330</v>
      </c>
      <c r="G30">
        <v>12</v>
      </c>
      <c r="H30">
        <v>1</v>
      </c>
    </row>
    <row r="31" spans="1:8" x14ac:dyDescent="0.25">
      <c r="A31">
        <v>200004857</v>
      </c>
      <c r="B31" t="s">
        <v>1191</v>
      </c>
      <c r="C31" s="2">
        <v>43592</v>
      </c>
      <c r="D31" t="s">
        <v>1192</v>
      </c>
      <c r="E31">
        <v>2044.67</v>
      </c>
      <c r="F31">
        <v>4</v>
      </c>
      <c r="G31">
        <v>1</v>
      </c>
      <c r="H31">
        <v>0.08</v>
      </c>
    </row>
    <row r="32" spans="1:8" x14ac:dyDescent="0.25">
      <c r="A32">
        <v>200000094</v>
      </c>
      <c r="B32" t="s">
        <v>1193</v>
      </c>
      <c r="C32" s="2">
        <v>44565</v>
      </c>
      <c r="D32" t="s">
        <v>1194</v>
      </c>
      <c r="E32">
        <v>1.67</v>
      </c>
      <c r="F32">
        <v>399</v>
      </c>
      <c r="G32">
        <v>23</v>
      </c>
      <c r="H32">
        <v>1.91</v>
      </c>
    </row>
    <row r="33" spans="1:8" x14ac:dyDescent="0.25">
      <c r="A33">
        <v>200005254</v>
      </c>
      <c r="B33" t="s">
        <v>1195</v>
      </c>
      <c r="C33" s="2">
        <v>44516</v>
      </c>
      <c r="D33" t="s">
        <v>1196</v>
      </c>
      <c r="E33">
        <v>7.5</v>
      </c>
      <c r="F33">
        <v>26</v>
      </c>
      <c r="G33">
        <v>2</v>
      </c>
      <c r="H33">
        <v>0.16</v>
      </c>
    </row>
    <row r="34" spans="1:8" x14ac:dyDescent="0.25">
      <c r="A34">
        <v>200003187</v>
      </c>
      <c r="B34" t="s">
        <v>1197</v>
      </c>
      <c r="C34" s="2">
        <v>44251</v>
      </c>
      <c r="D34" t="s">
        <v>1161</v>
      </c>
      <c r="E34">
        <v>2.42</v>
      </c>
      <c r="F34">
        <v>136</v>
      </c>
      <c r="G34">
        <v>4</v>
      </c>
      <c r="H34">
        <v>0.33</v>
      </c>
    </row>
    <row r="35" spans="1:8" x14ac:dyDescent="0.25">
      <c r="A35">
        <v>200000111</v>
      </c>
      <c r="B35" t="s">
        <v>1198</v>
      </c>
      <c r="C35" s="2">
        <v>44424</v>
      </c>
      <c r="D35" t="s">
        <v>1157</v>
      </c>
      <c r="E35">
        <v>0.14000000000000001</v>
      </c>
      <c r="F35">
        <v>5431</v>
      </c>
      <c r="G35">
        <v>1158</v>
      </c>
      <c r="H35">
        <v>96.5</v>
      </c>
    </row>
    <row r="36" spans="1:8" x14ac:dyDescent="0.25">
      <c r="A36">
        <v>200005818</v>
      </c>
      <c r="B36" t="s">
        <v>151</v>
      </c>
      <c r="C36" s="2">
        <v>44511</v>
      </c>
      <c r="D36" t="s">
        <v>1199</v>
      </c>
      <c r="E36">
        <v>22.29</v>
      </c>
      <c r="F36">
        <v>70</v>
      </c>
      <c r="G36">
        <v>4</v>
      </c>
      <c r="H36">
        <v>0.33</v>
      </c>
    </row>
    <row r="37" spans="1:8" x14ac:dyDescent="0.25">
      <c r="A37">
        <v>200001923</v>
      </c>
      <c r="B37" t="s">
        <v>164</v>
      </c>
      <c r="C37" s="2">
        <v>44531</v>
      </c>
      <c r="D37" t="s">
        <v>1200</v>
      </c>
      <c r="E37">
        <v>2.19</v>
      </c>
      <c r="F37">
        <v>0</v>
      </c>
      <c r="G37">
        <v>10</v>
      </c>
      <c r="H37">
        <v>0.83</v>
      </c>
    </row>
    <row r="38" spans="1:8" x14ac:dyDescent="0.25">
      <c r="A38">
        <v>200000805</v>
      </c>
      <c r="B38" t="s">
        <v>1201</v>
      </c>
      <c r="C38" s="2">
        <v>44379</v>
      </c>
      <c r="D38" t="s">
        <v>1180</v>
      </c>
      <c r="E38">
        <v>0.46</v>
      </c>
      <c r="F38">
        <v>191</v>
      </c>
      <c r="G38">
        <v>56</v>
      </c>
      <c r="H38">
        <v>4.66</v>
      </c>
    </row>
    <row r="39" spans="1:8" x14ac:dyDescent="0.25">
      <c r="A39">
        <v>200000803</v>
      </c>
      <c r="B39" t="s">
        <v>1202</v>
      </c>
      <c r="C39" s="2">
        <v>44392</v>
      </c>
      <c r="D39" t="s">
        <v>1203</v>
      </c>
      <c r="E39">
        <v>0.04</v>
      </c>
      <c r="F39">
        <v>1103</v>
      </c>
      <c r="G39">
        <v>50</v>
      </c>
      <c r="H39">
        <v>4.16</v>
      </c>
    </row>
    <row r="40" spans="1:8" x14ac:dyDescent="0.25">
      <c r="A40">
        <v>200004599</v>
      </c>
      <c r="B40" t="s">
        <v>1204</v>
      </c>
      <c r="C40" s="2">
        <v>44571</v>
      </c>
      <c r="D40" t="s">
        <v>1205</v>
      </c>
      <c r="E40">
        <v>48</v>
      </c>
      <c r="F40">
        <v>6</v>
      </c>
      <c r="G40">
        <v>3</v>
      </c>
      <c r="H40">
        <v>0.25</v>
      </c>
    </row>
    <row r="41" spans="1:8" x14ac:dyDescent="0.25">
      <c r="A41">
        <v>200003211</v>
      </c>
      <c r="B41" t="s">
        <v>1206</v>
      </c>
      <c r="C41" s="2">
        <v>44536</v>
      </c>
      <c r="D41" t="s">
        <v>1207</v>
      </c>
      <c r="E41">
        <v>10.199999999999999</v>
      </c>
      <c r="F41">
        <v>810</v>
      </c>
      <c r="G41">
        <v>100</v>
      </c>
      <c r="H41">
        <v>8.33</v>
      </c>
    </row>
    <row r="42" spans="1:8" x14ac:dyDescent="0.25">
      <c r="A42">
        <v>200003191</v>
      </c>
      <c r="B42" t="s">
        <v>1208</v>
      </c>
      <c r="C42" s="2">
        <v>44536</v>
      </c>
      <c r="D42" t="s">
        <v>1207</v>
      </c>
      <c r="E42">
        <v>10.199999999999999</v>
      </c>
      <c r="F42">
        <v>370</v>
      </c>
      <c r="G42">
        <v>200</v>
      </c>
      <c r="H42">
        <v>16.66</v>
      </c>
    </row>
    <row r="43" spans="1:8" x14ac:dyDescent="0.25">
      <c r="A43">
        <v>200003212</v>
      </c>
      <c r="B43" t="s">
        <v>1209</v>
      </c>
      <c r="C43" s="2">
        <v>44536</v>
      </c>
      <c r="D43" t="s">
        <v>1207</v>
      </c>
      <c r="E43">
        <v>10.199999999999999</v>
      </c>
      <c r="F43">
        <v>0</v>
      </c>
      <c r="G43">
        <v>100</v>
      </c>
      <c r="H43">
        <v>8.33</v>
      </c>
    </row>
    <row r="44" spans="1:8" x14ac:dyDescent="0.25">
      <c r="A44">
        <v>200003193</v>
      </c>
      <c r="B44" t="s">
        <v>1210</v>
      </c>
      <c r="C44" s="2">
        <v>44424</v>
      </c>
      <c r="D44" t="s">
        <v>1157</v>
      </c>
      <c r="E44">
        <v>2</v>
      </c>
      <c r="F44">
        <v>12708</v>
      </c>
      <c r="G44">
        <v>200</v>
      </c>
      <c r="H44">
        <v>16.66</v>
      </c>
    </row>
    <row r="45" spans="1:8" x14ac:dyDescent="0.25">
      <c r="A45">
        <v>200003192</v>
      </c>
      <c r="B45" t="s">
        <v>1211</v>
      </c>
      <c r="C45" s="2">
        <v>44424</v>
      </c>
      <c r="D45" t="s">
        <v>1157</v>
      </c>
      <c r="E45">
        <v>2</v>
      </c>
      <c r="F45">
        <v>14311</v>
      </c>
      <c r="G45">
        <v>400</v>
      </c>
      <c r="H45">
        <v>33.33</v>
      </c>
    </row>
    <row r="46" spans="1:8" x14ac:dyDescent="0.25">
      <c r="A46">
        <v>200003194</v>
      </c>
      <c r="B46" t="s">
        <v>1212</v>
      </c>
      <c r="C46" s="2">
        <v>44424</v>
      </c>
      <c r="D46" t="s">
        <v>1157</v>
      </c>
      <c r="E46">
        <v>2</v>
      </c>
      <c r="F46">
        <v>9691</v>
      </c>
      <c r="G46">
        <v>100</v>
      </c>
      <c r="H46">
        <v>8.33</v>
      </c>
    </row>
    <row r="47" spans="1:8" x14ac:dyDescent="0.25">
      <c r="A47">
        <v>200003195</v>
      </c>
      <c r="B47" t="s">
        <v>1213</v>
      </c>
      <c r="C47" s="2">
        <v>44424</v>
      </c>
      <c r="D47" t="s">
        <v>1157</v>
      </c>
      <c r="E47">
        <v>3.4</v>
      </c>
      <c r="F47">
        <v>18000</v>
      </c>
      <c r="G47">
        <v>400</v>
      </c>
      <c r="H47">
        <v>33.33</v>
      </c>
    </row>
    <row r="48" spans="1:8" x14ac:dyDescent="0.25">
      <c r="A48">
        <v>200003196</v>
      </c>
      <c r="B48" t="s">
        <v>1214</v>
      </c>
      <c r="C48" s="2">
        <v>44424</v>
      </c>
      <c r="D48" t="s">
        <v>1157</v>
      </c>
      <c r="E48">
        <v>3.4</v>
      </c>
      <c r="F48">
        <v>25584</v>
      </c>
      <c r="G48">
        <v>800</v>
      </c>
      <c r="H48">
        <v>66.66</v>
      </c>
    </row>
    <row r="49" spans="1:8" x14ac:dyDescent="0.25">
      <c r="A49">
        <v>200003197</v>
      </c>
      <c r="B49" t="s">
        <v>1215</v>
      </c>
      <c r="C49" s="2">
        <v>44424</v>
      </c>
      <c r="D49" t="s">
        <v>1157</v>
      </c>
      <c r="E49">
        <v>3.4</v>
      </c>
      <c r="F49">
        <v>17242</v>
      </c>
      <c r="G49">
        <v>400</v>
      </c>
      <c r="H49">
        <v>33.33</v>
      </c>
    </row>
    <row r="50" spans="1:8" x14ac:dyDescent="0.25">
      <c r="A50">
        <v>200003208</v>
      </c>
      <c r="B50" t="s">
        <v>1216</v>
      </c>
      <c r="C50" s="2">
        <v>44424</v>
      </c>
      <c r="D50" t="s">
        <v>1157</v>
      </c>
      <c r="E50">
        <v>5.05</v>
      </c>
      <c r="F50">
        <v>1400</v>
      </c>
      <c r="G50">
        <v>200</v>
      </c>
      <c r="H50">
        <v>16.66</v>
      </c>
    </row>
    <row r="51" spans="1:8" x14ac:dyDescent="0.25">
      <c r="A51">
        <v>200003209</v>
      </c>
      <c r="B51" t="s">
        <v>1217</v>
      </c>
      <c r="C51" s="2">
        <v>44424</v>
      </c>
      <c r="D51" t="s">
        <v>1157</v>
      </c>
      <c r="E51">
        <v>5.05</v>
      </c>
      <c r="F51">
        <v>2300</v>
      </c>
      <c r="G51">
        <v>200</v>
      </c>
      <c r="H51">
        <v>16.66</v>
      </c>
    </row>
    <row r="52" spans="1:8" x14ac:dyDescent="0.25">
      <c r="A52">
        <v>200003210</v>
      </c>
      <c r="B52" t="s">
        <v>1218</v>
      </c>
      <c r="C52" s="2">
        <v>44424</v>
      </c>
      <c r="D52" t="s">
        <v>1157</v>
      </c>
      <c r="E52">
        <v>5.05</v>
      </c>
      <c r="F52">
        <v>700</v>
      </c>
      <c r="G52">
        <v>200</v>
      </c>
      <c r="H52">
        <v>16.66</v>
      </c>
    </row>
    <row r="53" spans="1:8" x14ac:dyDescent="0.25">
      <c r="A53">
        <v>200003373</v>
      </c>
      <c r="B53" t="s">
        <v>1219</v>
      </c>
      <c r="C53" s="2">
        <v>44379</v>
      </c>
      <c r="D53" t="s">
        <v>1180</v>
      </c>
      <c r="E53">
        <v>7.81</v>
      </c>
      <c r="F53">
        <v>625</v>
      </c>
      <c r="G53">
        <v>50</v>
      </c>
      <c r="H53">
        <v>4.16</v>
      </c>
    </row>
    <row r="54" spans="1:8" x14ac:dyDescent="0.25">
      <c r="A54">
        <v>200001846</v>
      </c>
      <c r="B54" t="s">
        <v>1220</v>
      </c>
      <c r="C54" s="2">
        <v>44355</v>
      </c>
      <c r="D54" t="s">
        <v>1221</v>
      </c>
      <c r="E54">
        <v>252.23</v>
      </c>
      <c r="F54">
        <v>5</v>
      </c>
      <c r="G54">
        <v>2</v>
      </c>
      <c r="H54">
        <v>0.16</v>
      </c>
    </row>
    <row r="55" spans="1:8" x14ac:dyDescent="0.25">
      <c r="A55">
        <v>200004228</v>
      </c>
      <c r="B55" t="s">
        <v>1222</v>
      </c>
      <c r="C55" s="2">
        <v>44355</v>
      </c>
      <c r="D55" t="s">
        <v>1221</v>
      </c>
      <c r="E55">
        <v>2.35</v>
      </c>
      <c r="F55">
        <v>9663</v>
      </c>
      <c r="G55">
        <v>610</v>
      </c>
      <c r="H55">
        <v>50.83</v>
      </c>
    </row>
    <row r="56" spans="1:8" x14ac:dyDescent="0.25">
      <c r="A56">
        <v>200004980</v>
      </c>
      <c r="B56" t="s">
        <v>175</v>
      </c>
      <c r="C56" s="2">
        <v>43741</v>
      </c>
      <c r="D56" t="s">
        <v>1223</v>
      </c>
      <c r="E56">
        <v>10.5</v>
      </c>
      <c r="F56">
        <v>0</v>
      </c>
      <c r="G56">
        <v>1</v>
      </c>
      <c r="H56">
        <v>0.08</v>
      </c>
    </row>
    <row r="57" spans="1:8" x14ac:dyDescent="0.25">
      <c r="A57">
        <v>200001398</v>
      </c>
      <c r="B57" t="s">
        <v>1224</v>
      </c>
      <c r="C57" s="2">
        <v>44568</v>
      </c>
      <c r="D57" t="s">
        <v>1225</v>
      </c>
      <c r="E57">
        <v>31.18</v>
      </c>
      <c r="F57">
        <v>1041</v>
      </c>
      <c r="G57">
        <v>29</v>
      </c>
      <c r="H57">
        <v>2.41</v>
      </c>
    </row>
    <row r="58" spans="1:8" x14ac:dyDescent="0.25">
      <c r="A58">
        <v>200000044</v>
      </c>
      <c r="B58" t="s">
        <v>1226</v>
      </c>
      <c r="C58" s="2">
        <v>44544</v>
      </c>
      <c r="D58" t="s">
        <v>1172</v>
      </c>
      <c r="E58">
        <v>1.57</v>
      </c>
      <c r="F58">
        <v>6009</v>
      </c>
      <c r="G58">
        <v>408</v>
      </c>
      <c r="H58">
        <v>34</v>
      </c>
    </row>
    <row r="59" spans="1:8" x14ac:dyDescent="0.25">
      <c r="A59">
        <v>200000518</v>
      </c>
      <c r="B59" t="s">
        <v>1227</v>
      </c>
      <c r="C59" s="2">
        <v>42269</v>
      </c>
      <c r="D59" t="s">
        <v>1172</v>
      </c>
      <c r="E59">
        <v>17.82</v>
      </c>
      <c r="F59">
        <v>11</v>
      </c>
      <c r="G59">
        <v>1</v>
      </c>
      <c r="H59">
        <v>0.08</v>
      </c>
    </row>
    <row r="60" spans="1:8" x14ac:dyDescent="0.25">
      <c r="A60">
        <v>200000149</v>
      </c>
      <c r="B60" t="s">
        <v>196</v>
      </c>
      <c r="C60" s="2">
        <v>44544</v>
      </c>
      <c r="D60" t="s">
        <v>1163</v>
      </c>
      <c r="E60">
        <v>33.94</v>
      </c>
      <c r="F60">
        <v>5</v>
      </c>
      <c r="G60">
        <v>1</v>
      </c>
      <c r="H60">
        <v>0.08</v>
      </c>
    </row>
    <row r="61" spans="1:8" x14ac:dyDescent="0.25">
      <c r="A61">
        <v>200003808</v>
      </c>
      <c r="B61" t="s">
        <v>1228</v>
      </c>
      <c r="C61" s="2">
        <v>42187</v>
      </c>
      <c r="D61" t="s">
        <v>1229</v>
      </c>
      <c r="E61">
        <v>101.95</v>
      </c>
      <c r="F61">
        <v>0</v>
      </c>
      <c r="G61">
        <v>2</v>
      </c>
      <c r="H61">
        <v>0.16</v>
      </c>
    </row>
    <row r="62" spans="1:8" x14ac:dyDescent="0.25">
      <c r="A62">
        <v>200001518</v>
      </c>
      <c r="B62" t="s">
        <v>1230</v>
      </c>
      <c r="C62" s="2">
        <v>44543</v>
      </c>
      <c r="D62" t="s">
        <v>1163</v>
      </c>
      <c r="E62">
        <v>7.91</v>
      </c>
      <c r="F62">
        <v>1863</v>
      </c>
      <c r="G62">
        <v>9</v>
      </c>
      <c r="H62">
        <v>0.75</v>
      </c>
    </row>
    <row r="63" spans="1:8" x14ac:dyDescent="0.25">
      <c r="A63">
        <v>200000751</v>
      </c>
      <c r="B63" t="s">
        <v>1231</v>
      </c>
      <c r="C63" s="2">
        <v>44382</v>
      </c>
      <c r="D63" t="s">
        <v>1207</v>
      </c>
      <c r="E63">
        <v>15.38</v>
      </c>
      <c r="F63">
        <v>361</v>
      </c>
      <c r="G63">
        <v>12</v>
      </c>
      <c r="H63">
        <v>1</v>
      </c>
    </row>
    <row r="64" spans="1:8" x14ac:dyDescent="0.25">
      <c r="A64">
        <v>200002077</v>
      </c>
      <c r="B64" t="s">
        <v>1232</v>
      </c>
      <c r="C64" s="2">
        <v>41404</v>
      </c>
      <c r="D64" t="s">
        <v>1229</v>
      </c>
      <c r="E64">
        <v>7</v>
      </c>
      <c r="F64">
        <v>8</v>
      </c>
      <c r="G64">
        <v>2</v>
      </c>
      <c r="H64">
        <v>0.16</v>
      </c>
    </row>
    <row r="65" spans="1:8" x14ac:dyDescent="0.25">
      <c r="A65">
        <v>200002078</v>
      </c>
      <c r="B65" t="s">
        <v>1233</v>
      </c>
      <c r="C65" s="2">
        <v>44543</v>
      </c>
      <c r="D65" t="s">
        <v>1163</v>
      </c>
      <c r="E65">
        <v>38</v>
      </c>
      <c r="F65">
        <v>151</v>
      </c>
      <c r="G65">
        <v>47</v>
      </c>
      <c r="H65">
        <v>3.91</v>
      </c>
    </row>
    <row r="66" spans="1:8" x14ac:dyDescent="0.25">
      <c r="A66">
        <v>200003204</v>
      </c>
      <c r="B66" t="s">
        <v>1234</v>
      </c>
      <c r="C66" s="2">
        <v>44543</v>
      </c>
      <c r="D66" t="s">
        <v>1163</v>
      </c>
      <c r="E66">
        <v>113.21</v>
      </c>
      <c r="F66">
        <v>3148</v>
      </c>
      <c r="G66">
        <v>45</v>
      </c>
      <c r="H66">
        <v>3.75</v>
      </c>
    </row>
    <row r="67" spans="1:8" x14ac:dyDescent="0.25">
      <c r="A67">
        <v>200000160</v>
      </c>
      <c r="B67" t="s">
        <v>1235</v>
      </c>
      <c r="C67" s="2">
        <v>44543</v>
      </c>
      <c r="D67" t="s">
        <v>1163</v>
      </c>
      <c r="E67">
        <v>6.01</v>
      </c>
      <c r="F67">
        <v>906</v>
      </c>
      <c r="G67">
        <v>6</v>
      </c>
      <c r="H67">
        <v>0.5</v>
      </c>
    </row>
    <row r="68" spans="1:8" x14ac:dyDescent="0.25">
      <c r="A68">
        <v>200000162</v>
      </c>
      <c r="B68" t="s">
        <v>1236</v>
      </c>
      <c r="C68" s="2">
        <v>44544</v>
      </c>
      <c r="D68" t="s">
        <v>1172</v>
      </c>
      <c r="E68">
        <v>0.55000000000000004</v>
      </c>
      <c r="F68">
        <v>5075</v>
      </c>
      <c r="G68">
        <v>299</v>
      </c>
      <c r="H68">
        <v>24.91</v>
      </c>
    </row>
    <row r="69" spans="1:8" x14ac:dyDescent="0.25">
      <c r="A69">
        <v>200000164</v>
      </c>
      <c r="B69" t="s">
        <v>1237</v>
      </c>
      <c r="C69" s="2">
        <v>44544</v>
      </c>
      <c r="D69" t="s">
        <v>1172</v>
      </c>
      <c r="E69">
        <v>0.55000000000000004</v>
      </c>
      <c r="F69">
        <v>497</v>
      </c>
      <c r="G69">
        <v>38</v>
      </c>
      <c r="H69">
        <v>3.16</v>
      </c>
    </row>
    <row r="70" spans="1:8" x14ac:dyDescent="0.25">
      <c r="A70">
        <v>200000166</v>
      </c>
      <c r="B70" t="s">
        <v>1238</v>
      </c>
      <c r="C70" s="2">
        <v>44544</v>
      </c>
      <c r="D70" t="s">
        <v>1172</v>
      </c>
      <c r="E70">
        <v>1.77</v>
      </c>
      <c r="F70">
        <v>1009</v>
      </c>
      <c r="G70">
        <v>63</v>
      </c>
      <c r="H70">
        <v>5.25</v>
      </c>
    </row>
    <row r="71" spans="1:8" x14ac:dyDescent="0.25">
      <c r="A71">
        <v>200000168</v>
      </c>
      <c r="B71" t="s">
        <v>1239</v>
      </c>
      <c r="C71" s="2">
        <v>44544</v>
      </c>
      <c r="D71" t="s">
        <v>1172</v>
      </c>
      <c r="E71">
        <v>3.27</v>
      </c>
      <c r="F71">
        <v>120</v>
      </c>
      <c r="G71">
        <v>6</v>
      </c>
      <c r="H71">
        <v>0.5</v>
      </c>
    </row>
    <row r="72" spans="1:8" x14ac:dyDescent="0.25">
      <c r="A72">
        <v>200002122</v>
      </c>
      <c r="B72" t="s">
        <v>202</v>
      </c>
      <c r="C72" s="2">
        <v>44034</v>
      </c>
      <c r="D72" t="s">
        <v>1163</v>
      </c>
      <c r="E72">
        <v>12.15</v>
      </c>
      <c r="F72">
        <v>307</v>
      </c>
      <c r="G72">
        <v>4</v>
      </c>
      <c r="H72">
        <v>0.33</v>
      </c>
    </row>
    <row r="73" spans="1:8" x14ac:dyDescent="0.25">
      <c r="A73">
        <v>200000177</v>
      </c>
      <c r="B73" t="s">
        <v>1240</v>
      </c>
      <c r="C73" s="2">
        <v>44503</v>
      </c>
      <c r="D73" t="s">
        <v>1241</v>
      </c>
      <c r="E73">
        <v>1.53</v>
      </c>
      <c r="F73">
        <v>14886</v>
      </c>
      <c r="G73">
        <v>1360</v>
      </c>
      <c r="H73">
        <v>113.33</v>
      </c>
    </row>
    <row r="74" spans="1:8" x14ac:dyDescent="0.25">
      <c r="A74">
        <v>200005404</v>
      </c>
      <c r="B74" t="s">
        <v>1242</v>
      </c>
      <c r="C74" s="2">
        <v>44572</v>
      </c>
      <c r="D74" t="s">
        <v>1243</v>
      </c>
      <c r="E74">
        <v>3900</v>
      </c>
      <c r="F74">
        <v>0</v>
      </c>
      <c r="G74">
        <v>2</v>
      </c>
      <c r="H74">
        <v>0.16</v>
      </c>
    </row>
    <row r="75" spans="1:8" x14ac:dyDescent="0.25">
      <c r="A75">
        <v>200003050</v>
      </c>
      <c r="B75" t="s">
        <v>1244</v>
      </c>
      <c r="C75" s="2">
        <v>43986</v>
      </c>
      <c r="D75" t="s">
        <v>1245</v>
      </c>
      <c r="E75">
        <v>163.5</v>
      </c>
      <c r="F75">
        <v>148</v>
      </c>
      <c r="G75">
        <v>1</v>
      </c>
      <c r="H75">
        <v>0.08</v>
      </c>
    </row>
    <row r="76" spans="1:8" x14ac:dyDescent="0.25">
      <c r="A76">
        <v>200000204</v>
      </c>
      <c r="B76" t="s">
        <v>1246</v>
      </c>
      <c r="C76" s="2">
        <v>44565</v>
      </c>
      <c r="D76" t="s">
        <v>1247</v>
      </c>
      <c r="E76">
        <v>0.72</v>
      </c>
      <c r="F76">
        <v>598</v>
      </c>
      <c r="G76">
        <v>50</v>
      </c>
      <c r="H76">
        <v>4.16</v>
      </c>
    </row>
    <row r="77" spans="1:8" x14ac:dyDescent="0.25">
      <c r="A77">
        <v>200000205</v>
      </c>
      <c r="B77" t="s">
        <v>1248</v>
      </c>
      <c r="C77" s="2">
        <v>44565</v>
      </c>
      <c r="D77" t="s">
        <v>1247</v>
      </c>
      <c r="E77">
        <v>2.79</v>
      </c>
      <c r="F77">
        <v>347</v>
      </c>
      <c r="G77">
        <v>2</v>
      </c>
      <c r="H77">
        <v>0.16</v>
      </c>
    </row>
    <row r="78" spans="1:8" x14ac:dyDescent="0.25">
      <c r="A78">
        <v>200002315</v>
      </c>
      <c r="B78" t="s">
        <v>1249</v>
      </c>
      <c r="C78" s="2">
        <v>44473</v>
      </c>
      <c r="D78" t="s">
        <v>1250</v>
      </c>
      <c r="E78">
        <v>12.55</v>
      </c>
      <c r="F78">
        <v>238</v>
      </c>
      <c r="G78">
        <v>2</v>
      </c>
      <c r="H78">
        <v>0.16</v>
      </c>
    </row>
    <row r="79" spans="1:8" x14ac:dyDescent="0.25">
      <c r="A79">
        <v>200004686</v>
      </c>
      <c r="B79" t="s">
        <v>1251</v>
      </c>
      <c r="C79" s="2">
        <v>44018</v>
      </c>
      <c r="D79" t="s">
        <v>1229</v>
      </c>
      <c r="E79">
        <v>274.89999999999998</v>
      </c>
      <c r="F79">
        <v>35</v>
      </c>
      <c r="G79">
        <v>10</v>
      </c>
      <c r="H79">
        <v>0.83</v>
      </c>
    </row>
    <row r="80" spans="1:8" x14ac:dyDescent="0.25">
      <c r="A80">
        <v>200003752</v>
      </c>
      <c r="B80" t="s">
        <v>1252</v>
      </c>
      <c r="C80" s="2">
        <v>44571</v>
      </c>
      <c r="D80" t="s">
        <v>1205</v>
      </c>
      <c r="E80">
        <v>60</v>
      </c>
      <c r="F80">
        <v>12</v>
      </c>
      <c r="G80">
        <v>1</v>
      </c>
      <c r="H80">
        <v>0.08</v>
      </c>
    </row>
    <row r="81" spans="1:8" x14ac:dyDescent="0.25">
      <c r="A81">
        <v>200002529</v>
      </c>
      <c r="B81" t="s">
        <v>1253</v>
      </c>
      <c r="C81" s="2">
        <v>43986</v>
      </c>
      <c r="D81" t="s">
        <v>1245</v>
      </c>
      <c r="E81">
        <v>245.07</v>
      </c>
      <c r="F81">
        <v>126</v>
      </c>
      <c r="G81">
        <v>1</v>
      </c>
      <c r="H81">
        <v>0.08</v>
      </c>
    </row>
    <row r="82" spans="1:8" x14ac:dyDescent="0.25">
      <c r="A82">
        <v>200002107</v>
      </c>
      <c r="B82" t="s">
        <v>285</v>
      </c>
      <c r="C82" s="2">
        <v>44540</v>
      </c>
      <c r="D82" t="s">
        <v>1163</v>
      </c>
      <c r="E82">
        <v>24.25</v>
      </c>
      <c r="F82">
        <v>90</v>
      </c>
      <c r="G82">
        <v>21</v>
      </c>
      <c r="H82">
        <v>1.75</v>
      </c>
    </row>
    <row r="83" spans="1:8" x14ac:dyDescent="0.25">
      <c r="A83">
        <v>200000216</v>
      </c>
      <c r="B83" t="s">
        <v>1254</v>
      </c>
      <c r="C83" s="2">
        <v>44568</v>
      </c>
      <c r="D83" t="s">
        <v>1172</v>
      </c>
      <c r="E83">
        <v>2.13</v>
      </c>
      <c r="F83">
        <v>739</v>
      </c>
      <c r="G83">
        <v>54</v>
      </c>
      <c r="H83">
        <v>4.5</v>
      </c>
    </row>
    <row r="84" spans="1:8" x14ac:dyDescent="0.25">
      <c r="A84">
        <v>200000217</v>
      </c>
      <c r="B84" t="s">
        <v>1255</v>
      </c>
      <c r="C84" s="2">
        <v>44568</v>
      </c>
      <c r="D84" t="s">
        <v>1172</v>
      </c>
      <c r="E84">
        <v>2.59</v>
      </c>
      <c r="F84">
        <v>179</v>
      </c>
      <c r="G84">
        <v>18</v>
      </c>
      <c r="H84">
        <v>1.5</v>
      </c>
    </row>
    <row r="85" spans="1:8" x14ac:dyDescent="0.25">
      <c r="A85">
        <v>200000220</v>
      </c>
      <c r="B85" t="s">
        <v>1256</v>
      </c>
      <c r="C85" s="2">
        <v>44544</v>
      </c>
      <c r="D85" t="s">
        <v>1172</v>
      </c>
      <c r="E85">
        <v>1.76</v>
      </c>
      <c r="F85">
        <v>428</v>
      </c>
      <c r="G85">
        <v>27</v>
      </c>
      <c r="H85">
        <v>2.25</v>
      </c>
    </row>
    <row r="86" spans="1:8" x14ac:dyDescent="0.25">
      <c r="A86">
        <v>200001516</v>
      </c>
      <c r="B86" t="s">
        <v>1257</v>
      </c>
      <c r="C86" s="2">
        <v>44355</v>
      </c>
      <c r="D86" t="s">
        <v>1221</v>
      </c>
      <c r="E86">
        <v>32</v>
      </c>
      <c r="F86">
        <v>1598</v>
      </c>
      <c r="G86">
        <v>20</v>
      </c>
      <c r="H86">
        <v>1.66</v>
      </c>
    </row>
    <row r="87" spans="1:8" x14ac:dyDescent="0.25">
      <c r="A87">
        <v>200002214</v>
      </c>
      <c r="B87" t="s">
        <v>305</v>
      </c>
      <c r="C87" s="2">
        <v>43487</v>
      </c>
      <c r="D87" t="s">
        <v>1258</v>
      </c>
      <c r="E87">
        <v>6</v>
      </c>
      <c r="F87">
        <v>113</v>
      </c>
      <c r="G87">
        <v>4</v>
      </c>
      <c r="H87">
        <v>0.33</v>
      </c>
    </row>
    <row r="88" spans="1:8" x14ac:dyDescent="0.25">
      <c r="A88">
        <v>200002782</v>
      </c>
      <c r="B88" t="s">
        <v>1259</v>
      </c>
      <c r="C88" s="2">
        <v>41920</v>
      </c>
      <c r="D88" t="s">
        <v>1260</v>
      </c>
      <c r="E88">
        <v>25</v>
      </c>
      <c r="F88">
        <v>11</v>
      </c>
      <c r="G88">
        <v>1</v>
      </c>
      <c r="H88">
        <v>0.08</v>
      </c>
    </row>
    <row r="89" spans="1:8" x14ac:dyDescent="0.25">
      <c r="A89">
        <v>200000243</v>
      </c>
      <c r="B89" t="s">
        <v>1261</v>
      </c>
      <c r="C89" s="2">
        <v>43661</v>
      </c>
      <c r="D89" t="s">
        <v>1262</v>
      </c>
      <c r="E89">
        <v>19.13</v>
      </c>
      <c r="F89">
        <v>391</v>
      </c>
      <c r="G89">
        <v>3</v>
      </c>
      <c r="H89">
        <v>0.25</v>
      </c>
    </row>
    <row r="90" spans="1:8" x14ac:dyDescent="0.25">
      <c r="A90">
        <v>200000242</v>
      </c>
      <c r="B90" t="s">
        <v>1263</v>
      </c>
      <c r="C90" s="2">
        <v>43661</v>
      </c>
      <c r="D90" t="s">
        <v>1262</v>
      </c>
      <c r="E90">
        <v>23.72</v>
      </c>
      <c r="F90">
        <v>0</v>
      </c>
      <c r="G90">
        <v>4</v>
      </c>
      <c r="H90">
        <v>0.33</v>
      </c>
    </row>
    <row r="91" spans="1:8" x14ac:dyDescent="0.25">
      <c r="A91">
        <v>200000262</v>
      </c>
      <c r="B91" t="s">
        <v>1264</v>
      </c>
      <c r="C91" s="2">
        <v>44147</v>
      </c>
      <c r="D91" t="s">
        <v>1180</v>
      </c>
      <c r="E91">
        <v>8.8000000000000007</v>
      </c>
      <c r="F91">
        <v>0</v>
      </c>
      <c r="G91">
        <v>4</v>
      </c>
      <c r="H91">
        <v>0.33</v>
      </c>
    </row>
    <row r="92" spans="1:8" x14ac:dyDescent="0.25">
      <c r="A92">
        <v>200000264</v>
      </c>
      <c r="B92" t="s">
        <v>1265</v>
      </c>
      <c r="C92" s="2">
        <v>44510</v>
      </c>
      <c r="D92" t="s">
        <v>1266</v>
      </c>
      <c r="E92">
        <v>1.17</v>
      </c>
      <c r="F92">
        <v>3366</v>
      </c>
      <c r="G92">
        <v>134</v>
      </c>
      <c r="H92">
        <v>11.16</v>
      </c>
    </row>
    <row r="93" spans="1:8" x14ac:dyDescent="0.25">
      <c r="A93">
        <v>200001564</v>
      </c>
      <c r="B93" t="s">
        <v>1267</v>
      </c>
      <c r="C93" s="2">
        <v>44571</v>
      </c>
      <c r="D93" t="s">
        <v>1205</v>
      </c>
      <c r="E93">
        <v>38</v>
      </c>
      <c r="F93">
        <v>2</v>
      </c>
      <c r="G93">
        <v>1</v>
      </c>
      <c r="H93">
        <v>0.08</v>
      </c>
    </row>
    <row r="94" spans="1:8" x14ac:dyDescent="0.25">
      <c r="A94">
        <v>200002082</v>
      </c>
      <c r="B94" t="s">
        <v>1268</v>
      </c>
      <c r="C94" s="2">
        <v>44571</v>
      </c>
      <c r="D94" t="s">
        <v>1205</v>
      </c>
      <c r="E94">
        <v>38</v>
      </c>
      <c r="F94">
        <v>38</v>
      </c>
      <c r="G94">
        <v>6</v>
      </c>
      <c r="H94">
        <v>0.5</v>
      </c>
    </row>
    <row r="95" spans="1:8" x14ac:dyDescent="0.25">
      <c r="A95">
        <v>200004021</v>
      </c>
      <c r="B95" t="s">
        <v>1269</v>
      </c>
      <c r="C95" s="2">
        <v>44571</v>
      </c>
      <c r="D95" t="s">
        <v>1205</v>
      </c>
      <c r="E95">
        <v>38</v>
      </c>
      <c r="F95">
        <v>0</v>
      </c>
      <c r="G95">
        <v>1</v>
      </c>
      <c r="H95">
        <v>0.08</v>
      </c>
    </row>
    <row r="96" spans="1:8" x14ac:dyDescent="0.25">
      <c r="A96">
        <v>200001562</v>
      </c>
      <c r="B96" t="s">
        <v>1270</v>
      </c>
      <c r="C96" s="2">
        <v>41920</v>
      </c>
      <c r="D96" t="s">
        <v>1260</v>
      </c>
      <c r="E96">
        <v>21</v>
      </c>
      <c r="F96">
        <v>0</v>
      </c>
      <c r="G96">
        <v>1</v>
      </c>
      <c r="H96">
        <v>0.08</v>
      </c>
    </row>
    <row r="97" spans="1:8" x14ac:dyDescent="0.25">
      <c r="A97">
        <v>200001563</v>
      </c>
      <c r="B97" t="s">
        <v>1271</v>
      </c>
      <c r="C97" s="2">
        <v>44571</v>
      </c>
      <c r="D97" t="s">
        <v>1205</v>
      </c>
      <c r="E97">
        <v>11</v>
      </c>
      <c r="F97">
        <v>121</v>
      </c>
      <c r="G97">
        <v>5</v>
      </c>
      <c r="H97">
        <v>0.41</v>
      </c>
    </row>
    <row r="98" spans="1:8" x14ac:dyDescent="0.25">
      <c r="A98">
        <v>200004022</v>
      </c>
      <c r="B98" t="s">
        <v>1272</v>
      </c>
      <c r="C98" s="2">
        <v>44571</v>
      </c>
      <c r="D98" t="s">
        <v>1205</v>
      </c>
      <c r="E98">
        <v>11</v>
      </c>
      <c r="F98">
        <v>162</v>
      </c>
      <c r="G98">
        <v>22</v>
      </c>
      <c r="H98">
        <v>1.83</v>
      </c>
    </row>
    <row r="99" spans="1:8" x14ac:dyDescent="0.25">
      <c r="A99">
        <v>200000277</v>
      </c>
      <c r="B99" t="s">
        <v>1273</v>
      </c>
      <c r="C99" s="2">
        <v>44571</v>
      </c>
      <c r="D99" t="s">
        <v>1205</v>
      </c>
      <c r="E99">
        <v>50</v>
      </c>
      <c r="F99">
        <v>3</v>
      </c>
      <c r="G99">
        <v>4</v>
      </c>
      <c r="H99">
        <v>0.33</v>
      </c>
    </row>
    <row r="100" spans="1:8" x14ac:dyDescent="0.25">
      <c r="A100">
        <v>200005289</v>
      </c>
      <c r="B100" t="s">
        <v>1274</v>
      </c>
      <c r="C100" s="2">
        <v>44509</v>
      </c>
      <c r="D100" t="s">
        <v>1275</v>
      </c>
      <c r="E100">
        <v>179.48</v>
      </c>
      <c r="F100">
        <v>67</v>
      </c>
      <c r="G100">
        <v>2</v>
      </c>
      <c r="H100">
        <v>0.16</v>
      </c>
    </row>
    <row r="101" spans="1:8" x14ac:dyDescent="0.25">
      <c r="A101">
        <v>200000287</v>
      </c>
      <c r="B101" t="s">
        <v>345</v>
      </c>
      <c r="C101" s="2">
        <v>43515</v>
      </c>
      <c r="D101" t="s">
        <v>1276</v>
      </c>
      <c r="E101">
        <v>4</v>
      </c>
      <c r="F101">
        <v>110</v>
      </c>
      <c r="G101">
        <v>6</v>
      </c>
      <c r="H101">
        <v>0.5</v>
      </c>
    </row>
    <row r="102" spans="1:8" x14ac:dyDescent="0.25">
      <c r="A102">
        <v>200000289</v>
      </c>
      <c r="B102" t="s">
        <v>1277</v>
      </c>
      <c r="C102" s="2">
        <v>44511</v>
      </c>
      <c r="D102" t="s">
        <v>1199</v>
      </c>
      <c r="E102">
        <v>8.6</v>
      </c>
      <c r="F102">
        <v>75</v>
      </c>
      <c r="G102">
        <v>3</v>
      </c>
      <c r="H102">
        <v>0.25</v>
      </c>
    </row>
    <row r="103" spans="1:8" x14ac:dyDescent="0.25">
      <c r="A103">
        <v>200000288</v>
      </c>
      <c r="B103" t="s">
        <v>354</v>
      </c>
      <c r="C103" s="2">
        <v>44124</v>
      </c>
      <c r="D103" t="s">
        <v>1276</v>
      </c>
      <c r="E103">
        <v>3.4</v>
      </c>
      <c r="F103">
        <v>780</v>
      </c>
      <c r="G103">
        <v>6</v>
      </c>
      <c r="H103">
        <v>0.5</v>
      </c>
    </row>
    <row r="104" spans="1:8" x14ac:dyDescent="0.25">
      <c r="A104">
        <v>200001021</v>
      </c>
      <c r="B104" t="s">
        <v>356</v>
      </c>
      <c r="C104" s="2">
        <v>44540</v>
      </c>
      <c r="D104" t="s">
        <v>1163</v>
      </c>
      <c r="E104">
        <v>173.22</v>
      </c>
      <c r="F104">
        <v>183</v>
      </c>
      <c r="G104">
        <v>6</v>
      </c>
      <c r="H104">
        <v>0.5</v>
      </c>
    </row>
    <row r="105" spans="1:8" x14ac:dyDescent="0.25">
      <c r="A105">
        <v>200000299</v>
      </c>
      <c r="B105" t="s">
        <v>1278</v>
      </c>
      <c r="C105" s="2">
        <v>44565</v>
      </c>
      <c r="D105" t="s">
        <v>1247</v>
      </c>
      <c r="E105">
        <v>3.68</v>
      </c>
      <c r="F105">
        <v>1082</v>
      </c>
      <c r="G105">
        <v>40</v>
      </c>
      <c r="H105">
        <v>3.33</v>
      </c>
    </row>
    <row r="106" spans="1:8" x14ac:dyDescent="0.25">
      <c r="A106">
        <v>200000297</v>
      </c>
      <c r="B106" t="s">
        <v>1279</v>
      </c>
      <c r="C106" s="2">
        <v>44565</v>
      </c>
      <c r="D106" t="s">
        <v>1247</v>
      </c>
      <c r="E106">
        <v>3.75</v>
      </c>
      <c r="F106">
        <v>680</v>
      </c>
      <c r="G106">
        <v>65</v>
      </c>
      <c r="H106">
        <v>5.41</v>
      </c>
    </row>
    <row r="107" spans="1:8" x14ac:dyDescent="0.25">
      <c r="A107">
        <v>200004751</v>
      </c>
      <c r="B107" t="s">
        <v>1280</v>
      </c>
      <c r="C107" s="2">
        <v>44271</v>
      </c>
      <c r="D107" t="s">
        <v>1281</v>
      </c>
      <c r="E107">
        <v>31.66</v>
      </c>
      <c r="F107">
        <v>0</v>
      </c>
      <c r="G107">
        <v>2</v>
      </c>
      <c r="H107">
        <v>0.16</v>
      </c>
    </row>
    <row r="108" spans="1:8" x14ac:dyDescent="0.25">
      <c r="A108">
        <v>200002090</v>
      </c>
      <c r="B108" t="s">
        <v>1282</v>
      </c>
      <c r="C108" s="2">
        <v>44250</v>
      </c>
      <c r="D108" t="s">
        <v>1161</v>
      </c>
      <c r="E108">
        <v>17.809999999999999</v>
      </c>
      <c r="F108">
        <v>288</v>
      </c>
      <c r="G108">
        <v>5</v>
      </c>
      <c r="H108">
        <v>0.41</v>
      </c>
    </row>
    <row r="109" spans="1:8" x14ac:dyDescent="0.25">
      <c r="A109">
        <v>200000301</v>
      </c>
      <c r="B109" t="s">
        <v>1283</v>
      </c>
      <c r="C109" s="2">
        <v>44544</v>
      </c>
      <c r="D109" t="s">
        <v>1172</v>
      </c>
      <c r="E109">
        <v>0.75</v>
      </c>
      <c r="F109">
        <v>770</v>
      </c>
      <c r="G109">
        <v>55</v>
      </c>
      <c r="H109">
        <v>4.58</v>
      </c>
    </row>
    <row r="110" spans="1:8" x14ac:dyDescent="0.25">
      <c r="A110">
        <v>200000303</v>
      </c>
      <c r="B110" t="s">
        <v>1284</v>
      </c>
      <c r="C110" s="2">
        <v>44544</v>
      </c>
      <c r="D110" t="s">
        <v>1285</v>
      </c>
      <c r="E110">
        <v>1.7</v>
      </c>
      <c r="F110">
        <v>3064</v>
      </c>
      <c r="G110">
        <v>295</v>
      </c>
      <c r="H110">
        <v>24.58</v>
      </c>
    </row>
    <row r="111" spans="1:8" x14ac:dyDescent="0.25">
      <c r="A111">
        <v>200000310</v>
      </c>
      <c r="B111" t="s">
        <v>359</v>
      </c>
      <c r="C111" s="2">
        <v>44538</v>
      </c>
      <c r="D111" t="s">
        <v>1163</v>
      </c>
      <c r="E111">
        <v>36.49</v>
      </c>
      <c r="F111">
        <v>23</v>
      </c>
      <c r="G111">
        <v>3</v>
      </c>
      <c r="H111">
        <v>0.25</v>
      </c>
    </row>
    <row r="112" spans="1:8" x14ac:dyDescent="0.25">
      <c r="A112">
        <v>200001338</v>
      </c>
      <c r="B112" t="s">
        <v>361</v>
      </c>
      <c r="C112" s="2">
        <v>44538</v>
      </c>
      <c r="D112" t="s">
        <v>1163</v>
      </c>
      <c r="E112">
        <v>7.7</v>
      </c>
      <c r="F112">
        <v>32</v>
      </c>
      <c r="G112">
        <v>6</v>
      </c>
      <c r="H112">
        <v>0.5</v>
      </c>
    </row>
    <row r="113" spans="1:8" x14ac:dyDescent="0.25">
      <c r="A113">
        <v>200004149</v>
      </c>
      <c r="B113" t="s">
        <v>1286</v>
      </c>
      <c r="C113" s="2">
        <v>43992</v>
      </c>
      <c r="D113" t="s">
        <v>1287</v>
      </c>
      <c r="E113">
        <v>0.21</v>
      </c>
      <c r="F113">
        <v>10736</v>
      </c>
      <c r="G113">
        <v>810</v>
      </c>
      <c r="H113">
        <v>67.5</v>
      </c>
    </row>
    <row r="114" spans="1:8" x14ac:dyDescent="0.25">
      <c r="A114">
        <v>200000317</v>
      </c>
      <c r="B114" t="s">
        <v>1288</v>
      </c>
      <c r="C114" s="2">
        <v>43992</v>
      </c>
      <c r="D114" t="s">
        <v>1287</v>
      </c>
      <c r="E114">
        <v>0.28999999999999998</v>
      </c>
      <c r="F114">
        <v>3033</v>
      </c>
      <c r="G114">
        <v>215</v>
      </c>
      <c r="H114">
        <v>17.91</v>
      </c>
    </row>
    <row r="115" spans="1:8" x14ac:dyDescent="0.25">
      <c r="A115">
        <v>200004410</v>
      </c>
      <c r="B115" t="s">
        <v>1289</v>
      </c>
      <c r="C115" s="2">
        <v>44503</v>
      </c>
      <c r="D115" t="s">
        <v>1241</v>
      </c>
      <c r="E115">
        <v>0.88</v>
      </c>
      <c r="F115">
        <v>2909</v>
      </c>
      <c r="G115">
        <v>160</v>
      </c>
      <c r="H115">
        <v>13.33</v>
      </c>
    </row>
    <row r="116" spans="1:8" x14ac:dyDescent="0.25">
      <c r="A116">
        <v>200004451</v>
      </c>
      <c r="B116" t="s">
        <v>1290</v>
      </c>
      <c r="C116" s="2">
        <v>44273</v>
      </c>
      <c r="D116" t="s">
        <v>1291</v>
      </c>
      <c r="E116">
        <v>1</v>
      </c>
      <c r="F116">
        <v>1786</v>
      </c>
      <c r="G116">
        <v>90</v>
      </c>
      <c r="H116">
        <v>7.5</v>
      </c>
    </row>
    <row r="117" spans="1:8" x14ac:dyDescent="0.25">
      <c r="A117">
        <v>200004165</v>
      </c>
      <c r="B117" t="s">
        <v>1292</v>
      </c>
      <c r="C117" s="2">
        <v>44503</v>
      </c>
      <c r="D117" t="s">
        <v>1241</v>
      </c>
      <c r="E117">
        <v>0.97</v>
      </c>
      <c r="F117">
        <v>2430</v>
      </c>
      <c r="G117">
        <v>88</v>
      </c>
      <c r="H117">
        <v>7.33</v>
      </c>
    </row>
    <row r="118" spans="1:8" x14ac:dyDescent="0.25">
      <c r="A118">
        <v>200005406</v>
      </c>
      <c r="B118" t="s">
        <v>1293</v>
      </c>
      <c r="C118" s="2">
        <v>44572</v>
      </c>
      <c r="D118" t="s">
        <v>1243</v>
      </c>
      <c r="E118">
        <v>14950</v>
      </c>
      <c r="F118">
        <v>0</v>
      </c>
      <c r="G118">
        <v>2</v>
      </c>
      <c r="H118">
        <v>0.16</v>
      </c>
    </row>
    <row r="119" spans="1:8" x14ac:dyDescent="0.25">
      <c r="A119">
        <v>200000862</v>
      </c>
      <c r="B119" t="s">
        <v>1294</v>
      </c>
      <c r="C119" s="2">
        <v>44543</v>
      </c>
      <c r="D119" t="s">
        <v>1163</v>
      </c>
      <c r="E119">
        <v>5.42</v>
      </c>
      <c r="F119">
        <v>1169</v>
      </c>
      <c r="G119">
        <v>9</v>
      </c>
      <c r="H119">
        <v>0.75</v>
      </c>
    </row>
    <row r="120" spans="1:8" x14ac:dyDescent="0.25">
      <c r="A120">
        <v>200002472</v>
      </c>
      <c r="B120" t="s">
        <v>1295</v>
      </c>
      <c r="C120" s="2">
        <v>44510</v>
      </c>
      <c r="D120" t="s">
        <v>1266</v>
      </c>
      <c r="E120">
        <v>0.4</v>
      </c>
      <c r="F120">
        <v>2988</v>
      </c>
      <c r="G120">
        <v>126</v>
      </c>
      <c r="H120">
        <v>10.5</v>
      </c>
    </row>
    <row r="121" spans="1:8" x14ac:dyDescent="0.25">
      <c r="A121">
        <v>200000338</v>
      </c>
      <c r="B121" t="s">
        <v>1296</v>
      </c>
      <c r="C121" s="2">
        <v>44568</v>
      </c>
      <c r="D121" t="s">
        <v>1297</v>
      </c>
      <c r="E121">
        <v>19.25</v>
      </c>
      <c r="F121">
        <v>154</v>
      </c>
      <c r="G121">
        <v>22</v>
      </c>
      <c r="H121">
        <v>1.83</v>
      </c>
    </row>
    <row r="122" spans="1:8" x14ac:dyDescent="0.25">
      <c r="A122">
        <v>200000339</v>
      </c>
      <c r="B122" t="s">
        <v>1298</v>
      </c>
      <c r="C122" s="2">
        <v>43990</v>
      </c>
      <c r="D122" t="s">
        <v>1299</v>
      </c>
      <c r="E122">
        <v>16.920000000000002</v>
      </c>
      <c r="F122">
        <v>354</v>
      </c>
      <c r="G122">
        <v>45</v>
      </c>
      <c r="H122">
        <v>3.75</v>
      </c>
    </row>
    <row r="123" spans="1:8" x14ac:dyDescent="0.25">
      <c r="A123">
        <v>200003244</v>
      </c>
      <c r="B123" t="s">
        <v>1300</v>
      </c>
      <c r="C123" s="2">
        <v>44571</v>
      </c>
      <c r="D123" t="s">
        <v>1205</v>
      </c>
      <c r="E123">
        <v>320</v>
      </c>
      <c r="F123">
        <v>27</v>
      </c>
      <c r="G123">
        <v>2</v>
      </c>
      <c r="H123">
        <v>0.16</v>
      </c>
    </row>
    <row r="124" spans="1:8" x14ac:dyDescent="0.25">
      <c r="A124">
        <v>200000341</v>
      </c>
      <c r="B124" t="s">
        <v>1301</v>
      </c>
      <c r="C124" s="2">
        <v>44568</v>
      </c>
      <c r="D124" t="s">
        <v>1172</v>
      </c>
      <c r="E124">
        <v>2.58</v>
      </c>
      <c r="F124">
        <v>59</v>
      </c>
      <c r="G124">
        <v>4</v>
      </c>
      <c r="H124">
        <v>0.33</v>
      </c>
    </row>
    <row r="125" spans="1:8" x14ac:dyDescent="0.25">
      <c r="A125">
        <v>200005813</v>
      </c>
      <c r="B125" t="s">
        <v>382</v>
      </c>
      <c r="C125" s="2">
        <v>44509</v>
      </c>
      <c r="D125" t="s">
        <v>1276</v>
      </c>
      <c r="E125">
        <v>52.5</v>
      </c>
      <c r="F125">
        <v>836</v>
      </c>
      <c r="G125">
        <v>1</v>
      </c>
      <c r="H125">
        <v>0.08</v>
      </c>
    </row>
    <row r="126" spans="1:8" x14ac:dyDescent="0.25">
      <c r="A126">
        <v>200001205</v>
      </c>
      <c r="B126" t="s">
        <v>385</v>
      </c>
      <c r="C126" s="2">
        <v>43515</v>
      </c>
      <c r="D126" t="s">
        <v>1276</v>
      </c>
      <c r="E126">
        <v>34</v>
      </c>
      <c r="F126">
        <v>0</v>
      </c>
      <c r="G126">
        <v>2</v>
      </c>
      <c r="H126">
        <v>0.16</v>
      </c>
    </row>
    <row r="127" spans="1:8" x14ac:dyDescent="0.25">
      <c r="A127">
        <v>200002129</v>
      </c>
      <c r="B127" t="s">
        <v>390</v>
      </c>
      <c r="C127" s="2">
        <v>44537</v>
      </c>
      <c r="D127" t="s">
        <v>1302</v>
      </c>
      <c r="E127">
        <v>84.67</v>
      </c>
      <c r="F127">
        <v>0</v>
      </c>
      <c r="G127">
        <v>4</v>
      </c>
      <c r="H127">
        <v>0.33</v>
      </c>
    </row>
    <row r="128" spans="1:8" x14ac:dyDescent="0.25">
      <c r="A128">
        <v>200004834</v>
      </c>
      <c r="B128" t="s">
        <v>1303</v>
      </c>
      <c r="C128" s="2">
        <v>44378</v>
      </c>
      <c r="D128" t="s">
        <v>1157</v>
      </c>
      <c r="E128">
        <v>17</v>
      </c>
      <c r="F128">
        <v>874</v>
      </c>
      <c r="G128">
        <v>54</v>
      </c>
      <c r="H128">
        <v>4.5</v>
      </c>
    </row>
    <row r="129" spans="1:8" x14ac:dyDescent="0.25">
      <c r="A129">
        <v>200000356</v>
      </c>
      <c r="B129" t="s">
        <v>1304</v>
      </c>
      <c r="C129" s="2">
        <v>44545</v>
      </c>
      <c r="D129" t="s">
        <v>1247</v>
      </c>
      <c r="E129">
        <v>4.1900000000000004</v>
      </c>
      <c r="F129">
        <v>509</v>
      </c>
      <c r="G129">
        <v>17</v>
      </c>
      <c r="H129">
        <v>1.41</v>
      </c>
    </row>
    <row r="130" spans="1:8" x14ac:dyDescent="0.25">
      <c r="A130">
        <v>200000360</v>
      </c>
      <c r="B130" t="s">
        <v>1305</v>
      </c>
      <c r="C130" s="2">
        <v>44544</v>
      </c>
      <c r="D130" t="s">
        <v>1172</v>
      </c>
      <c r="E130">
        <v>2.75</v>
      </c>
      <c r="F130">
        <v>1522</v>
      </c>
      <c r="G130">
        <v>172</v>
      </c>
      <c r="H130">
        <v>14.33</v>
      </c>
    </row>
    <row r="131" spans="1:8" x14ac:dyDescent="0.25">
      <c r="A131">
        <v>200004971</v>
      </c>
      <c r="B131" t="s">
        <v>1306</v>
      </c>
      <c r="C131" s="2">
        <v>44379</v>
      </c>
      <c r="D131" t="s">
        <v>1180</v>
      </c>
      <c r="E131">
        <v>5.0999999999999996</v>
      </c>
      <c r="F131">
        <v>0</v>
      </c>
      <c r="G131">
        <v>2</v>
      </c>
      <c r="H131">
        <v>0.16</v>
      </c>
    </row>
    <row r="132" spans="1:8" x14ac:dyDescent="0.25">
      <c r="A132">
        <v>200005781</v>
      </c>
      <c r="B132" t="s">
        <v>1307</v>
      </c>
      <c r="C132" s="2">
        <v>44525</v>
      </c>
      <c r="D132" t="s">
        <v>1308</v>
      </c>
      <c r="E132">
        <v>311.06</v>
      </c>
      <c r="F132">
        <v>0</v>
      </c>
      <c r="G132">
        <v>1</v>
      </c>
      <c r="H132">
        <v>0.08</v>
      </c>
    </row>
    <row r="133" spans="1:8" x14ac:dyDescent="0.25">
      <c r="A133">
        <v>200001087</v>
      </c>
      <c r="B133" t="s">
        <v>1309</v>
      </c>
      <c r="C133" s="2">
        <v>44517</v>
      </c>
      <c r="D133" t="s">
        <v>1310</v>
      </c>
      <c r="E133">
        <v>3.28</v>
      </c>
      <c r="F133">
        <v>122</v>
      </c>
      <c r="G133">
        <v>15</v>
      </c>
      <c r="H133">
        <v>1.25</v>
      </c>
    </row>
    <row r="134" spans="1:8" x14ac:dyDescent="0.25">
      <c r="A134">
        <v>200001085</v>
      </c>
      <c r="B134" t="s">
        <v>1311</v>
      </c>
      <c r="C134" s="2">
        <v>44517</v>
      </c>
      <c r="D134" t="s">
        <v>1310</v>
      </c>
      <c r="E134">
        <v>6.72</v>
      </c>
      <c r="F134">
        <v>42</v>
      </c>
      <c r="G134">
        <v>16</v>
      </c>
      <c r="H134">
        <v>1.33</v>
      </c>
    </row>
    <row r="135" spans="1:8" x14ac:dyDescent="0.25">
      <c r="A135">
        <v>200006002</v>
      </c>
      <c r="B135" t="s">
        <v>409</v>
      </c>
      <c r="C135" s="2">
        <v>44573</v>
      </c>
      <c r="D135" t="s">
        <v>1163</v>
      </c>
      <c r="E135">
        <v>8.15</v>
      </c>
      <c r="F135">
        <v>162</v>
      </c>
      <c r="G135">
        <v>10</v>
      </c>
      <c r="H135">
        <v>0.83</v>
      </c>
    </row>
    <row r="136" spans="1:8" x14ac:dyDescent="0.25">
      <c r="A136">
        <v>200006003</v>
      </c>
      <c r="B136" t="s">
        <v>410</v>
      </c>
      <c r="C136" s="2">
        <v>44573</v>
      </c>
      <c r="D136" t="s">
        <v>1163</v>
      </c>
      <c r="E136">
        <v>14.32</v>
      </c>
      <c r="F136">
        <v>90</v>
      </c>
      <c r="G136">
        <v>10</v>
      </c>
      <c r="H136">
        <v>0.83</v>
      </c>
    </row>
    <row r="137" spans="1:8" x14ac:dyDescent="0.25">
      <c r="A137">
        <v>200001111</v>
      </c>
      <c r="B137" t="s">
        <v>1312</v>
      </c>
      <c r="C137" s="2">
        <v>44334</v>
      </c>
      <c r="D137" t="s">
        <v>1157</v>
      </c>
      <c r="E137">
        <v>17.98</v>
      </c>
      <c r="F137">
        <v>571</v>
      </c>
      <c r="G137">
        <v>13</v>
      </c>
      <c r="H137">
        <v>1.08</v>
      </c>
    </row>
    <row r="138" spans="1:8" x14ac:dyDescent="0.25">
      <c r="A138">
        <v>200000359</v>
      </c>
      <c r="B138" t="s">
        <v>1313</v>
      </c>
      <c r="C138" s="2">
        <v>44544</v>
      </c>
      <c r="D138" t="s">
        <v>1172</v>
      </c>
      <c r="E138">
        <v>0.68</v>
      </c>
      <c r="F138">
        <v>366</v>
      </c>
      <c r="G138">
        <v>20</v>
      </c>
      <c r="H138">
        <v>1.66</v>
      </c>
    </row>
    <row r="139" spans="1:8" x14ac:dyDescent="0.25">
      <c r="A139">
        <v>200003359</v>
      </c>
      <c r="B139" t="s">
        <v>1314</v>
      </c>
      <c r="C139" s="2">
        <v>44379</v>
      </c>
      <c r="D139" t="s">
        <v>1180</v>
      </c>
      <c r="E139">
        <v>4.91</v>
      </c>
      <c r="F139">
        <v>1313</v>
      </c>
      <c r="G139">
        <v>26</v>
      </c>
      <c r="H139">
        <v>2.16</v>
      </c>
    </row>
    <row r="140" spans="1:8" x14ac:dyDescent="0.25">
      <c r="A140">
        <v>200000376</v>
      </c>
      <c r="B140" t="s">
        <v>419</v>
      </c>
      <c r="C140" s="2">
        <v>44538</v>
      </c>
      <c r="D140" t="s">
        <v>1163</v>
      </c>
      <c r="E140">
        <v>14.73</v>
      </c>
      <c r="F140">
        <v>42</v>
      </c>
      <c r="G140">
        <v>6</v>
      </c>
      <c r="H140">
        <v>0.5</v>
      </c>
    </row>
    <row r="141" spans="1:8" x14ac:dyDescent="0.25">
      <c r="A141">
        <v>200003060</v>
      </c>
      <c r="B141" t="s">
        <v>1315</v>
      </c>
      <c r="C141" s="2">
        <v>42522</v>
      </c>
      <c r="D141" t="s">
        <v>1229</v>
      </c>
      <c r="E141">
        <v>6.88</v>
      </c>
      <c r="F141">
        <v>736</v>
      </c>
      <c r="G141">
        <v>48</v>
      </c>
      <c r="H141">
        <v>4</v>
      </c>
    </row>
    <row r="142" spans="1:8" x14ac:dyDescent="0.25">
      <c r="A142">
        <v>200001515</v>
      </c>
      <c r="B142" t="s">
        <v>1316</v>
      </c>
      <c r="C142" s="2">
        <v>44355</v>
      </c>
      <c r="D142" t="s">
        <v>1221</v>
      </c>
      <c r="E142">
        <v>16.489999999999998</v>
      </c>
      <c r="F142">
        <v>69</v>
      </c>
      <c r="G142">
        <v>3</v>
      </c>
      <c r="H142">
        <v>0.25</v>
      </c>
    </row>
    <row r="143" spans="1:8" x14ac:dyDescent="0.25">
      <c r="A143">
        <v>200000377</v>
      </c>
      <c r="B143" t="s">
        <v>1317</v>
      </c>
      <c r="C143" s="2">
        <v>44544</v>
      </c>
      <c r="D143" t="s">
        <v>1172</v>
      </c>
      <c r="E143">
        <v>6.37</v>
      </c>
      <c r="F143">
        <v>402</v>
      </c>
      <c r="G143">
        <v>63</v>
      </c>
      <c r="H143">
        <v>5.25</v>
      </c>
    </row>
    <row r="144" spans="1:8" x14ac:dyDescent="0.25">
      <c r="A144">
        <v>200002113</v>
      </c>
      <c r="B144" t="s">
        <v>424</v>
      </c>
      <c r="C144" s="2">
        <v>44181</v>
      </c>
      <c r="D144" t="s">
        <v>1318</v>
      </c>
      <c r="E144">
        <v>294.67</v>
      </c>
      <c r="F144">
        <v>0</v>
      </c>
      <c r="G144">
        <v>5</v>
      </c>
      <c r="H144">
        <v>0.41</v>
      </c>
    </row>
    <row r="145" spans="1:8" x14ac:dyDescent="0.25">
      <c r="A145">
        <v>200005304</v>
      </c>
      <c r="B145" t="s">
        <v>1319</v>
      </c>
      <c r="C145" s="2">
        <v>44516</v>
      </c>
      <c r="D145" t="s">
        <v>1196</v>
      </c>
      <c r="E145">
        <v>5.7</v>
      </c>
      <c r="F145">
        <v>380</v>
      </c>
      <c r="G145">
        <v>11</v>
      </c>
      <c r="H145">
        <v>0.91</v>
      </c>
    </row>
    <row r="146" spans="1:8" x14ac:dyDescent="0.25">
      <c r="A146">
        <v>200005286</v>
      </c>
      <c r="B146" t="s">
        <v>1320</v>
      </c>
      <c r="C146" s="2">
        <v>44032</v>
      </c>
      <c r="D146" t="s">
        <v>1321</v>
      </c>
      <c r="E146">
        <v>18.21</v>
      </c>
      <c r="F146">
        <v>318</v>
      </c>
      <c r="G146">
        <v>1</v>
      </c>
      <c r="H146">
        <v>0.08</v>
      </c>
    </row>
    <row r="147" spans="1:8" x14ac:dyDescent="0.25">
      <c r="A147">
        <v>200000395</v>
      </c>
      <c r="B147" t="s">
        <v>1322</v>
      </c>
      <c r="C147" s="2">
        <v>44544</v>
      </c>
      <c r="D147" t="s">
        <v>1172</v>
      </c>
      <c r="E147">
        <v>45.18</v>
      </c>
      <c r="F147">
        <v>88</v>
      </c>
      <c r="G147">
        <v>8</v>
      </c>
      <c r="H147">
        <v>0.66</v>
      </c>
    </row>
    <row r="148" spans="1:8" x14ac:dyDescent="0.25">
      <c r="A148">
        <v>200000396</v>
      </c>
      <c r="B148" t="s">
        <v>1323</v>
      </c>
      <c r="C148" s="2">
        <v>44544</v>
      </c>
      <c r="D148" t="s">
        <v>1172</v>
      </c>
      <c r="E148">
        <v>1.37</v>
      </c>
      <c r="F148">
        <v>805</v>
      </c>
      <c r="G148">
        <v>64</v>
      </c>
      <c r="H148">
        <v>5.33</v>
      </c>
    </row>
    <row r="149" spans="1:8" x14ac:dyDescent="0.25">
      <c r="A149">
        <v>200000884</v>
      </c>
      <c r="B149" t="s">
        <v>1324</v>
      </c>
      <c r="C149" s="2">
        <v>44512</v>
      </c>
      <c r="D149" t="s">
        <v>1172</v>
      </c>
      <c r="E149">
        <v>4.0599999999999996</v>
      </c>
      <c r="F149">
        <v>13</v>
      </c>
      <c r="G149">
        <v>1</v>
      </c>
      <c r="H149">
        <v>0.08</v>
      </c>
    </row>
    <row r="150" spans="1:8" x14ac:dyDescent="0.25">
      <c r="A150">
        <v>200002208</v>
      </c>
      <c r="B150" t="s">
        <v>436</v>
      </c>
      <c r="C150" s="2">
        <v>44538</v>
      </c>
      <c r="D150" t="s">
        <v>1163</v>
      </c>
      <c r="E150">
        <v>15.05</v>
      </c>
      <c r="F150">
        <v>19</v>
      </c>
      <c r="G150">
        <v>2</v>
      </c>
      <c r="H150">
        <v>0.16</v>
      </c>
    </row>
    <row r="151" spans="1:8" x14ac:dyDescent="0.25">
      <c r="A151">
        <v>200002209</v>
      </c>
      <c r="B151" t="s">
        <v>437</v>
      </c>
      <c r="C151" s="2">
        <v>44538</v>
      </c>
      <c r="D151" t="s">
        <v>1163</v>
      </c>
      <c r="E151">
        <v>32.08</v>
      </c>
      <c r="F151">
        <v>20</v>
      </c>
      <c r="G151">
        <v>4</v>
      </c>
      <c r="H151">
        <v>0.33</v>
      </c>
    </row>
    <row r="152" spans="1:8" x14ac:dyDescent="0.25">
      <c r="A152">
        <v>200003426</v>
      </c>
      <c r="B152" t="s">
        <v>1325</v>
      </c>
      <c r="C152" s="2">
        <v>44568</v>
      </c>
      <c r="D152" t="s">
        <v>1326</v>
      </c>
      <c r="E152">
        <v>150</v>
      </c>
      <c r="F152">
        <v>0</v>
      </c>
      <c r="G152">
        <v>1</v>
      </c>
      <c r="H152">
        <v>0.08</v>
      </c>
    </row>
    <row r="153" spans="1:8" x14ac:dyDescent="0.25">
      <c r="A153">
        <v>200003429</v>
      </c>
      <c r="B153" t="s">
        <v>1327</v>
      </c>
      <c r="C153" s="2">
        <v>44568</v>
      </c>
      <c r="D153" t="s">
        <v>1326</v>
      </c>
      <c r="E153">
        <v>75</v>
      </c>
      <c r="F153">
        <v>0</v>
      </c>
      <c r="G153">
        <v>1</v>
      </c>
      <c r="H153">
        <v>0.08</v>
      </c>
    </row>
    <row r="154" spans="1:8" x14ac:dyDescent="0.25">
      <c r="A154">
        <v>200002169</v>
      </c>
      <c r="B154" t="s">
        <v>1328</v>
      </c>
      <c r="C154" s="2">
        <v>44405</v>
      </c>
      <c r="D154" t="s">
        <v>1329</v>
      </c>
      <c r="E154">
        <v>457</v>
      </c>
      <c r="F154">
        <v>46</v>
      </c>
      <c r="G154">
        <v>5</v>
      </c>
      <c r="H154">
        <v>0.41</v>
      </c>
    </row>
    <row r="155" spans="1:8" x14ac:dyDescent="0.25">
      <c r="A155">
        <v>200002520</v>
      </c>
      <c r="B155" t="s">
        <v>1330</v>
      </c>
      <c r="C155" s="2">
        <v>44405</v>
      </c>
      <c r="D155" t="s">
        <v>1329</v>
      </c>
      <c r="E155">
        <v>293</v>
      </c>
      <c r="F155">
        <v>9</v>
      </c>
      <c r="G155">
        <v>1</v>
      </c>
      <c r="H155">
        <v>0.08</v>
      </c>
    </row>
    <row r="156" spans="1:8" x14ac:dyDescent="0.25">
      <c r="A156">
        <v>200004082</v>
      </c>
      <c r="B156" t="s">
        <v>446</v>
      </c>
      <c r="C156" s="2">
        <v>44525</v>
      </c>
      <c r="D156" t="s">
        <v>1163</v>
      </c>
      <c r="E156">
        <v>97.65</v>
      </c>
      <c r="F156">
        <v>49</v>
      </c>
      <c r="G156">
        <v>8</v>
      </c>
      <c r="H156">
        <v>0.66</v>
      </c>
    </row>
    <row r="157" spans="1:8" x14ac:dyDescent="0.25">
      <c r="A157">
        <v>200003091</v>
      </c>
      <c r="B157" t="s">
        <v>1331</v>
      </c>
      <c r="C157" s="2">
        <v>44543</v>
      </c>
      <c r="D157" t="s">
        <v>1163</v>
      </c>
      <c r="E157">
        <v>10.53</v>
      </c>
      <c r="F157">
        <v>12</v>
      </c>
      <c r="G157">
        <v>1</v>
      </c>
      <c r="H157">
        <v>0.08</v>
      </c>
    </row>
    <row r="158" spans="1:8" x14ac:dyDescent="0.25">
      <c r="A158">
        <v>200001956</v>
      </c>
      <c r="B158" t="s">
        <v>490</v>
      </c>
      <c r="C158" s="2">
        <v>44531</v>
      </c>
      <c r="D158" t="s">
        <v>1200</v>
      </c>
      <c r="E158">
        <v>11.49</v>
      </c>
      <c r="F158">
        <v>0</v>
      </c>
      <c r="G158">
        <v>6</v>
      </c>
      <c r="H158">
        <v>0.5</v>
      </c>
    </row>
    <row r="159" spans="1:8" x14ac:dyDescent="0.25">
      <c r="A159">
        <v>200001517</v>
      </c>
      <c r="B159" t="s">
        <v>1332</v>
      </c>
      <c r="C159" s="2">
        <v>44393</v>
      </c>
      <c r="D159" t="s">
        <v>1333</v>
      </c>
      <c r="E159">
        <v>1</v>
      </c>
      <c r="F159">
        <v>0</v>
      </c>
      <c r="G159">
        <v>40</v>
      </c>
      <c r="H159">
        <v>3.33</v>
      </c>
    </row>
    <row r="160" spans="1:8" x14ac:dyDescent="0.25">
      <c r="A160">
        <v>200004132</v>
      </c>
      <c r="B160" t="s">
        <v>1334</v>
      </c>
      <c r="C160" s="2">
        <v>44538</v>
      </c>
      <c r="D160" t="s">
        <v>1163</v>
      </c>
      <c r="E160">
        <v>43.72</v>
      </c>
      <c r="F160">
        <v>34</v>
      </c>
      <c r="G160">
        <v>3</v>
      </c>
      <c r="H160">
        <v>0.25</v>
      </c>
    </row>
    <row r="161" spans="1:8" x14ac:dyDescent="0.25">
      <c r="A161">
        <v>200000454</v>
      </c>
      <c r="B161" t="s">
        <v>1335</v>
      </c>
      <c r="C161" s="2">
        <v>44544</v>
      </c>
      <c r="D161" t="s">
        <v>1172</v>
      </c>
      <c r="E161">
        <v>9.98</v>
      </c>
      <c r="F161">
        <v>143</v>
      </c>
      <c r="G161">
        <v>13</v>
      </c>
      <c r="H161">
        <v>1.08</v>
      </c>
    </row>
    <row r="162" spans="1:8" x14ac:dyDescent="0.25">
      <c r="A162">
        <v>200002717</v>
      </c>
      <c r="B162" t="s">
        <v>532</v>
      </c>
      <c r="C162" s="2">
        <v>44573</v>
      </c>
      <c r="D162" t="s">
        <v>1163</v>
      </c>
      <c r="E162">
        <v>1.61</v>
      </c>
      <c r="F162">
        <v>297</v>
      </c>
      <c r="G162">
        <v>23</v>
      </c>
      <c r="H162">
        <v>1.91</v>
      </c>
    </row>
    <row r="163" spans="1:8" x14ac:dyDescent="0.25">
      <c r="A163">
        <v>200001393</v>
      </c>
      <c r="B163" t="s">
        <v>1336</v>
      </c>
      <c r="C163" s="2">
        <v>44382</v>
      </c>
      <c r="D163" t="s">
        <v>1207</v>
      </c>
      <c r="E163">
        <v>91</v>
      </c>
      <c r="F163">
        <v>195</v>
      </c>
      <c r="G163">
        <v>3</v>
      </c>
      <c r="H163">
        <v>0.25</v>
      </c>
    </row>
    <row r="164" spans="1:8" x14ac:dyDescent="0.25">
      <c r="A164">
        <v>200002074</v>
      </c>
      <c r="B164" t="s">
        <v>1337</v>
      </c>
      <c r="C164" s="2">
        <v>44250</v>
      </c>
      <c r="D164" t="s">
        <v>1161</v>
      </c>
      <c r="E164">
        <v>2.62</v>
      </c>
      <c r="F164">
        <v>370</v>
      </c>
      <c r="G164">
        <v>4</v>
      </c>
      <c r="H164">
        <v>0.33</v>
      </c>
    </row>
    <row r="165" spans="1:8" x14ac:dyDescent="0.25">
      <c r="A165">
        <v>200002001</v>
      </c>
      <c r="B165" t="s">
        <v>568</v>
      </c>
      <c r="C165" s="2">
        <v>43892</v>
      </c>
      <c r="D165" t="s">
        <v>1338</v>
      </c>
      <c r="E165">
        <v>1.5</v>
      </c>
      <c r="F165">
        <v>0</v>
      </c>
      <c r="G165">
        <v>9</v>
      </c>
      <c r="H165">
        <v>0.75</v>
      </c>
    </row>
    <row r="166" spans="1:8" x14ac:dyDescent="0.25">
      <c r="A166">
        <v>200000447</v>
      </c>
      <c r="B166" t="s">
        <v>1339</v>
      </c>
      <c r="C166" s="2">
        <v>44565</v>
      </c>
      <c r="D166" t="s">
        <v>1340</v>
      </c>
      <c r="E166">
        <v>1.47</v>
      </c>
      <c r="F166">
        <v>1420</v>
      </c>
      <c r="G166">
        <v>66</v>
      </c>
      <c r="H166">
        <v>5.5</v>
      </c>
    </row>
    <row r="167" spans="1:8" x14ac:dyDescent="0.25">
      <c r="A167">
        <v>200001526</v>
      </c>
      <c r="B167" t="s">
        <v>1341</v>
      </c>
      <c r="C167" s="2">
        <v>42122</v>
      </c>
      <c r="D167" t="s">
        <v>1159</v>
      </c>
      <c r="E167">
        <v>5.27</v>
      </c>
      <c r="F167">
        <v>41</v>
      </c>
      <c r="G167">
        <v>2</v>
      </c>
      <c r="H167">
        <v>0.16</v>
      </c>
    </row>
    <row r="168" spans="1:8" x14ac:dyDescent="0.25">
      <c r="A168">
        <v>200004667</v>
      </c>
      <c r="B168" t="s">
        <v>1342</v>
      </c>
      <c r="C168" s="2">
        <v>44382</v>
      </c>
      <c r="D168" t="s">
        <v>1207</v>
      </c>
      <c r="E168">
        <v>12.36</v>
      </c>
      <c r="F168">
        <v>0</v>
      </c>
      <c r="G168">
        <v>87</v>
      </c>
      <c r="H168">
        <v>7.25</v>
      </c>
    </row>
    <row r="169" spans="1:8" x14ac:dyDescent="0.25">
      <c r="A169">
        <v>200004668</v>
      </c>
      <c r="B169" t="s">
        <v>1343</v>
      </c>
      <c r="C169" s="2">
        <v>44103</v>
      </c>
      <c r="D169" t="s">
        <v>1344</v>
      </c>
      <c r="E169">
        <v>7.58</v>
      </c>
      <c r="F169">
        <v>0</v>
      </c>
      <c r="G169">
        <v>6</v>
      </c>
      <c r="H169">
        <v>0.5</v>
      </c>
    </row>
    <row r="170" spans="1:8" x14ac:dyDescent="0.25">
      <c r="A170">
        <v>200003246</v>
      </c>
      <c r="B170" t="s">
        <v>1345</v>
      </c>
      <c r="C170" s="2">
        <v>44572</v>
      </c>
      <c r="D170" t="s">
        <v>1207</v>
      </c>
      <c r="E170">
        <v>8.5</v>
      </c>
      <c r="F170">
        <v>559</v>
      </c>
      <c r="G170">
        <v>262</v>
      </c>
      <c r="H170">
        <v>21.83</v>
      </c>
    </row>
    <row r="171" spans="1:8" x14ac:dyDescent="0.25">
      <c r="A171">
        <v>200000436</v>
      </c>
      <c r="B171" t="s">
        <v>1346</v>
      </c>
      <c r="C171" s="2">
        <v>44103</v>
      </c>
      <c r="D171" t="s">
        <v>1344</v>
      </c>
      <c r="E171">
        <v>6.54</v>
      </c>
      <c r="F171">
        <v>0</v>
      </c>
      <c r="G171">
        <v>25</v>
      </c>
      <c r="H171">
        <v>2.08</v>
      </c>
    </row>
    <row r="172" spans="1:8" x14ac:dyDescent="0.25">
      <c r="A172">
        <v>200000433</v>
      </c>
      <c r="B172" t="s">
        <v>1347</v>
      </c>
      <c r="C172" s="2">
        <v>44103</v>
      </c>
      <c r="D172" t="s">
        <v>1344</v>
      </c>
      <c r="E172">
        <v>7.9</v>
      </c>
      <c r="F172">
        <v>0</v>
      </c>
      <c r="G172">
        <v>24</v>
      </c>
      <c r="H172">
        <v>2</v>
      </c>
    </row>
    <row r="173" spans="1:8" x14ac:dyDescent="0.25">
      <c r="A173">
        <v>200000434</v>
      </c>
      <c r="B173" t="s">
        <v>1348</v>
      </c>
      <c r="C173" s="2">
        <v>44103</v>
      </c>
      <c r="D173" t="s">
        <v>1344</v>
      </c>
      <c r="E173">
        <v>6.66</v>
      </c>
      <c r="F173">
        <v>0</v>
      </c>
      <c r="G173">
        <v>32</v>
      </c>
      <c r="H173">
        <v>2.66</v>
      </c>
    </row>
    <row r="174" spans="1:8" x14ac:dyDescent="0.25">
      <c r="A174">
        <v>200000444</v>
      </c>
      <c r="B174" t="s">
        <v>1349</v>
      </c>
      <c r="C174" s="2">
        <v>44382</v>
      </c>
      <c r="D174" t="s">
        <v>1207</v>
      </c>
      <c r="E174">
        <v>17.5</v>
      </c>
      <c r="F174">
        <v>0</v>
      </c>
      <c r="G174">
        <v>20</v>
      </c>
      <c r="H174">
        <v>1.66</v>
      </c>
    </row>
    <row r="175" spans="1:8" x14ac:dyDescent="0.25">
      <c r="A175">
        <v>200004538</v>
      </c>
      <c r="B175" t="s">
        <v>1350</v>
      </c>
      <c r="C175" s="2">
        <v>44078</v>
      </c>
      <c r="D175" t="s">
        <v>1351</v>
      </c>
      <c r="E175">
        <v>15.66</v>
      </c>
      <c r="F175">
        <v>3265</v>
      </c>
      <c r="G175">
        <v>1</v>
      </c>
      <c r="H175">
        <v>0.08</v>
      </c>
    </row>
    <row r="176" spans="1:8" x14ac:dyDescent="0.25">
      <c r="A176">
        <v>200001900</v>
      </c>
      <c r="B176" t="s">
        <v>1352</v>
      </c>
      <c r="C176" s="2">
        <v>41400</v>
      </c>
      <c r="D176" t="s">
        <v>1229</v>
      </c>
      <c r="E176">
        <v>42.83</v>
      </c>
      <c r="F176">
        <v>0</v>
      </c>
      <c r="G176">
        <v>3</v>
      </c>
      <c r="H176">
        <v>0.25</v>
      </c>
    </row>
    <row r="177" spans="1:8" x14ac:dyDescent="0.25">
      <c r="A177">
        <v>200001901</v>
      </c>
      <c r="B177" t="s">
        <v>1353</v>
      </c>
      <c r="C177" s="2">
        <v>44103</v>
      </c>
      <c r="D177" t="s">
        <v>1344</v>
      </c>
      <c r="E177">
        <v>35.86</v>
      </c>
      <c r="F177">
        <v>0</v>
      </c>
      <c r="G177">
        <v>5</v>
      </c>
      <c r="H177">
        <v>0.41</v>
      </c>
    </row>
    <row r="178" spans="1:8" x14ac:dyDescent="0.25">
      <c r="A178">
        <v>200003361</v>
      </c>
      <c r="B178" t="s">
        <v>1354</v>
      </c>
      <c r="C178" s="2">
        <v>44379</v>
      </c>
      <c r="D178" t="s">
        <v>1180</v>
      </c>
      <c r="E178">
        <v>5.28</v>
      </c>
      <c r="F178">
        <v>258</v>
      </c>
      <c r="G178">
        <v>30</v>
      </c>
      <c r="H178">
        <v>2.5</v>
      </c>
    </row>
    <row r="179" spans="1:8" x14ac:dyDescent="0.25">
      <c r="A179">
        <v>200003161</v>
      </c>
      <c r="B179" t="s">
        <v>601</v>
      </c>
      <c r="C179" s="2">
        <v>44525</v>
      </c>
      <c r="D179" t="s">
        <v>1163</v>
      </c>
      <c r="E179">
        <v>275.16000000000003</v>
      </c>
      <c r="F179">
        <v>9</v>
      </c>
      <c r="G179">
        <v>10</v>
      </c>
      <c r="H179">
        <v>0.83</v>
      </c>
    </row>
    <row r="180" spans="1:8" x14ac:dyDescent="0.25">
      <c r="A180">
        <v>200001643</v>
      </c>
      <c r="B180" t="s">
        <v>604</v>
      </c>
      <c r="C180" s="2">
        <v>44148</v>
      </c>
      <c r="D180" t="s">
        <v>1355</v>
      </c>
      <c r="E180">
        <v>65.8</v>
      </c>
      <c r="F180">
        <v>0</v>
      </c>
      <c r="G180">
        <v>6</v>
      </c>
      <c r="H180">
        <v>0.5</v>
      </c>
    </row>
    <row r="181" spans="1:8" x14ac:dyDescent="0.25">
      <c r="A181">
        <v>200002115</v>
      </c>
      <c r="B181" t="s">
        <v>605</v>
      </c>
      <c r="C181" s="2">
        <v>44410</v>
      </c>
      <c r="D181" t="s">
        <v>1163</v>
      </c>
      <c r="E181">
        <v>12.04</v>
      </c>
      <c r="F181">
        <v>16</v>
      </c>
      <c r="G181">
        <v>5</v>
      </c>
      <c r="H181">
        <v>0.41</v>
      </c>
    </row>
    <row r="182" spans="1:8" x14ac:dyDescent="0.25">
      <c r="A182">
        <v>200000489</v>
      </c>
      <c r="B182" t="s">
        <v>607</v>
      </c>
      <c r="C182" s="2">
        <v>44573</v>
      </c>
      <c r="D182" t="s">
        <v>1163</v>
      </c>
      <c r="E182">
        <v>133.91</v>
      </c>
      <c r="F182">
        <v>79</v>
      </c>
      <c r="G182">
        <v>9</v>
      </c>
      <c r="H182">
        <v>0.75</v>
      </c>
    </row>
    <row r="183" spans="1:8" x14ac:dyDescent="0.25">
      <c r="A183">
        <v>200000497</v>
      </c>
      <c r="B183" t="s">
        <v>616</v>
      </c>
      <c r="C183" s="2">
        <v>44538</v>
      </c>
      <c r="D183" t="s">
        <v>1163</v>
      </c>
      <c r="E183">
        <v>139.82</v>
      </c>
      <c r="F183">
        <v>126</v>
      </c>
      <c r="G183">
        <v>6</v>
      </c>
      <c r="H183">
        <v>0.5</v>
      </c>
    </row>
    <row r="184" spans="1:8" x14ac:dyDescent="0.25">
      <c r="A184">
        <v>200000505</v>
      </c>
      <c r="B184" t="s">
        <v>631</v>
      </c>
      <c r="C184" s="2">
        <v>41306</v>
      </c>
      <c r="D184" t="s">
        <v>1356</v>
      </c>
      <c r="E184">
        <v>5.07</v>
      </c>
      <c r="F184">
        <v>62</v>
      </c>
      <c r="G184">
        <v>4</v>
      </c>
      <c r="H184">
        <v>0.33</v>
      </c>
    </row>
    <row r="185" spans="1:8" x14ac:dyDescent="0.25">
      <c r="A185">
        <v>200003787</v>
      </c>
      <c r="B185" t="s">
        <v>1357</v>
      </c>
      <c r="C185" s="2">
        <v>44319</v>
      </c>
      <c r="D185" t="s">
        <v>1358</v>
      </c>
      <c r="E185">
        <v>55.41</v>
      </c>
      <c r="F185">
        <v>124</v>
      </c>
      <c r="G185">
        <v>5</v>
      </c>
      <c r="H185">
        <v>0.41</v>
      </c>
    </row>
    <row r="186" spans="1:8" x14ac:dyDescent="0.25">
      <c r="A186">
        <v>200000507</v>
      </c>
      <c r="B186" t="s">
        <v>1359</v>
      </c>
      <c r="C186" s="2">
        <v>42032</v>
      </c>
      <c r="D186" t="s">
        <v>1360</v>
      </c>
      <c r="E186">
        <v>2.39</v>
      </c>
      <c r="F186">
        <v>285</v>
      </c>
      <c r="G186">
        <v>27</v>
      </c>
      <c r="H186">
        <v>2.25</v>
      </c>
    </row>
    <row r="187" spans="1:8" x14ac:dyDescent="0.25">
      <c r="A187">
        <v>200000508</v>
      </c>
      <c r="B187" t="s">
        <v>1361</v>
      </c>
      <c r="C187" s="2">
        <v>44545</v>
      </c>
      <c r="D187" t="s">
        <v>1266</v>
      </c>
      <c r="E187">
        <v>2.35</v>
      </c>
      <c r="F187">
        <v>876</v>
      </c>
      <c r="G187">
        <v>53</v>
      </c>
      <c r="H187">
        <v>4.41</v>
      </c>
    </row>
    <row r="188" spans="1:8" x14ac:dyDescent="0.25">
      <c r="A188">
        <v>200000882</v>
      </c>
      <c r="B188" t="s">
        <v>1362</v>
      </c>
      <c r="C188" s="2">
        <v>44508</v>
      </c>
      <c r="D188" t="s">
        <v>1363</v>
      </c>
      <c r="E188">
        <v>1.31</v>
      </c>
      <c r="F188">
        <v>1215</v>
      </c>
      <c r="G188">
        <v>40</v>
      </c>
      <c r="H188">
        <v>3.33</v>
      </c>
    </row>
    <row r="189" spans="1:8" x14ac:dyDescent="0.25">
      <c r="A189">
        <v>200001261</v>
      </c>
      <c r="B189" t="s">
        <v>1364</v>
      </c>
      <c r="C189" s="2">
        <v>43894</v>
      </c>
      <c r="D189" t="s">
        <v>1365</v>
      </c>
      <c r="E189">
        <v>37.4</v>
      </c>
      <c r="F189">
        <v>22</v>
      </c>
      <c r="G189">
        <v>2</v>
      </c>
      <c r="H189">
        <v>0.16</v>
      </c>
    </row>
    <row r="190" spans="1:8" x14ac:dyDescent="0.25">
      <c r="A190">
        <v>200000511</v>
      </c>
      <c r="B190" t="s">
        <v>1366</v>
      </c>
      <c r="C190" s="2">
        <v>44531</v>
      </c>
      <c r="D190" t="s">
        <v>1367</v>
      </c>
      <c r="E190">
        <v>16.45</v>
      </c>
      <c r="F190">
        <v>7765</v>
      </c>
      <c r="G190">
        <v>775</v>
      </c>
      <c r="H190">
        <v>64.58</v>
      </c>
    </row>
    <row r="191" spans="1:8" x14ac:dyDescent="0.25">
      <c r="A191">
        <v>200005820</v>
      </c>
      <c r="B191" t="s">
        <v>646</v>
      </c>
      <c r="C191" s="2">
        <v>44511</v>
      </c>
      <c r="D191" t="s">
        <v>1199</v>
      </c>
      <c r="E191">
        <v>31.37</v>
      </c>
      <c r="F191">
        <v>118</v>
      </c>
      <c r="G191">
        <v>2</v>
      </c>
      <c r="H191">
        <v>0.16</v>
      </c>
    </row>
    <row r="192" spans="1:8" x14ac:dyDescent="0.25">
      <c r="A192">
        <v>200005981</v>
      </c>
      <c r="B192" t="s">
        <v>647</v>
      </c>
      <c r="C192" s="2">
        <v>44532</v>
      </c>
      <c r="D192" t="s">
        <v>1199</v>
      </c>
      <c r="E192">
        <v>53.99</v>
      </c>
      <c r="F192">
        <v>37</v>
      </c>
      <c r="G192">
        <v>2</v>
      </c>
      <c r="H192">
        <v>0.16</v>
      </c>
    </row>
    <row r="193" spans="1:8" x14ac:dyDescent="0.25">
      <c r="A193">
        <v>200002142</v>
      </c>
      <c r="B193" t="s">
        <v>649</v>
      </c>
      <c r="C193" s="2">
        <v>44083</v>
      </c>
      <c r="D193" t="s">
        <v>1163</v>
      </c>
      <c r="E193">
        <v>0.34</v>
      </c>
      <c r="F193">
        <v>164</v>
      </c>
      <c r="G193">
        <v>30</v>
      </c>
      <c r="H193">
        <v>2.5</v>
      </c>
    </row>
    <row r="194" spans="1:8" x14ac:dyDescent="0.25">
      <c r="A194">
        <v>200005823</v>
      </c>
      <c r="B194" t="s">
        <v>1368</v>
      </c>
      <c r="C194" s="2">
        <v>44511</v>
      </c>
      <c r="D194" t="s">
        <v>1199</v>
      </c>
      <c r="E194">
        <v>18.72</v>
      </c>
      <c r="F194">
        <v>35</v>
      </c>
      <c r="G194">
        <v>1</v>
      </c>
      <c r="H194">
        <v>0.08</v>
      </c>
    </row>
    <row r="195" spans="1:8" x14ac:dyDescent="0.25">
      <c r="A195">
        <v>200005824</v>
      </c>
      <c r="B195" t="s">
        <v>1369</v>
      </c>
      <c r="C195" s="2">
        <v>44511</v>
      </c>
      <c r="D195" t="s">
        <v>1199</v>
      </c>
      <c r="E195">
        <v>38.549999999999997</v>
      </c>
      <c r="F195">
        <v>4</v>
      </c>
      <c r="G195">
        <v>4</v>
      </c>
      <c r="H195">
        <v>0.33</v>
      </c>
    </row>
    <row r="196" spans="1:8" x14ac:dyDescent="0.25">
      <c r="A196">
        <v>200004591</v>
      </c>
      <c r="B196" t="s">
        <v>1370</v>
      </c>
      <c r="C196" s="2">
        <v>44533</v>
      </c>
      <c r="D196" t="s">
        <v>1163</v>
      </c>
      <c r="E196">
        <v>0.3</v>
      </c>
      <c r="F196">
        <v>0</v>
      </c>
      <c r="G196">
        <v>200</v>
      </c>
      <c r="H196">
        <v>16.66</v>
      </c>
    </row>
    <row r="197" spans="1:8" x14ac:dyDescent="0.25">
      <c r="A197">
        <v>200005443</v>
      </c>
      <c r="B197" t="s">
        <v>1371</v>
      </c>
      <c r="C197" s="2">
        <v>44379</v>
      </c>
      <c r="D197" t="s">
        <v>1180</v>
      </c>
      <c r="E197">
        <v>0.13</v>
      </c>
      <c r="F197">
        <v>788</v>
      </c>
      <c r="G197">
        <v>50</v>
      </c>
      <c r="H197">
        <v>4.16</v>
      </c>
    </row>
    <row r="198" spans="1:8" x14ac:dyDescent="0.25">
      <c r="A198">
        <v>200000801</v>
      </c>
      <c r="B198" t="s">
        <v>1372</v>
      </c>
      <c r="C198" s="2">
        <v>42122</v>
      </c>
      <c r="D198" t="s">
        <v>1159</v>
      </c>
      <c r="E198">
        <v>0.13</v>
      </c>
      <c r="F198">
        <v>544</v>
      </c>
      <c r="G198">
        <v>6</v>
      </c>
      <c r="H198">
        <v>0.5</v>
      </c>
    </row>
    <row r="199" spans="1:8" x14ac:dyDescent="0.25">
      <c r="A199">
        <v>200005444</v>
      </c>
      <c r="B199" t="s">
        <v>1373</v>
      </c>
      <c r="C199" s="2">
        <v>44379</v>
      </c>
      <c r="D199" t="s">
        <v>1180</v>
      </c>
      <c r="E199">
        <v>17.940000000000001</v>
      </c>
      <c r="F199">
        <v>1674</v>
      </c>
      <c r="G199">
        <v>50</v>
      </c>
      <c r="H199">
        <v>4.16</v>
      </c>
    </row>
    <row r="200" spans="1:8" x14ac:dyDescent="0.25">
      <c r="A200">
        <v>200000524</v>
      </c>
      <c r="B200" t="s">
        <v>1374</v>
      </c>
      <c r="C200" s="2">
        <v>44544</v>
      </c>
      <c r="D200" t="s">
        <v>1172</v>
      </c>
      <c r="E200">
        <v>3.16</v>
      </c>
      <c r="F200">
        <v>601</v>
      </c>
      <c r="G200">
        <v>30</v>
      </c>
      <c r="H200">
        <v>2.5</v>
      </c>
    </row>
    <row r="201" spans="1:8" x14ac:dyDescent="0.25">
      <c r="A201">
        <v>200000525</v>
      </c>
      <c r="B201" t="s">
        <v>1375</v>
      </c>
      <c r="C201" s="2">
        <v>43990</v>
      </c>
      <c r="D201" t="s">
        <v>1247</v>
      </c>
      <c r="E201">
        <v>2.15</v>
      </c>
      <c r="F201">
        <v>109</v>
      </c>
      <c r="G201">
        <v>35</v>
      </c>
      <c r="H201">
        <v>2.91</v>
      </c>
    </row>
    <row r="202" spans="1:8" x14ac:dyDescent="0.25">
      <c r="A202">
        <v>200003790</v>
      </c>
      <c r="B202" t="s">
        <v>1376</v>
      </c>
      <c r="C202" s="2">
        <v>44565</v>
      </c>
      <c r="D202" t="s">
        <v>1194</v>
      </c>
      <c r="E202">
        <v>1.27</v>
      </c>
      <c r="F202">
        <v>0</v>
      </c>
      <c r="G202">
        <v>30</v>
      </c>
      <c r="H202">
        <v>2.5</v>
      </c>
    </row>
    <row r="203" spans="1:8" x14ac:dyDescent="0.25">
      <c r="A203">
        <v>200001808</v>
      </c>
      <c r="B203" t="s">
        <v>1377</v>
      </c>
      <c r="C203" s="2">
        <v>44355</v>
      </c>
      <c r="D203" t="s">
        <v>1221</v>
      </c>
      <c r="E203">
        <v>30</v>
      </c>
      <c r="F203">
        <v>173</v>
      </c>
      <c r="G203">
        <v>8</v>
      </c>
      <c r="H203">
        <v>0.66</v>
      </c>
    </row>
    <row r="204" spans="1:8" x14ac:dyDescent="0.25">
      <c r="A204">
        <v>200005815</v>
      </c>
      <c r="B204" t="s">
        <v>695</v>
      </c>
      <c r="C204" s="2">
        <v>44509</v>
      </c>
      <c r="D204" t="s">
        <v>1276</v>
      </c>
      <c r="E204">
        <v>22</v>
      </c>
      <c r="F204">
        <v>0</v>
      </c>
      <c r="G204">
        <v>6</v>
      </c>
      <c r="H204">
        <v>0.5</v>
      </c>
    </row>
    <row r="205" spans="1:8" x14ac:dyDescent="0.25">
      <c r="A205">
        <v>200003314</v>
      </c>
      <c r="B205" t="s">
        <v>702</v>
      </c>
      <c r="C205" s="2">
        <v>44509</v>
      </c>
      <c r="D205" t="s">
        <v>1276</v>
      </c>
      <c r="E205">
        <v>15</v>
      </c>
      <c r="F205">
        <v>1190</v>
      </c>
      <c r="G205">
        <v>8</v>
      </c>
      <c r="H205">
        <v>0.66</v>
      </c>
    </row>
    <row r="206" spans="1:8" x14ac:dyDescent="0.25">
      <c r="A206">
        <v>200003311</v>
      </c>
      <c r="B206" t="s">
        <v>703</v>
      </c>
      <c r="C206" s="2">
        <v>44545</v>
      </c>
      <c r="D206" t="s">
        <v>1276</v>
      </c>
      <c r="E206">
        <v>12.4</v>
      </c>
      <c r="F206">
        <v>4407</v>
      </c>
      <c r="G206">
        <v>15</v>
      </c>
      <c r="H206">
        <v>1.25</v>
      </c>
    </row>
    <row r="207" spans="1:8" x14ac:dyDescent="0.25">
      <c r="A207">
        <v>200003312</v>
      </c>
      <c r="B207" t="s">
        <v>705</v>
      </c>
      <c r="C207" s="2">
        <v>44545</v>
      </c>
      <c r="D207" t="s">
        <v>1276</v>
      </c>
      <c r="E207">
        <v>10</v>
      </c>
      <c r="F207">
        <v>6128</v>
      </c>
      <c r="G207">
        <v>25</v>
      </c>
      <c r="H207">
        <v>2.08</v>
      </c>
    </row>
    <row r="208" spans="1:8" x14ac:dyDescent="0.25">
      <c r="A208">
        <v>200002321</v>
      </c>
      <c r="B208" t="s">
        <v>1378</v>
      </c>
      <c r="C208" s="2">
        <v>44517</v>
      </c>
      <c r="D208" t="s">
        <v>1310</v>
      </c>
      <c r="E208">
        <v>15.1</v>
      </c>
      <c r="F208">
        <v>23</v>
      </c>
      <c r="G208">
        <v>3</v>
      </c>
      <c r="H208">
        <v>0.25</v>
      </c>
    </row>
    <row r="209" spans="1:8" x14ac:dyDescent="0.25">
      <c r="A209">
        <v>200000532</v>
      </c>
      <c r="B209" t="s">
        <v>716</v>
      </c>
      <c r="C209" s="2">
        <v>44573</v>
      </c>
      <c r="D209" t="s">
        <v>1163</v>
      </c>
      <c r="E209">
        <v>7.58</v>
      </c>
      <c r="F209">
        <v>17</v>
      </c>
      <c r="G209">
        <v>2</v>
      </c>
      <c r="H209">
        <v>0.16</v>
      </c>
    </row>
    <row r="210" spans="1:8" x14ac:dyDescent="0.25">
      <c r="A210">
        <v>200000535</v>
      </c>
      <c r="B210" t="s">
        <v>1379</v>
      </c>
      <c r="C210" s="2">
        <v>44565</v>
      </c>
      <c r="D210" t="s">
        <v>1247</v>
      </c>
      <c r="E210">
        <v>3.75</v>
      </c>
      <c r="F210">
        <v>330</v>
      </c>
      <c r="G210">
        <v>30</v>
      </c>
      <c r="H210">
        <v>2.5</v>
      </c>
    </row>
    <row r="211" spans="1:8" x14ac:dyDescent="0.25">
      <c r="A211">
        <v>200000537</v>
      </c>
      <c r="B211" t="s">
        <v>1380</v>
      </c>
      <c r="C211" s="2">
        <v>44565</v>
      </c>
      <c r="D211" t="s">
        <v>1247</v>
      </c>
      <c r="E211">
        <v>3.6</v>
      </c>
      <c r="F211">
        <v>304</v>
      </c>
      <c r="G211">
        <v>16</v>
      </c>
      <c r="H211">
        <v>1.33</v>
      </c>
    </row>
    <row r="212" spans="1:8" x14ac:dyDescent="0.25">
      <c r="A212">
        <v>200000483</v>
      </c>
      <c r="B212" t="s">
        <v>1381</v>
      </c>
      <c r="C212" s="2">
        <v>44565</v>
      </c>
      <c r="D212" t="s">
        <v>1194</v>
      </c>
      <c r="E212">
        <v>12.06</v>
      </c>
      <c r="F212">
        <v>52</v>
      </c>
      <c r="G212">
        <v>8</v>
      </c>
      <c r="H212">
        <v>0.66</v>
      </c>
    </row>
    <row r="213" spans="1:8" x14ac:dyDescent="0.25">
      <c r="A213">
        <v>200000485</v>
      </c>
      <c r="B213" t="s">
        <v>1382</v>
      </c>
      <c r="C213" s="2">
        <v>44565</v>
      </c>
      <c r="D213" t="s">
        <v>1194</v>
      </c>
      <c r="E213">
        <v>11.8</v>
      </c>
      <c r="F213">
        <v>65</v>
      </c>
      <c r="G213">
        <v>6</v>
      </c>
      <c r="H213">
        <v>0.5</v>
      </c>
    </row>
    <row r="214" spans="1:8" x14ac:dyDescent="0.25">
      <c r="A214">
        <v>200000539</v>
      </c>
      <c r="B214" t="s">
        <v>1383</v>
      </c>
      <c r="C214" s="2">
        <v>44544</v>
      </c>
      <c r="D214" t="s">
        <v>1172</v>
      </c>
      <c r="E214">
        <v>1.2</v>
      </c>
      <c r="F214">
        <v>29</v>
      </c>
      <c r="G214">
        <v>2</v>
      </c>
      <c r="H214">
        <v>0.16</v>
      </c>
    </row>
    <row r="215" spans="1:8" x14ac:dyDescent="0.25">
      <c r="A215">
        <v>200000541</v>
      </c>
      <c r="B215" t="s">
        <v>1384</v>
      </c>
      <c r="C215" s="2">
        <v>44544</v>
      </c>
      <c r="D215" t="s">
        <v>1172</v>
      </c>
      <c r="E215">
        <v>1.2</v>
      </c>
      <c r="F215">
        <v>17</v>
      </c>
      <c r="G215">
        <v>2</v>
      </c>
      <c r="H215">
        <v>0.16</v>
      </c>
    </row>
    <row r="216" spans="1:8" x14ac:dyDescent="0.25">
      <c r="A216">
        <v>200005117</v>
      </c>
      <c r="B216" t="s">
        <v>727</v>
      </c>
      <c r="C216" s="2">
        <v>44568</v>
      </c>
      <c r="D216" t="s">
        <v>1167</v>
      </c>
      <c r="E216">
        <v>1.28</v>
      </c>
      <c r="F216">
        <v>0</v>
      </c>
      <c r="G216">
        <v>45000</v>
      </c>
      <c r="H216">
        <v>3750</v>
      </c>
    </row>
    <row r="217" spans="1:8" x14ac:dyDescent="0.25">
      <c r="A217">
        <v>200004618</v>
      </c>
      <c r="B217" t="s">
        <v>1385</v>
      </c>
      <c r="C217" s="2">
        <v>44573</v>
      </c>
      <c r="D217" t="s">
        <v>1167</v>
      </c>
      <c r="E217">
        <v>2.5</v>
      </c>
      <c r="F217">
        <v>0</v>
      </c>
      <c r="G217">
        <v>24353</v>
      </c>
      <c r="H217">
        <v>2029.41</v>
      </c>
    </row>
    <row r="218" spans="1:8" x14ac:dyDescent="0.25">
      <c r="A218">
        <v>200000878</v>
      </c>
      <c r="B218" t="s">
        <v>1386</v>
      </c>
      <c r="C218" s="2">
        <v>44531</v>
      </c>
      <c r="D218" t="s">
        <v>1247</v>
      </c>
      <c r="E218">
        <v>122.87</v>
      </c>
      <c r="F218">
        <v>134</v>
      </c>
      <c r="G218">
        <v>13</v>
      </c>
      <c r="H218">
        <v>1.08</v>
      </c>
    </row>
    <row r="219" spans="1:8" x14ac:dyDescent="0.25">
      <c r="A219">
        <v>200001075</v>
      </c>
      <c r="B219" t="s">
        <v>781</v>
      </c>
      <c r="C219" s="2">
        <v>44449</v>
      </c>
      <c r="D219" t="s">
        <v>1387</v>
      </c>
      <c r="E219">
        <v>35.630000000000003</v>
      </c>
      <c r="F219">
        <v>0</v>
      </c>
      <c r="G219">
        <v>1</v>
      </c>
      <c r="H219">
        <v>0.08</v>
      </c>
    </row>
    <row r="220" spans="1:8" x14ac:dyDescent="0.25">
      <c r="A220">
        <v>200000565</v>
      </c>
      <c r="B220" t="s">
        <v>1388</v>
      </c>
      <c r="C220" s="2">
        <v>44544</v>
      </c>
      <c r="D220" t="s">
        <v>1172</v>
      </c>
      <c r="E220">
        <v>15.06</v>
      </c>
      <c r="F220">
        <v>266</v>
      </c>
      <c r="G220">
        <v>58</v>
      </c>
      <c r="H220">
        <v>4.83</v>
      </c>
    </row>
    <row r="221" spans="1:8" x14ac:dyDescent="0.25">
      <c r="A221">
        <v>200000566</v>
      </c>
      <c r="B221" t="s">
        <v>1389</v>
      </c>
      <c r="C221" s="2">
        <v>44544</v>
      </c>
      <c r="D221" t="s">
        <v>1172</v>
      </c>
      <c r="E221">
        <v>103.32</v>
      </c>
      <c r="F221">
        <v>15</v>
      </c>
      <c r="G221">
        <v>1</v>
      </c>
      <c r="H221">
        <v>0.08</v>
      </c>
    </row>
    <row r="222" spans="1:8" x14ac:dyDescent="0.25">
      <c r="A222">
        <v>200003205</v>
      </c>
      <c r="B222" t="s">
        <v>1390</v>
      </c>
      <c r="C222" s="2">
        <v>44571</v>
      </c>
      <c r="D222" t="s">
        <v>1205</v>
      </c>
      <c r="E222">
        <v>120</v>
      </c>
      <c r="F222">
        <v>0</v>
      </c>
      <c r="G222">
        <v>1</v>
      </c>
      <c r="H222">
        <v>0.08</v>
      </c>
    </row>
    <row r="223" spans="1:8" x14ac:dyDescent="0.25">
      <c r="A223">
        <v>200003207</v>
      </c>
      <c r="B223" t="s">
        <v>1391</v>
      </c>
      <c r="C223" s="2">
        <v>44571</v>
      </c>
      <c r="D223" t="s">
        <v>1205</v>
      </c>
      <c r="E223">
        <v>350</v>
      </c>
      <c r="F223">
        <v>0</v>
      </c>
      <c r="G223">
        <v>1</v>
      </c>
      <c r="H223">
        <v>0.08</v>
      </c>
    </row>
    <row r="224" spans="1:8" x14ac:dyDescent="0.25">
      <c r="A224">
        <v>200003250</v>
      </c>
      <c r="B224" t="s">
        <v>1392</v>
      </c>
      <c r="C224" s="2">
        <v>44103</v>
      </c>
      <c r="D224" t="s">
        <v>1344</v>
      </c>
      <c r="E224">
        <v>17.7</v>
      </c>
      <c r="F224">
        <v>31</v>
      </c>
      <c r="G224">
        <v>6</v>
      </c>
      <c r="H224">
        <v>0.5</v>
      </c>
    </row>
    <row r="225" spans="1:8" x14ac:dyDescent="0.25">
      <c r="A225">
        <v>200001905</v>
      </c>
      <c r="B225" t="s">
        <v>1393</v>
      </c>
      <c r="C225" s="2">
        <v>44405</v>
      </c>
      <c r="D225" t="s">
        <v>1207</v>
      </c>
      <c r="E225">
        <v>23</v>
      </c>
      <c r="F225">
        <v>160</v>
      </c>
      <c r="G225">
        <v>12</v>
      </c>
      <c r="H225">
        <v>1</v>
      </c>
    </row>
    <row r="226" spans="1:8" x14ac:dyDescent="0.25">
      <c r="A226">
        <v>200001906</v>
      </c>
      <c r="B226" t="s">
        <v>1394</v>
      </c>
      <c r="C226" s="2">
        <v>44405</v>
      </c>
      <c r="D226" t="s">
        <v>1207</v>
      </c>
      <c r="E226">
        <v>23.5</v>
      </c>
      <c r="F226">
        <v>238</v>
      </c>
      <c r="G226">
        <v>21</v>
      </c>
      <c r="H226">
        <v>1.75</v>
      </c>
    </row>
    <row r="227" spans="1:8" x14ac:dyDescent="0.25">
      <c r="A227">
        <v>200002163</v>
      </c>
      <c r="B227" t="s">
        <v>1395</v>
      </c>
      <c r="C227" s="2">
        <v>44496</v>
      </c>
      <c r="D227" t="s">
        <v>1396</v>
      </c>
      <c r="E227">
        <v>0.1</v>
      </c>
      <c r="F227">
        <v>3000</v>
      </c>
      <c r="G227">
        <v>100</v>
      </c>
      <c r="H227">
        <v>8.33</v>
      </c>
    </row>
    <row r="228" spans="1:8" x14ac:dyDescent="0.25">
      <c r="A228">
        <v>200000584</v>
      </c>
      <c r="B228" t="s">
        <v>1397</v>
      </c>
      <c r="C228" s="2">
        <v>44568</v>
      </c>
      <c r="D228" t="s">
        <v>1172</v>
      </c>
      <c r="E228">
        <v>14.87</v>
      </c>
      <c r="F228">
        <v>137</v>
      </c>
      <c r="G228">
        <v>18</v>
      </c>
      <c r="H228">
        <v>1.5</v>
      </c>
    </row>
    <row r="229" spans="1:8" x14ac:dyDescent="0.25">
      <c r="A229">
        <v>200005471</v>
      </c>
      <c r="B229" t="s">
        <v>833</v>
      </c>
      <c r="C229" s="2">
        <v>44341</v>
      </c>
      <c r="D229" t="s">
        <v>1398</v>
      </c>
      <c r="E229">
        <v>46.5</v>
      </c>
      <c r="F229">
        <v>8</v>
      </c>
      <c r="G229">
        <v>2</v>
      </c>
      <c r="H229">
        <v>0.16</v>
      </c>
    </row>
    <row r="230" spans="1:8" x14ac:dyDescent="0.25">
      <c r="A230">
        <v>200003965</v>
      </c>
      <c r="B230" t="s">
        <v>834</v>
      </c>
      <c r="C230" s="2">
        <v>44525</v>
      </c>
      <c r="D230" t="s">
        <v>1163</v>
      </c>
      <c r="E230">
        <v>7.74</v>
      </c>
      <c r="F230">
        <v>6</v>
      </c>
      <c r="G230">
        <v>5</v>
      </c>
      <c r="H230">
        <v>0.41</v>
      </c>
    </row>
    <row r="231" spans="1:8" x14ac:dyDescent="0.25">
      <c r="A231">
        <v>200002786</v>
      </c>
      <c r="B231" t="s">
        <v>1399</v>
      </c>
      <c r="C231" s="2">
        <v>41736</v>
      </c>
      <c r="D231" t="s">
        <v>1260</v>
      </c>
      <c r="E231">
        <v>87</v>
      </c>
      <c r="F231">
        <v>23</v>
      </c>
      <c r="G231">
        <v>1</v>
      </c>
      <c r="H231">
        <v>0.08</v>
      </c>
    </row>
    <row r="232" spans="1:8" x14ac:dyDescent="0.25">
      <c r="A232">
        <v>200003642</v>
      </c>
      <c r="B232" t="s">
        <v>838</v>
      </c>
      <c r="C232" s="2">
        <v>42635</v>
      </c>
      <c r="D232" t="s">
        <v>1400</v>
      </c>
      <c r="E232">
        <v>72.95</v>
      </c>
      <c r="F232">
        <v>35</v>
      </c>
      <c r="G232">
        <v>1</v>
      </c>
      <c r="H232">
        <v>0.08</v>
      </c>
    </row>
    <row r="233" spans="1:8" x14ac:dyDescent="0.25">
      <c r="A233">
        <v>200005996</v>
      </c>
      <c r="B233" t="s">
        <v>1401</v>
      </c>
      <c r="C233" s="2">
        <v>44543</v>
      </c>
      <c r="D233" t="s">
        <v>1163</v>
      </c>
      <c r="E233">
        <v>21.42</v>
      </c>
      <c r="F233">
        <v>12</v>
      </c>
      <c r="G233">
        <v>1</v>
      </c>
      <c r="H233">
        <v>0.08</v>
      </c>
    </row>
    <row r="234" spans="1:8" x14ac:dyDescent="0.25">
      <c r="A234">
        <v>200000602</v>
      </c>
      <c r="B234" t="s">
        <v>1402</v>
      </c>
      <c r="C234" s="2">
        <v>44504</v>
      </c>
      <c r="D234" t="s">
        <v>1297</v>
      </c>
      <c r="E234">
        <v>9.89</v>
      </c>
      <c r="F234">
        <v>69</v>
      </c>
      <c r="G234">
        <v>13</v>
      </c>
      <c r="H234">
        <v>1.08</v>
      </c>
    </row>
    <row r="235" spans="1:8" x14ac:dyDescent="0.25">
      <c r="A235">
        <v>200000604</v>
      </c>
      <c r="B235" t="s">
        <v>855</v>
      </c>
      <c r="C235" s="2">
        <v>44573</v>
      </c>
      <c r="D235" t="s">
        <v>1163</v>
      </c>
      <c r="E235">
        <v>20.75</v>
      </c>
      <c r="F235">
        <v>37</v>
      </c>
      <c r="G235">
        <v>15</v>
      </c>
      <c r="H235">
        <v>1.25</v>
      </c>
    </row>
    <row r="236" spans="1:8" x14ac:dyDescent="0.25">
      <c r="A236">
        <v>200001599</v>
      </c>
      <c r="B236" t="s">
        <v>856</v>
      </c>
      <c r="C236" s="2">
        <v>44573</v>
      </c>
      <c r="D236" t="s">
        <v>1163</v>
      </c>
      <c r="E236">
        <v>10.97</v>
      </c>
      <c r="F236">
        <v>214</v>
      </c>
      <c r="G236">
        <v>15</v>
      </c>
      <c r="H236">
        <v>1.25</v>
      </c>
    </row>
    <row r="237" spans="1:8" x14ac:dyDescent="0.25">
      <c r="A237">
        <v>200003675</v>
      </c>
      <c r="B237" t="s">
        <v>858</v>
      </c>
      <c r="C237" s="2">
        <v>44573</v>
      </c>
      <c r="D237" t="s">
        <v>1163</v>
      </c>
      <c r="E237">
        <v>32.19</v>
      </c>
      <c r="F237">
        <v>119</v>
      </c>
      <c r="G237">
        <v>12</v>
      </c>
      <c r="H237">
        <v>1</v>
      </c>
    </row>
    <row r="238" spans="1:8" x14ac:dyDescent="0.25">
      <c r="A238">
        <v>200001594</v>
      </c>
      <c r="B238" t="s">
        <v>860</v>
      </c>
      <c r="C238" s="2">
        <v>44573</v>
      </c>
      <c r="D238" t="s">
        <v>1163</v>
      </c>
      <c r="E238">
        <v>16.739999999999998</v>
      </c>
      <c r="F238">
        <v>91</v>
      </c>
      <c r="G238">
        <v>7</v>
      </c>
      <c r="H238">
        <v>0.57999999999999996</v>
      </c>
    </row>
    <row r="239" spans="1:8" x14ac:dyDescent="0.25">
      <c r="A239">
        <v>200000595</v>
      </c>
      <c r="B239" t="s">
        <v>1403</v>
      </c>
      <c r="C239" s="2">
        <v>42269</v>
      </c>
      <c r="D239" t="s">
        <v>1172</v>
      </c>
      <c r="E239">
        <v>0.74</v>
      </c>
      <c r="F239">
        <v>37</v>
      </c>
      <c r="G239">
        <v>3</v>
      </c>
      <c r="H239">
        <v>0.25</v>
      </c>
    </row>
    <row r="240" spans="1:8" x14ac:dyDescent="0.25">
      <c r="A240">
        <v>200001821</v>
      </c>
      <c r="B240" t="s">
        <v>1404</v>
      </c>
      <c r="C240" s="2">
        <v>41731</v>
      </c>
      <c r="D240" t="s">
        <v>1405</v>
      </c>
      <c r="E240">
        <v>70.010000000000005</v>
      </c>
      <c r="F240">
        <v>8</v>
      </c>
      <c r="G240">
        <v>1</v>
      </c>
      <c r="H240">
        <v>0.08</v>
      </c>
    </row>
    <row r="241" spans="1:8" x14ac:dyDescent="0.25">
      <c r="A241">
        <v>200000944</v>
      </c>
      <c r="B241" t="s">
        <v>1406</v>
      </c>
      <c r="C241" s="2">
        <v>44568</v>
      </c>
      <c r="D241" t="s">
        <v>1172</v>
      </c>
      <c r="E241">
        <v>0.27</v>
      </c>
      <c r="F241">
        <v>2374</v>
      </c>
      <c r="G241">
        <v>270</v>
      </c>
      <c r="H241">
        <v>22.5</v>
      </c>
    </row>
    <row r="242" spans="1:8" x14ac:dyDescent="0.25">
      <c r="A242">
        <v>200000614</v>
      </c>
      <c r="B242" t="s">
        <v>867</v>
      </c>
      <c r="C242" s="2">
        <v>44538</v>
      </c>
      <c r="D242" t="s">
        <v>1163</v>
      </c>
      <c r="E242">
        <v>20.58</v>
      </c>
      <c r="F242">
        <v>104</v>
      </c>
      <c r="G242">
        <v>5</v>
      </c>
      <c r="H242">
        <v>0.41</v>
      </c>
    </row>
    <row r="243" spans="1:8" x14ac:dyDescent="0.25">
      <c r="A243">
        <v>200002057</v>
      </c>
      <c r="B243" t="s">
        <v>873</v>
      </c>
      <c r="C243" s="2">
        <v>44572</v>
      </c>
      <c r="D243" t="s">
        <v>1163</v>
      </c>
      <c r="E243">
        <v>115.32</v>
      </c>
      <c r="F243">
        <v>143</v>
      </c>
      <c r="G243">
        <v>1</v>
      </c>
      <c r="H243">
        <v>0.08</v>
      </c>
    </row>
    <row r="244" spans="1:8" x14ac:dyDescent="0.25">
      <c r="A244">
        <v>200004985</v>
      </c>
      <c r="B244" t="s">
        <v>877</v>
      </c>
      <c r="C244" s="2">
        <v>44538</v>
      </c>
      <c r="D244" t="s">
        <v>1163</v>
      </c>
      <c r="E244">
        <v>11.99</v>
      </c>
      <c r="F244">
        <v>12</v>
      </c>
      <c r="G244">
        <v>5</v>
      </c>
      <c r="H244">
        <v>0.41</v>
      </c>
    </row>
    <row r="245" spans="1:8" x14ac:dyDescent="0.25">
      <c r="A245">
        <v>200002277</v>
      </c>
      <c r="B245" t="s">
        <v>884</v>
      </c>
      <c r="C245" s="2">
        <v>44326</v>
      </c>
      <c r="D245" t="s">
        <v>1163</v>
      </c>
      <c r="E245">
        <v>13.11</v>
      </c>
      <c r="F245">
        <v>109</v>
      </c>
      <c r="G245">
        <v>6</v>
      </c>
      <c r="H245">
        <v>0.5</v>
      </c>
    </row>
    <row r="246" spans="1:8" x14ac:dyDescent="0.25">
      <c r="A246">
        <v>200000632</v>
      </c>
      <c r="B246" t="s">
        <v>1407</v>
      </c>
      <c r="C246" s="2">
        <v>44382</v>
      </c>
      <c r="D246" t="s">
        <v>1207</v>
      </c>
      <c r="E246">
        <v>1.9</v>
      </c>
      <c r="F246">
        <v>1868</v>
      </c>
      <c r="G246">
        <v>48</v>
      </c>
      <c r="H246">
        <v>4</v>
      </c>
    </row>
    <row r="247" spans="1:8" x14ac:dyDescent="0.25">
      <c r="A247">
        <v>200001471</v>
      </c>
      <c r="B247" t="s">
        <v>1408</v>
      </c>
      <c r="C247" s="2">
        <v>44538</v>
      </c>
      <c r="D247" t="s">
        <v>1180</v>
      </c>
      <c r="E247">
        <v>76.92</v>
      </c>
      <c r="F247">
        <v>161</v>
      </c>
      <c r="G247">
        <v>2</v>
      </c>
      <c r="H247">
        <v>0.16</v>
      </c>
    </row>
    <row r="248" spans="1:8" x14ac:dyDescent="0.25">
      <c r="A248">
        <v>200003176</v>
      </c>
      <c r="B248" t="s">
        <v>889</v>
      </c>
      <c r="C248" s="2">
        <v>44573</v>
      </c>
      <c r="D248" t="s">
        <v>1163</v>
      </c>
      <c r="E248">
        <v>12.78</v>
      </c>
      <c r="F248">
        <v>104</v>
      </c>
      <c r="G248">
        <v>3</v>
      </c>
      <c r="H248">
        <v>0.25</v>
      </c>
    </row>
    <row r="249" spans="1:8" x14ac:dyDescent="0.25">
      <c r="A249">
        <v>200005447</v>
      </c>
      <c r="B249" t="s">
        <v>1409</v>
      </c>
      <c r="C249" s="2">
        <v>44517</v>
      </c>
      <c r="D249" t="s">
        <v>1302</v>
      </c>
      <c r="E249">
        <v>260</v>
      </c>
      <c r="F249">
        <v>0</v>
      </c>
      <c r="G249">
        <v>1</v>
      </c>
      <c r="H249">
        <v>0.08</v>
      </c>
    </row>
    <row r="250" spans="1:8" x14ac:dyDescent="0.25">
      <c r="A250">
        <v>200005446</v>
      </c>
      <c r="B250" t="s">
        <v>1410</v>
      </c>
      <c r="C250" s="2">
        <v>44517</v>
      </c>
      <c r="D250" t="s">
        <v>1302</v>
      </c>
      <c r="E250">
        <v>170</v>
      </c>
      <c r="F250">
        <v>0</v>
      </c>
      <c r="G250">
        <v>5</v>
      </c>
      <c r="H250">
        <v>0.41</v>
      </c>
    </row>
    <row r="251" spans="1:8" x14ac:dyDescent="0.25">
      <c r="A251">
        <v>200001037</v>
      </c>
      <c r="B251" t="s">
        <v>924</v>
      </c>
      <c r="C251" s="2">
        <v>43892</v>
      </c>
      <c r="D251" t="s">
        <v>1338</v>
      </c>
      <c r="E251">
        <v>1.5</v>
      </c>
      <c r="F251">
        <v>20</v>
      </c>
      <c r="G251">
        <v>2</v>
      </c>
      <c r="H251">
        <v>0.16</v>
      </c>
    </row>
    <row r="252" spans="1:8" x14ac:dyDescent="0.25">
      <c r="A252">
        <v>200000647</v>
      </c>
      <c r="B252" t="s">
        <v>1411</v>
      </c>
      <c r="C252" s="2">
        <v>44544</v>
      </c>
      <c r="D252" t="s">
        <v>1172</v>
      </c>
      <c r="E252">
        <v>8.43</v>
      </c>
      <c r="F252">
        <v>70</v>
      </c>
      <c r="G252">
        <v>3</v>
      </c>
      <c r="H252">
        <v>0.25</v>
      </c>
    </row>
    <row r="253" spans="1:8" x14ac:dyDescent="0.25">
      <c r="A253">
        <v>200003809</v>
      </c>
      <c r="B253" t="s">
        <v>969</v>
      </c>
      <c r="C253" s="2">
        <v>44571</v>
      </c>
      <c r="D253" t="s">
        <v>1412</v>
      </c>
      <c r="E253">
        <v>99</v>
      </c>
      <c r="F253">
        <v>28</v>
      </c>
      <c r="G253">
        <v>10</v>
      </c>
      <c r="H253">
        <v>0.83</v>
      </c>
    </row>
    <row r="254" spans="1:8" x14ac:dyDescent="0.25">
      <c r="A254">
        <v>200000749</v>
      </c>
      <c r="B254" t="s">
        <v>984</v>
      </c>
      <c r="C254" s="2">
        <v>44539</v>
      </c>
      <c r="D254" t="s">
        <v>1413</v>
      </c>
      <c r="E254">
        <v>108</v>
      </c>
      <c r="F254">
        <v>24</v>
      </c>
      <c r="G254">
        <v>6</v>
      </c>
      <c r="H254">
        <v>0.5</v>
      </c>
    </row>
    <row r="255" spans="1:8" x14ac:dyDescent="0.25">
      <c r="A255">
        <v>200000660</v>
      </c>
      <c r="B255" t="s">
        <v>985</v>
      </c>
      <c r="C255" s="2">
        <v>44571</v>
      </c>
      <c r="D255" t="s">
        <v>1412</v>
      </c>
      <c r="E255">
        <v>286</v>
      </c>
      <c r="F255">
        <v>4</v>
      </c>
      <c r="G255">
        <v>25</v>
      </c>
      <c r="H255">
        <v>2.08</v>
      </c>
    </row>
    <row r="256" spans="1:8" x14ac:dyDescent="0.25">
      <c r="A256">
        <v>200002480</v>
      </c>
      <c r="B256" t="s">
        <v>1414</v>
      </c>
      <c r="C256" s="2">
        <v>44544</v>
      </c>
      <c r="D256" t="s">
        <v>1172</v>
      </c>
      <c r="E256">
        <v>2.2200000000000002</v>
      </c>
      <c r="F256">
        <v>65</v>
      </c>
      <c r="G256">
        <v>8</v>
      </c>
      <c r="H256">
        <v>0.66</v>
      </c>
    </row>
    <row r="257" spans="1:8" x14ac:dyDescent="0.25">
      <c r="A257">
        <v>200001623</v>
      </c>
      <c r="B257" t="s">
        <v>994</v>
      </c>
      <c r="C257" s="2">
        <v>44571</v>
      </c>
      <c r="D257" t="s">
        <v>1412</v>
      </c>
      <c r="E257">
        <v>57</v>
      </c>
      <c r="F257">
        <v>71</v>
      </c>
      <c r="G257">
        <v>5</v>
      </c>
      <c r="H257">
        <v>0.41</v>
      </c>
    </row>
    <row r="258" spans="1:8" x14ac:dyDescent="0.25">
      <c r="A258">
        <v>200001221</v>
      </c>
      <c r="B258" t="s">
        <v>1415</v>
      </c>
      <c r="C258" s="2">
        <v>44424</v>
      </c>
      <c r="D258" t="s">
        <v>1157</v>
      </c>
      <c r="E258">
        <v>5.3</v>
      </c>
      <c r="F258">
        <v>0</v>
      </c>
      <c r="G258">
        <v>4</v>
      </c>
      <c r="H258">
        <v>0.33</v>
      </c>
    </row>
    <row r="259" spans="1:8" x14ac:dyDescent="0.25">
      <c r="A259">
        <v>200004593</v>
      </c>
      <c r="B259" t="s">
        <v>1416</v>
      </c>
      <c r="C259" s="2">
        <v>44222</v>
      </c>
      <c r="D259" t="s">
        <v>1221</v>
      </c>
      <c r="E259">
        <v>32</v>
      </c>
      <c r="F259">
        <v>1695</v>
      </c>
      <c r="G259">
        <v>18</v>
      </c>
      <c r="H259">
        <v>1.5</v>
      </c>
    </row>
    <row r="260" spans="1:8" x14ac:dyDescent="0.25">
      <c r="A260">
        <v>200002104</v>
      </c>
      <c r="B260" t="s">
        <v>1417</v>
      </c>
      <c r="C260" s="2">
        <v>44424</v>
      </c>
      <c r="D260" t="s">
        <v>1157</v>
      </c>
      <c r="E260">
        <v>6.05</v>
      </c>
      <c r="F260">
        <v>1666</v>
      </c>
      <c r="G260">
        <v>28</v>
      </c>
      <c r="H260">
        <v>2.33</v>
      </c>
    </row>
    <row r="261" spans="1:8" x14ac:dyDescent="0.25">
      <c r="A261">
        <v>200002105</v>
      </c>
      <c r="B261" t="s">
        <v>1418</v>
      </c>
      <c r="C261" s="2">
        <v>44424</v>
      </c>
      <c r="D261" t="s">
        <v>1157</v>
      </c>
      <c r="E261">
        <v>6.95</v>
      </c>
      <c r="F261">
        <v>207</v>
      </c>
      <c r="G261">
        <v>4</v>
      </c>
      <c r="H261">
        <v>0.33</v>
      </c>
    </row>
    <row r="262" spans="1:8" x14ac:dyDescent="0.25">
      <c r="A262">
        <v>200003672</v>
      </c>
      <c r="B262" t="s">
        <v>1010</v>
      </c>
      <c r="C262" s="2">
        <v>44540</v>
      </c>
      <c r="D262" t="s">
        <v>1163</v>
      </c>
      <c r="E262">
        <v>194.75</v>
      </c>
      <c r="F262">
        <v>62</v>
      </c>
      <c r="G262">
        <v>1</v>
      </c>
      <c r="H262">
        <v>0.08</v>
      </c>
    </row>
    <row r="263" spans="1:8" x14ac:dyDescent="0.25">
      <c r="A263">
        <v>200004133</v>
      </c>
      <c r="B263" t="s">
        <v>1014</v>
      </c>
      <c r="C263" s="2">
        <v>44540</v>
      </c>
      <c r="D263" t="s">
        <v>1163</v>
      </c>
      <c r="E263">
        <v>153.34</v>
      </c>
      <c r="F263">
        <v>5</v>
      </c>
      <c r="G263">
        <v>2</v>
      </c>
      <c r="H263">
        <v>0.16</v>
      </c>
    </row>
    <row r="264" spans="1:8" x14ac:dyDescent="0.25">
      <c r="A264">
        <v>200002224</v>
      </c>
      <c r="B264" t="s">
        <v>1026</v>
      </c>
      <c r="C264" s="2">
        <v>44540</v>
      </c>
      <c r="D264" t="s">
        <v>1163</v>
      </c>
      <c r="E264">
        <v>109.47</v>
      </c>
      <c r="F264">
        <v>114</v>
      </c>
      <c r="G264">
        <v>2</v>
      </c>
      <c r="H264">
        <v>0.16</v>
      </c>
    </row>
    <row r="265" spans="1:8" x14ac:dyDescent="0.25">
      <c r="A265">
        <v>200005992</v>
      </c>
      <c r="B265" t="s">
        <v>1028</v>
      </c>
      <c r="C265" s="2">
        <v>44537</v>
      </c>
      <c r="D265" t="s">
        <v>1302</v>
      </c>
      <c r="E265">
        <v>136.63999999999999</v>
      </c>
      <c r="F265">
        <v>0</v>
      </c>
      <c r="G265">
        <v>5</v>
      </c>
      <c r="H265">
        <v>0.41</v>
      </c>
    </row>
    <row r="266" spans="1:8" x14ac:dyDescent="0.25">
      <c r="A266">
        <v>200000682</v>
      </c>
      <c r="B266" t="s">
        <v>1419</v>
      </c>
      <c r="C266" s="2">
        <v>44573</v>
      </c>
      <c r="D266" t="s">
        <v>1163</v>
      </c>
      <c r="E266">
        <v>9.24</v>
      </c>
      <c r="F266">
        <v>151</v>
      </c>
      <c r="G266">
        <v>8</v>
      </c>
      <c r="H266">
        <v>0.66</v>
      </c>
    </row>
    <row r="267" spans="1:8" x14ac:dyDescent="0.25">
      <c r="A267">
        <v>200000683</v>
      </c>
      <c r="B267" t="s">
        <v>1420</v>
      </c>
      <c r="C267" s="2">
        <v>44573</v>
      </c>
      <c r="D267" t="s">
        <v>1163</v>
      </c>
      <c r="E267">
        <v>13.75</v>
      </c>
      <c r="F267">
        <v>240</v>
      </c>
      <c r="G267">
        <v>4</v>
      </c>
      <c r="H267">
        <v>0.33</v>
      </c>
    </row>
    <row r="268" spans="1:8" x14ac:dyDescent="0.25">
      <c r="A268">
        <v>200001642</v>
      </c>
      <c r="B268" t="s">
        <v>1421</v>
      </c>
      <c r="C268" s="2">
        <v>44573</v>
      </c>
      <c r="D268" t="s">
        <v>1163</v>
      </c>
      <c r="E268">
        <v>14.39</v>
      </c>
      <c r="F268">
        <v>101</v>
      </c>
      <c r="G268">
        <v>15</v>
      </c>
      <c r="H268">
        <v>1.25</v>
      </c>
    </row>
    <row r="269" spans="1:8" x14ac:dyDescent="0.25">
      <c r="A269">
        <v>200005710</v>
      </c>
      <c r="B269" t="s">
        <v>1422</v>
      </c>
      <c r="C269" s="2">
        <v>44379</v>
      </c>
      <c r="D269" t="s">
        <v>1180</v>
      </c>
      <c r="E269">
        <v>404.97</v>
      </c>
      <c r="F269">
        <v>49</v>
      </c>
      <c r="G269">
        <v>1</v>
      </c>
      <c r="H269">
        <v>0.08</v>
      </c>
    </row>
    <row r="270" spans="1:8" x14ac:dyDescent="0.25">
      <c r="A270">
        <v>200005711</v>
      </c>
      <c r="B270" t="s">
        <v>1423</v>
      </c>
      <c r="C270" s="2">
        <v>44379</v>
      </c>
      <c r="D270" t="s">
        <v>1180</v>
      </c>
      <c r="E270">
        <v>211.67</v>
      </c>
      <c r="F270">
        <v>91</v>
      </c>
      <c r="G270">
        <v>3</v>
      </c>
      <c r="H270">
        <v>0.25</v>
      </c>
    </row>
    <row r="271" spans="1:8" x14ac:dyDescent="0.25">
      <c r="A271">
        <v>200005712</v>
      </c>
      <c r="B271" t="s">
        <v>1424</v>
      </c>
      <c r="C271" s="2">
        <v>44379</v>
      </c>
      <c r="D271" t="s">
        <v>1180</v>
      </c>
      <c r="E271">
        <v>287.2</v>
      </c>
      <c r="F271">
        <v>94</v>
      </c>
      <c r="G271">
        <v>3</v>
      </c>
      <c r="H271">
        <v>0.25</v>
      </c>
    </row>
    <row r="272" spans="1:8" x14ac:dyDescent="0.25">
      <c r="A272">
        <v>200004964</v>
      </c>
      <c r="B272" t="s">
        <v>1425</v>
      </c>
      <c r="C272" s="2">
        <v>44516</v>
      </c>
      <c r="D272" t="s">
        <v>1188</v>
      </c>
      <c r="E272">
        <v>2.06</v>
      </c>
      <c r="F272">
        <v>669</v>
      </c>
      <c r="G272">
        <v>8</v>
      </c>
      <c r="H272">
        <v>0.66</v>
      </c>
    </row>
    <row r="273" spans="1:8" x14ac:dyDescent="0.25">
      <c r="A273">
        <v>200004962</v>
      </c>
      <c r="B273" t="s">
        <v>1426</v>
      </c>
      <c r="C273" s="2">
        <v>44379</v>
      </c>
      <c r="D273" t="s">
        <v>1180</v>
      </c>
      <c r="E273">
        <v>2.2200000000000002</v>
      </c>
      <c r="F273">
        <v>916</v>
      </c>
      <c r="G273">
        <v>8</v>
      </c>
      <c r="H273">
        <v>0.66</v>
      </c>
    </row>
    <row r="274" spans="1:8" x14ac:dyDescent="0.25">
      <c r="A274">
        <v>200004963</v>
      </c>
      <c r="B274" t="s">
        <v>1427</v>
      </c>
      <c r="C274" s="2">
        <v>44379</v>
      </c>
      <c r="D274" t="s">
        <v>1180</v>
      </c>
      <c r="E274">
        <v>2.79</v>
      </c>
      <c r="F274">
        <v>756</v>
      </c>
      <c r="G274">
        <v>48</v>
      </c>
      <c r="H274">
        <v>4</v>
      </c>
    </row>
    <row r="275" spans="1:8" x14ac:dyDescent="0.25">
      <c r="A275">
        <v>200004295</v>
      </c>
      <c r="B275" t="s">
        <v>1100</v>
      </c>
      <c r="C275" s="2">
        <v>44573</v>
      </c>
      <c r="D275" t="s">
        <v>1163</v>
      </c>
      <c r="E275">
        <v>42.16</v>
      </c>
      <c r="F275">
        <v>6</v>
      </c>
      <c r="G275">
        <v>2</v>
      </c>
      <c r="H275">
        <v>0.16</v>
      </c>
    </row>
    <row r="276" spans="1:8" x14ac:dyDescent="0.25">
      <c r="A276">
        <v>200003129</v>
      </c>
      <c r="B276" t="s">
        <v>1111</v>
      </c>
      <c r="C276" s="2">
        <v>44370</v>
      </c>
      <c r="D276" t="s">
        <v>1428</v>
      </c>
      <c r="E276">
        <v>120.25</v>
      </c>
      <c r="F276">
        <v>74</v>
      </c>
      <c r="G276">
        <v>3</v>
      </c>
      <c r="H276">
        <v>0.25</v>
      </c>
    </row>
    <row r="277" spans="1:8" x14ac:dyDescent="0.25">
      <c r="A277">
        <v>200001626</v>
      </c>
      <c r="B277" t="s">
        <v>1140</v>
      </c>
      <c r="C277" s="2">
        <v>44251</v>
      </c>
      <c r="D277" t="s">
        <v>1355</v>
      </c>
      <c r="E277">
        <v>50</v>
      </c>
      <c r="F277">
        <v>15</v>
      </c>
      <c r="G277">
        <v>1</v>
      </c>
      <c r="H277">
        <v>0.08</v>
      </c>
    </row>
    <row r="278" spans="1:8" x14ac:dyDescent="0.25">
      <c r="A278">
        <v>200005245</v>
      </c>
      <c r="B278" t="s">
        <v>1429</v>
      </c>
      <c r="C278" s="2">
        <v>44082</v>
      </c>
      <c r="D278" t="s">
        <v>1430</v>
      </c>
      <c r="E278">
        <v>12.8</v>
      </c>
      <c r="F278">
        <v>0</v>
      </c>
      <c r="G278">
        <v>10</v>
      </c>
      <c r="H278">
        <v>0.83</v>
      </c>
    </row>
    <row r="279" spans="1:8" x14ac:dyDescent="0.25">
      <c r="A279">
        <v>200001772</v>
      </c>
      <c r="B279" t="s">
        <v>1431</v>
      </c>
      <c r="C279" s="2">
        <v>44028</v>
      </c>
      <c r="D279" t="s">
        <v>1432</v>
      </c>
      <c r="E279">
        <v>5.46</v>
      </c>
      <c r="F279">
        <v>109</v>
      </c>
      <c r="G279">
        <v>2</v>
      </c>
      <c r="H279">
        <v>0.16</v>
      </c>
    </row>
    <row r="280" spans="1:8" x14ac:dyDescent="0.25">
      <c r="A280">
        <v>200001837</v>
      </c>
      <c r="B280" t="s">
        <v>1143</v>
      </c>
      <c r="C280" s="2">
        <v>44410</v>
      </c>
      <c r="D280" t="s">
        <v>1163</v>
      </c>
      <c r="E280">
        <v>12.36</v>
      </c>
      <c r="F280">
        <v>3</v>
      </c>
      <c r="G280">
        <v>2</v>
      </c>
      <c r="H280">
        <v>0.16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7B10-2921-4540-8044-BA06E859B3F1}">
  <sheetPr codeName="Planilha5"/>
  <dimension ref="A1:H1241"/>
  <sheetViews>
    <sheetView topLeftCell="A977" workbookViewId="0">
      <selection activeCell="E13" sqref="E13"/>
    </sheetView>
  </sheetViews>
  <sheetFormatPr defaultRowHeight="15" x14ac:dyDescent="0.25"/>
  <cols>
    <col min="1" max="1" width="20" bestFit="1" customWidth="1"/>
    <col min="2" max="2" width="81.140625" bestFit="1" customWidth="1"/>
    <col min="3" max="3" width="24" bestFit="1" customWidth="1"/>
    <col min="4" max="4" width="81.140625" bestFit="1" customWidth="1"/>
    <col min="5" max="5" width="32.140625" bestFit="1" customWidth="1"/>
    <col min="6" max="6" width="16.42578125" bestFit="1" customWidth="1"/>
    <col min="7" max="7" width="21.5703125" bestFit="1" customWidth="1"/>
    <col min="8" max="8" width="28.140625" customWidth="1"/>
    <col min="9" max="9" width="28.140625" bestFit="1" customWidth="1"/>
  </cols>
  <sheetData>
    <row r="1" spans="1:8" x14ac:dyDescent="0.25">
      <c r="A1" s="1" t="s">
        <v>1148</v>
      </c>
      <c r="B1" s="1" t="s">
        <v>1149</v>
      </c>
      <c r="C1" s="1" t="s">
        <v>1150</v>
      </c>
      <c r="D1" s="1" t="s">
        <v>1151</v>
      </c>
      <c r="E1" s="1" t="s">
        <v>1152</v>
      </c>
      <c r="F1" t="s">
        <v>1153</v>
      </c>
      <c r="G1" s="1" t="s">
        <v>1154</v>
      </c>
      <c r="H1" s="1" t="s">
        <v>1155</v>
      </c>
    </row>
    <row r="2" spans="1:8" x14ac:dyDescent="0.25">
      <c r="A2">
        <v>200000003</v>
      </c>
      <c r="B2" t="s">
        <v>1156</v>
      </c>
      <c r="C2" s="2">
        <v>44854</v>
      </c>
      <c r="D2" t="s">
        <v>1157</v>
      </c>
      <c r="E2">
        <v>0.18</v>
      </c>
      <c r="F2">
        <v>390</v>
      </c>
      <c r="G2">
        <v>5439</v>
      </c>
      <c r="H2">
        <v>14.9</v>
      </c>
    </row>
    <row r="3" spans="1:8" x14ac:dyDescent="0.25">
      <c r="A3">
        <v>200006104</v>
      </c>
      <c r="B3" t="s">
        <v>1433</v>
      </c>
      <c r="C3" s="2">
        <v>44768</v>
      </c>
      <c r="D3" t="s">
        <v>1434</v>
      </c>
      <c r="E3">
        <v>0.1</v>
      </c>
      <c r="F3">
        <v>0</v>
      </c>
      <c r="G3">
        <v>3750</v>
      </c>
      <c r="H3">
        <v>10.27</v>
      </c>
    </row>
    <row r="4" spans="1:8" x14ac:dyDescent="0.25">
      <c r="A4">
        <v>200006106</v>
      </c>
      <c r="B4" t="s">
        <v>1435</v>
      </c>
      <c r="C4" s="2">
        <v>44768</v>
      </c>
      <c r="D4" t="s">
        <v>1434</v>
      </c>
      <c r="E4">
        <v>0.46</v>
      </c>
      <c r="F4">
        <v>0</v>
      </c>
      <c r="G4">
        <v>1125</v>
      </c>
      <c r="H4">
        <v>3.08</v>
      </c>
    </row>
    <row r="5" spans="1:8" x14ac:dyDescent="0.25">
      <c r="A5">
        <v>200006105</v>
      </c>
      <c r="B5" t="s">
        <v>1436</v>
      </c>
      <c r="C5" s="2">
        <v>44768</v>
      </c>
      <c r="D5" t="s">
        <v>1434</v>
      </c>
      <c r="E5">
        <v>1.2</v>
      </c>
      <c r="F5">
        <v>0</v>
      </c>
      <c r="G5">
        <v>750</v>
      </c>
      <c r="H5">
        <v>2.0499999999999998</v>
      </c>
    </row>
    <row r="6" spans="1:8" x14ac:dyDescent="0.25">
      <c r="A6">
        <v>200000864</v>
      </c>
      <c r="B6" t="s">
        <v>1437</v>
      </c>
      <c r="C6" s="2">
        <v>40086</v>
      </c>
      <c r="D6" t="s">
        <v>1438</v>
      </c>
      <c r="E6">
        <v>0.23</v>
      </c>
      <c r="F6">
        <v>1345</v>
      </c>
      <c r="G6">
        <v>400</v>
      </c>
      <c r="H6">
        <v>1.0900000000000001</v>
      </c>
    </row>
    <row r="7" spans="1:8" x14ac:dyDescent="0.25">
      <c r="A7">
        <v>200000865</v>
      </c>
      <c r="B7" t="s">
        <v>1439</v>
      </c>
      <c r="C7" s="2">
        <v>42122</v>
      </c>
      <c r="D7" t="s">
        <v>1159</v>
      </c>
      <c r="E7">
        <v>0.03</v>
      </c>
      <c r="F7">
        <v>26777</v>
      </c>
      <c r="G7">
        <v>300</v>
      </c>
      <c r="H7">
        <v>0.82</v>
      </c>
    </row>
    <row r="8" spans="1:8" x14ac:dyDescent="0.25">
      <c r="A8">
        <v>200000863</v>
      </c>
      <c r="B8" t="s">
        <v>1158</v>
      </c>
      <c r="C8" s="2">
        <v>42122</v>
      </c>
      <c r="D8" t="s">
        <v>1159</v>
      </c>
      <c r="E8">
        <v>0.06</v>
      </c>
      <c r="F8">
        <v>2223</v>
      </c>
      <c r="G8">
        <v>420</v>
      </c>
      <c r="H8">
        <v>1.1499999999999999</v>
      </c>
    </row>
    <row r="9" spans="1:8" x14ac:dyDescent="0.25">
      <c r="A9">
        <v>200002075</v>
      </c>
      <c r="B9" t="s">
        <v>1440</v>
      </c>
      <c r="C9" s="2">
        <v>44593</v>
      </c>
      <c r="D9" t="s">
        <v>1441</v>
      </c>
      <c r="E9">
        <v>4.5</v>
      </c>
      <c r="F9">
        <v>94</v>
      </c>
      <c r="G9">
        <v>45</v>
      </c>
      <c r="H9">
        <v>0.12</v>
      </c>
    </row>
    <row r="10" spans="1:8" x14ac:dyDescent="0.25">
      <c r="A10">
        <v>200002076</v>
      </c>
      <c r="B10" t="s">
        <v>1160</v>
      </c>
      <c r="C10" s="2">
        <v>44593</v>
      </c>
      <c r="D10" t="s">
        <v>1441</v>
      </c>
      <c r="E10">
        <v>6.13</v>
      </c>
      <c r="F10">
        <v>0</v>
      </c>
      <c r="G10">
        <v>428</v>
      </c>
      <c r="H10">
        <v>1.17</v>
      </c>
    </row>
    <row r="11" spans="1:8" x14ac:dyDescent="0.25">
      <c r="A11">
        <v>200001095</v>
      </c>
      <c r="B11" t="s">
        <v>11</v>
      </c>
      <c r="C11" s="2">
        <v>44166</v>
      </c>
      <c r="D11" t="s">
        <v>1442</v>
      </c>
      <c r="E11">
        <v>2.04</v>
      </c>
      <c r="F11">
        <v>68</v>
      </c>
      <c r="G11">
        <v>44</v>
      </c>
      <c r="H11">
        <v>0.12</v>
      </c>
    </row>
    <row r="12" spans="1:8" x14ac:dyDescent="0.25">
      <c r="A12">
        <v>200000004</v>
      </c>
      <c r="B12" t="s">
        <v>1443</v>
      </c>
      <c r="C12" s="2">
        <v>44890</v>
      </c>
      <c r="D12" t="s">
        <v>1229</v>
      </c>
      <c r="E12">
        <v>5.0599999999999996</v>
      </c>
      <c r="F12">
        <v>331</v>
      </c>
      <c r="G12">
        <v>190</v>
      </c>
      <c r="H12">
        <v>0.52</v>
      </c>
    </row>
    <row r="13" spans="1:8" x14ac:dyDescent="0.25">
      <c r="A13">
        <v>200000006</v>
      </c>
      <c r="B13" t="s">
        <v>1162</v>
      </c>
      <c r="C13" s="2">
        <v>44890</v>
      </c>
      <c r="D13" t="s">
        <v>1229</v>
      </c>
      <c r="E13">
        <v>5.13</v>
      </c>
      <c r="F13">
        <v>779</v>
      </c>
      <c r="G13">
        <v>191</v>
      </c>
      <c r="H13">
        <v>0.52</v>
      </c>
    </row>
    <row r="14" spans="1:8" x14ac:dyDescent="0.25">
      <c r="A14">
        <v>200003629</v>
      </c>
      <c r="B14" t="s">
        <v>1164</v>
      </c>
      <c r="C14" s="2">
        <v>44820</v>
      </c>
      <c r="D14" t="s">
        <v>1229</v>
      </c>
      <c r="E14">
        <v>145.15</v>
      </c>
      <c r="F14">
        <v>32</v>
      </c>
      <c r="G14">
        <v>10</v>
      </c>
      <c r="H14">
        <v>0.02</v>
      </c>
    </row>
    <row r="15" spans="1:8" x14ac:dyDescent="0.25">
      <c r="A15">
        <v>200004676</v>
      </c>
      <c r="B15" t="s">
        <v>20</v>
      </c>
      <c r="C15" s="2">
        <v>44890</v>
      </c>
      <c r="D15" t="s">
        <v>1229</v>
      </c>
      <c r="E15">
        <v>128.19999999999999</v>
      </c>
      <c r="F15">
        <v>118</v>
      </c>
      <c r="G15">
        <v>4</v>
      </c>
      <c r="H15">
        <v>0.01</v>
      </c>
    </row>
    <row r="16" spans="1:8" x14ac:dyDescent="0.25">
      <c r="A16">
        <v>200000012</v>
      </c>
      <c r="B16" t="s">
        <v>21</v>
      </c>
      <c r="C16" s="2">
        <v>39933</v>
      </c>
      <c r="D16" t="s">
        <v>1444</v>
      </c>
      <c r="E16">
        <v>8.9</v>
      </c>
      <c r="F16">
        <v>25</v>
      </c>
      <c r="G16">
        <v>4</v>
      </c>
      <c r="H16">
        <v>0.01</v>
      </c>
    </row>
    <row r="17" spans="1:8" x14ac:dyDescent="0.25">
      <c r="A17">
        <v>200000014</v>
      </c>
      <c r="B17" t="s">
        <v>23</v>
      </c>
      <c r="C17" s="2">
        <v>39933</v>
      </c>
      <c r="D17" t="s">
        <v>1444</v>
      </c>
      <c r="E17">
        <v>9.5</v>
      </c>
      <c r="F17">
        <v>24</v>
      </c>
      <c r="G17">
        <v>2</v>
      </c>
      <c r="H17">
        <v>0</v>
      </c>
    </row>
    <row r="18" spans="1:8" x14ac:dyDescent="0.25">
      <c r="A18">
        <v>200000015</v>
      </c>
      <c r="B18" t="s">
        <v>24</v>
      </c>
      <c r="C18" s="2">
        <v>44890</v>
      </c>
      <c r="D18" t="s">
        <v>1229</v>
      </c>
      <c r="E18">
        <v>47.41</v>
      </c>
      <c r="F18">
        <v>34</v>
      </c>
      <c r="G18">
        <v>11</v>
      </c>
      <c r="H18">
        <v>0.03</v>
      </c>
    </row>
    <row r="19" spans="1:8" x14ac:dyDescent="0.25">
      <c r="A19">
        <v>200000784</v>
      </c>
      <c r="B19" t="s">
        <v>1445</v>
      </c>
      <c r="C19" s="2">
        <v>40086</v>
      </c>
      <c r="D19" t="s">
        <v>1438</v>
      </c>
      <c r="E19">
        <v>7</v>
      </c>
      <c r="F19">
        <v>120</v>
      </c>
      <c r="G19">
        <v>2</v>
      </c>
      <c r="H19">
        <v>0</v>
      </c>
    </row>
    <row r="20" spans="1:8" x14ac:dyDescent="0.25">
      <c r="A20">
        <v>200006427</v>
      </c>
      <c r="B20" t="s">
        <v>1446</v>
      </c>
      <c r="C20" s="2">
        <v>45246</v>
      </c>
      <c r="D20" t="s">
        <v>1447</v>
      </c>
      <c r="E20">
        <v>67.900000000000006</v>
      </c>
      <c r="F20">
        <v>0</v>
      </c>
      <c r="G20">
        <v>10</v>
      </c>
      <c r="H20">
        <v>0.02</v>
      </c>
    </row>
    <row r="21" spans="1:8" x14ac:dyDescent="0.25">
      <c r="A21">
        <v>200001497</v>
      </c>
      <c r="B21" t="s">
        <v>1448</v>
      </c>
      <c r="C21" s="2">
        <v>42809</v>
      </c>
      <c r="D21" t="s">
        <v>1449</v>
      </c>
      <c r="E21">
        <v>3.2</v>
      </c>
      <c r="F21">
        <v>385</v>
      </c>
      <c r="G21">
        <v>11</v>
      </c>
      <c r="H21">
        <v>0.03</v>
      </c>
    </row>
    <row r="22" spans="1:8" x14ac:dyDescent="0.25">
      <c r="A22">
        <v>200001764</v>
      </c>
      <c r="B22" t="s">
        <v>1450</v>
      </c>
      <c r="C22" s="2">
        <v>43224</v>
      </c>
      <c r="D22" t="s">
        <v>1441</v>
      </c>
      <c r="E22">
        <v>6.01</v>
      </c>
      <c r="F22">
        <v>9</v>
      </c>
      <c r="G22">
        <v>110</v>
      </c>
      <c r="H22">
        <v>0.3</v>
      </c>
    </row>
    <row r="23" spans="1:8" x14ac:dyDescent="0.25">
      <c r="A23">
        <v>200003585</v>
      </c>
      <c r="B23" t="s">
        <v>32</v>
      </c>
      <c r="C23" s="2">
        <v>44531</v>
      </c>
      <c r="D23" t="s">
        <v>1200</v>
      </c>
      <c r="E23">
        <v>24.7</v>
      </c>
      <c r="F23">
        <v>4</v>
      </c>
      <c r="G23">
        <v>1</v>
      </c>
      <c r="H23">
        <v>0</v>
      </c>
    </row>
    <row r="24" spans="1:8" x14ac:dyDescent="0.25">
      <c r="A24">
        <v>200003589</v>
      </c>
      <c r="B24" t="s">
        <v>36</v>
      </c>
      <c r="C24" s="2">
        <v>44531</v>
      </c>
      <c r="D24" t="s">
        <v>1200</v>
      </c>
      <c r="E24">
        <v>42.95</v>
      </c>
      <c r="F24">
        <v>1</v>
      </c>
      <c r="G24">
        <v>2</v>
      </c>
      <c r="H24">
        <v>0</v>
      </c>
    </row>
    <row r="25" spans="1:8" x14ac:dyDescent="0.25">
      <c r="A25">
        <v>200002344</v>
      </c>
      <c r="B25" t="s">
        <v>37</v>
      </c>
      <c r="C25" s="2">
        <v>43893</v>
      </c>
      <c r="D25" t="s">
        <v>1338</v>
      </c>
      <c r="E25">
        <v>1</v>
      </c>
      <c r="F25">
        <v>1</v>
      </c>
      <c r="G25">
        <v>6</v>
      </c>
      <c r="H25">
        <v>0.01</v>
      </c>
    </row>
    <row r="26" spans="1:8" x14ac:dyDescent="0.25">
      <c r="A26">
        <v>200001008</v>
      </c>
      <c r="B26" t="s">
        <v>40</v>
      </c>
      <c r="C26" s="2">
        <v>41066</v>
      </c>
      <c r="D26" t="s">
        <v>1451</v>
      </c>
      <c r="E26">
        <v>3.63</v>
      </c>
      <c r="F26">
        <v>0</v>
      </c>
      <c r="G26">
        <v>1</v>
      </c>
      <c r="H26">
        <v>0</v>
      </c>
    </row>
    <row r="27" spans="1:8" x14ac:dyDescent="0.25">
      <c r="A27">
        <v>200001356</v>
      </c>
      <c r="B27" t="s">
        <v>1452</v>
      </c>
      <c r="C27" s="2">
        <v>40549</v>
      </c>
      <c r="D27" t="s">
        <v>1163</v>
      </c>
      <c r="E27">
        <v>8.14</v>
      </c>
      <c r="F27">
        <v>0</v>
      </c>
      <c r="G27">
        <v>5</v>
      </c>
      <c r="H27">
        <v>0.01</v>
      </c>
    </row>
    <row r="28" spans="1:8" x14ac:dyDescent="0.25">
      <c r="A28">
        <v>200003590</v>
      </c>
      <c r="B28" t="s">
        <v>47</v>
      </c>
      <c r="C28" s="2">
        <v>44531</v>
      </c>
      <c r="D28" t="s">
        <v>1200</v>
      </c>
      <c r="E28">
        <v>55.15</v>
      </c>
      <c r="F28">
        <v>6</v>
      </c>
      <c r="G28">
        <v>2</v>
      </c>
      <c r="H28">
        <v>0</v>
      </c>
    </row>
    <row r="29" spans="1:8" x14ac:dyDescent="0.25">
      <c r="A29">
        <v>200003582</v>
      </c>
      <c r="B29" t="s">
        <v>1453</v>
      </c>
      <c r="C29" s="2">
        <v>43893</v>
      </c>
      <c r="D29" t="s">
        <v>1338</v>
      </c>
      <c r="E29">
        <v>7</v>
      </c>
      <c r="F29">
        <v>18</v>
      </c>
      <c r="G29">
        <v>5</v>
      </c>
      <c r="H29">
        <v>0.01</v>
      </c>
    </row>
    <row r="30" spans="1:8" x14ac:dyDescent="0.25">
      <c r="A30">
        <v>200003583</v>
      </c>
      <c r="B30" t="s">
        <v>1454</v>
      </c>
      <c r="C30" s="2">
        <v>43893</v>
      </c>
      <c r="D30" t="s">
        <v>1338</v>
      </c>
      <c r="E30">
        <v>13</v>
      </c>
      <c r="F30">
        <v>21</v>
      </c>
      <c r="G30">
        <v>5</v>
      </c>
      <c r="H30">
        <v>0.01</v>
      </c>
    </row>
    <row r="31" spans="1:8" x14ac:dyDescent="0.25">
      <c r="A31">
        <v>200001765</v>
      </c>
      <c r="B31" t="s">
        <v>1165</v>
      </c>
      <c r="C31" s="2">
        <v>44400</v>
      </c>
      <c r="D31" t="s">
        <v>1157</v>
      </c>
      <c r="E31">
        <v>3.41</v>
      </c>
      <c r="F31">
        <v>434</v>
      </c>
      <c r="G31">
        <v>284</v>
      </c>
      <c r="H31">
        <v>0.77</v>
      </c>
    </row>
    <row r="32" spans="1:8" x14ac:dyDescent="0.25">
      <c r="A32">
        <v>200005308</v>
      </c>
      <c r="B32" t="s">
        <v>1455</v>
      </c>
      <c r="C32" s="2">
        <v>45027</v>
      </c>
      <c r="D32" t="s">
        <v>1456</v>
      </c>
      <c r="E32">
        <v>4.88</v>
      </c>
      <c r="F32">
        <v>0</v>
      </c>
      <c r="G32">
        <v>50</v>
      </c>
      <c r="H32">
        <v>0.13</v>
      </c>
    </row>
    <row r="33" spans="1:8" x14ac:dyDescent="0.25">
      <c r="A33">
        <v>200004299</v>
      </c>
      <c r="B33" t="s">
        <v>1166</v>
      </c>
      <c r="C33" s="2">
        <v>45113</v>
      </c>
      <c r="D33" t="s">
        <v>1457</v>
      </c>
      <c r="E33">
        <v>123.07</v>
      </c>
      <c r="F33">
        <v>8</v>
      </c>
      <c r="G33">
        <v>56</v>
      </c>
      <c r="H33">
        <v>0.15</v>
      </c>
    </row>
    <row r="34" spans="1:8" x14ac:dyDescent="0.25">
      <c r="A34">
        <v>200006192</v>
      </c>
      <c r="B34" t="s">
        <v>1458</v>
      </c>
      <c r="C34" s="2">
        <v>44902</v>
      </c>
      <c r="D34" t="s">
        <v>1459</v>
      </c>
      <c r="E34">
        <v>139.88</v>
      </c>
      <c r="F34">
        <v>9</v>
      </c>
      <c r="G34">
        <v>10</v>
      </c>
      <c r="H34">
        <v>0.02</v>
      </c>
    </row>
    <row r="35" spans="1:8" x14ac:dyDescent="0.25">
      <c r="A35">
        <v>200006492</v>
      </c>
      <c r="B35" t="s">
        <v>1460</v>
      </c>
      <c r="C35" s="2">
        <v>45279</v>
      </c>
      <c r="D35" t="s">
        <v>1461</v>
      </c>
      <c r="E35">
        <v>41</v>
      </c>
      <c r="F35">
        <v>0</v>
      </c>
      <c r="G35">
        <v>1</v>
      </c>
      <c r="H35">
        <v>0</v>
      </c>
    </row>
    <row r="36" spans="1:8" x14ac:dyDescent="0.25">
      <c r="A36">
        <v>200002880</v>
      </c>
      <c r="B36" t="s">
        <v>1462</v>
      </c>
      <c r="C36" s="2">
        <v>45126</v>
      </c>
      <c r="D36" t="s">
        <v>1459</v>
      </c>
      <c r="E36">
        <v>11</v>
      </c>
      <c r="F36">
        <v>12</v>
      </c>
      <c r="G36">
        <v>36</v>
      </c>
      <c r="H36">
        <v>0.09</v>
      </c>
    </row>
    <row r="37" spans="1:8" x14ac:dyDescent="0.25">
      <c r="A37">
        <v>200005682</v>
      </c>
      <c r="B37" t="s">
        <v>66</v>
      </c>
      <c r="C37" s="2">
        <v>44901</v>
      </c>
      <c r="D37" t="s">
        <v>1167</v>
      </c>
      <c r="E37">
        <v>540</v>
      </c>
      <c r="F37">
        <v>11</v>
      </c>
      <c r="G37">
        <v>10</v>
      </c>
      <c r="H37">
        <v>0.02</v>
      </c>
    </row>
    <row r="38" spans="1:8" x14ac:dyDescent="0.25">
      <c r="A38">
        <v>200001917</v>
      </c>
      <c r="B38" t="s">
        <v>68</v>
      </c>
      <c r="C38" s="2">
        <v>44890</v>
      </c>
      <c r="D38" t="s">
        <v>1229</v>
      </c>
      <c r="E38">
        <v>7.62</v>
      </c>
      <c r="F38">
        <v>53</v>
      </c>
      <c r="G38">
        <v>87</v>
      </c>
      <c r="H38">
        <v>0.23</v>
      </c>
    </row>
    <row r="39" spans="1:8" x14ac:dyDescent="0.25">
      <c r="A39">
        <v>200006321</v>
      </c>
      <c r="B39" t="s">
        <v>1463</v>
      </c>
      <c r="C39" s="2">
        <v>45216</v>
      </c>
      <c r="D39" t="s">
        <v>1456</v>
      </c>
      <c r="E39">
        <v>11</v>
      </c>
      <c r="F39">
        <v>0</v>
      </c>
      <c r="G39">
        <v>560</v>
      </c>
      <c r="H39">
        <v>1.53</v>
      </c>
    </row>
    <row r="40" spans="1:8" x14ac:dyDescent="0.25">
      <c r="A40">
        <v>200006323</v>
      </c>
      <c r="B40" t="s">
        <v>1464</v>
      </c>
      <c r="C40" s="2">
        <v>45216</v>
      </c>
      <c r="D40" t="s">
        <v>1456</v>
      </c>
      <c r="E40">
        <v>10</v>
      </c>
      <c r="F40">
        <v>0</v>
      </c>
      <c r="G40">
        <v>1400</v>
      </c>
      <c r="H40">
        <v>3.83</v>
      </c>
    </row>
    <row r="41" spans="1:8" x14ac:dyDescent="0.25">
      <c r="A41">
        <v>200006322</v>
      </c>
      <c r="B41" t="s">
        <v>1465</v>
      </c>
      <c r="C41" s="2">
        <v>45027</v>
      </c>
      <c r="D41" t="s">
        <v>1456</v>
      </c>
      <c r="E41">
        <v>9</v>
      </c>
      <c r="F41">
        <v>0</v>
      </c>
      <c r="G41">
        <v>600</v>
      </c>
      <c r="H41">
        <v>1.64</v>
      </c>
    </row>
    <row r="42" spans="1:8" x14ac:dyDescent="0.25">
      <c r="A42">
        <v>200006204</v>
      </c>
      <c r="B42" t="s">
        <v>1466</v>
      </c>
      <c r="C42" s="2">
        <v>45216</v>
      </c>
      <c r="D42" t="s">
        <v>1456</v>
      </c>
      <c r="E42">
        <v>9</v>
      </c>
      <c r="F42">
        <v>0</v>
      </c>
      <c r="G42">
        <v>500</v>
      </c>
      <c r="H42">
        <v>1.36</v>
      </c>
    </row>
    <row r="43" spans="1:8" x14ac:dyDescent="0.25">
      <c r="A43">
        <v>200006203</v>
      </c>
      <c r="B43" t="s">
        <v>1467</v>
      </c>
      <c r="C43" s="2">
        <v>45125</v>
      </c>
      <c r="D43" t="s">
        <v>1456</v>
      </c>
      <c r="E43">
        <v>7</v>
      </c>
      <c r="F43">
        <v>0</v>
      </c>
      <c r="G43">
        <v>2150</v>
      </c>
      <c r="H43">
        <v>5.89</v>
      </c>
    </row>
    <row r="44" spans="1:8" x14ac:dyDescent="0.25">
      <c r="A44">
        <v>200000023</v>
      </c>
      <c r="B44" t="s">
        <v>1168</v>
      </c>
      <c r="C44" s="2">
        <v>45278</v>
      </c>
      <c r="D44" t="s">
        <v>1247</v>
      </c>
      <c r="E44">
        <v>10.79</v>
      </c>
      <c r="F44">
        <v>250</v>
      </c>
      <c r="G44">
        <v>429</v>
      </c>
      <c r="H44">
        <v>1.17</v>
      </c>
    </row>
    <row r="45" spans="1:8" x14ac:dyDescent="0.25">
      <c r="A45">
        <v>200002130</v>
      </c>
      <c r="B45" t="s">
        <v>71</v>
      </c>
      <c r="C45" s="2">
        <v>44658</v>
      </c>
      <c r="D45" t="s">
        <v>1302</v>
      </c>
      <c r="E45">
        <v>155</v>
      </c>
      <c r="F45">
        <v>3</v>
      </c>
      <c r="G45">
        <v>7</v>
      </c>
      <c r="H45">
        <v>0.01</v>
      </c>
    </row>
    <row r="46" spans="1:8" x14ac:dyDescent="0.25">
      <c r="A46">
        <v>200000030</v>
      </c>
      <c r="B46" t="s">
        <v>1171</v>
      </c>
      <c r="C46" s="2">
        <v>45280</v>
      </c>
      <c r="D46" t="s">
        <v>1196</v>
      </c>
      <c r="E46">
        <v>4.0999999999999996</v>
      </c>
      <c r="F46">
        <v>109</v>
      </c>
      <c r="G46">
        <v>128</v>
      </c>
      <c r="H46">
        <v>0.35</v>
      </c>
    </row>
    <row r="47" spans="1:8" x14ac:dyDescent="0.25">
      <c r="A47">
        <v>200000032</v>
      </c>
      <c r="B47" t="s">
        <v>1173</v>
      </c>
      <c r="C47" s="2">
        <v>45280</v>
      </c>
      <c r="D47" t="s">
        <v>1196</v>
      </c>
      <c r="E47">
        <v>4.0999999999999996</v>
      </c>
      <c r="F47">
        <v>15</v>
      </c>
      <c r="G47">
        <v>16</v>
      </c>
      <c r="H47">
        <v>0.04</v>
      </c>
    </row>
    <row r="48" spans="1:8" x14ac:dyDescent="0.25">
      <c r="A48">
        <v>200000034</v>
      </c>
      <c r="B48" t="s">
        <v>78</v>
      </c>
      <c r="C48" s="2">
        <v>44890</v>
      </c>
      <c r="D48" t="s">
        <v>1229</v>
      </c>
      <c r="E48">
        <v>15.52</v>
      </c>
      <c r="F48">
        <v>5</v>
      </c>
      <c r="G48">
        <v>24</v>
      </c>
      <c r="H48">
        <v>0.06</v>
      </c>
    </row>
    <row r="49" spans="1:8" x14ac:dyDescent="0.25">
      <c r="A49">
        <v>200002653</v>
      </c>
      <c r="B49" t="s">
        <v>1468</v>
      </c>
      <c r="C49" s="2">
        <v>44838</v>
      </c>
      <c r="D49" t="s">
        <v>1163</v>
      </c>
      <c r="E49">
        <v>5.48</v>
      </c>
      <c r="F49">
        <v>85</v>
      </c>
      <c r="G49">
        <v>14</v>
      </c>
      <c r="H49">
        <v>0.03</v>
      </c>
    </row>
    <row r="50" spans="1:8" x14ac:dyDescent="0.25">
      <c r="A50">
        <v>200001513</v>
      </c>
      <c r="B50" t="s">
        <v>1469</v>
      </c>
      <c r="C50" s="2">
        <v>41347</v>
      </c>
      <c r="D50" t="s">
        <v>1163</v>
      </c>
      <c r="E50">
        <v>0.99</v>
      </c>
      <c r="F50">
        <v>1112</v>
      </c>
      <c r="G50">
        <v>10</v>
      </c>
      <c r="H50">
        <v>0.02</v>
      </c>
    </row>
    <row r="51" spans="1:8" x14ac:dyDescent="0.25">
      <c r="A51">
        <v>200003059</v>
      </c>
      <c r="B51" t="s">
        <v>1175</v>
      </c>
      <c r="C51" s="2">
        <v>42179</v>
      </c>
      <c r="D51" t="s">
        <v>1176</v>
      </c>
      <c r="E51">
        <v>0.05</v>
      </c>
      <c r="F51">
        <v>45331</v>
      </c>
      <c r="G51">
        <v>2000</v>
      </c>
      <c r="H51">
        <v>5.47</v>
      </c>
    </row>
    <row r="52" spans="1:8" x14ac:dyDescent="0.25">
      <c r="A52">
        <v>200000035</v>
      </c>
      <c r="B52" t="s">
        <v>1177</v>
      </c>
      <c r="C52" s="2">
        <v>45280</v>
      </c>
      <c r="D52" t="s">
        <v>1196</v>
      </c>
      <c r="E52">
        <v>4.0999999999999996</v>
      </c>
      <c r="F52">
        <v>16</v>
      </c>
      <c r="G52">
        <v>35</v>
      </c>
      <c r="H52">
        <v>0.09</v>
      </c>
    </row>
    <row r="53" spans="1:8" x14ac:dyDescent="0.25">
      <c r="A53">
        <v>200001842</v>
      </c>
      <c r="B53" t="s">
        <v>1470</v>
      </c>
      <c r="C53" s="2">
        <v>44727</v>
      </c>
      <c r="D53" t="s">
        <v>1247</v>
      </c>
      <c r="E53">
        <v>96.41</v>
      </c>
      <c r="F53">
        <v>23</v>
      </c>
      <c r="G53">
        <v>5</v>
      </c>
      <c r="H53">
        <v>0.01</v>
      </c>
    </row>
    <row r="54" spans="1:8" x14ac:dyDescent="0.25">
      <c r="A54">
        <v>200000036</v>
      </c>
      <c r="B54" t="s">
        <v>1471</v>
      </c>
      <c r="C54" s="2">
        <v>44032</v>
      </c>
      <c r="D54" t="s">
        <v>1472</v>
      </c>
      <c r="E54">
        <v>5.67</v>
      </c>
      <c r="F54">
        <v>157</v>
      </c>
      <c r="G54">
        <v>28</v>
      </c>
      <c r="H54">
        <v>7.0000000000000007E-2</v>
      </c>
    </row>
    <row r="55" spans="1:8" x14ac:dyDescent="0.25">
      <c r="A55">
        <v>200000037</v>
      </c>
      <c r="B55" t="s">
        <v>1178</v>
      </c>
      <c r="C55" s="2">
        <v>45280</v>
      </c>
      <c r="D55" t="s">
        <v>1196</v>
      </c>
      <c r="E55">
        <v>0.3</v>
      </c>
      <c r="F55">
        <v>230</v>
      </c>
      <c r="G55">
        <v>423</v>
      </c>
      <c r="H55">
        <v>1.1499999999999999</v>
      </c>
    </row>
    <row r="56" spans="1:8" x14ac:dyDescent="0.25">
      <c r="A56">
        <v>200005757</v>
      </c>
      <c r="B56" t="s">
        <v>80</v>
      </c>
      <c r="C56" s="2">
        <v>44858</v>
      </c>
      <c r="D56" t="s">
        <v>1167</v>
      </c>
      <c r="E56">
        <v>199.25</v>
      </c>
      <c r="F56">
        <v>4</v>
      </c>
      <c r="G56">
        <v>5</v>
      </c>
      <c r="H56">
        <v>0.01</v>
      </c>
    </row>
    <row r="57" spans="1:8" x14ac:dyDescent="0.25">
      <c r="A57">
        <v>200003957</v>
      </c>
      <c r="B57" t="s">
        <v>84</v>
      </c>
      <c r="C57" s="2">
        <v>45119</v>
      </c>
      <c r="D57" t="s">
        <v>1457</v>
      </c>
      <c r="E57">
        <v>24.21</v>
      </c>
      <c r="F57">
        <v>7</v>
      </c>
      <c r="G57">
        <v>55</v>
      </c>
      <c r="H57">
        <v>0.15</v>
      </c>
    </row>
    <row r="58" spans="1:8" x14ac:dyDescent="0.25">
      <c r="A58">
        <v>200003095</v>
      </c>
      <c r="B58" t="s">
        <v>85</v>
      </c>
      <c r="C58" s="2">
        <v>44936</v>
      </c>
      <c r="D58" t="s">
        <v>1473</v>
      </c>
      <c r="E58">
        <v>2.12</v>
      </c>
      <c r="F58">
        <v>0</v>
      </c>
      <c r="G58">
        <v>40</v>
      </c>
      <c r="H58">
        <v>0.1</v>
      </c>
    </row>
    <row r="59" spans="1:8" x14ac:dyDescent="0.25">
      <c r="A59">
        <v>200004015</v>
      </c>
      <c r="B59" t="s">
        <v>1474</v>
      </c>
      <c r="C59" s="2">
        <v>44936</v>
      </c>
      <c r="D59" t="s">
        <v>1473</v>
      </c>
      <c r="E59">
        <v>173.75</v>
      </c>
      <c r="F59">
        <v>0</v>
      </c>
      <c r="G59">
        <v>4</v>
      </c>
      <c r="H59">
        <v>0.01</v>
      </c>
    </row>
    <row r="60" spans="1:8" x14ac:dyDescent="0.25">
      <c r="A60">
        <v>200002642</v>
      </c>
      <c r="B60" t="s">
        <v>1475</v>
      </c>
      <c r="C60" s="2">
        <v>41621</v>
      </c>
      <c r="D60" t="s">
        <v>1356</v>
      </c>
      <c r="E60">
        <v>19.97</v>
      </c>
      <c r="F60">
        <v>29</v>
      </c>
      <c r="G60">
        <v>1</v>
      </c>
      <c r="H60">
        <v>0</v>
      </c>
    </row>
    <row r="61" spans="1:8" x14ac:dyDescent="0.25">
      <c r="A61">
        <v>200002207</v>
      </c>
      <c r="B61" t="s">
        <v>1476</v>
      </c>
      <c r="C61" s="2">
        <v>41487</v>
      </c>
      <c r="D61" t="s">
        <v>1356</v>
      </c>
      <c r="E61">
        <v>17.829999999999998</v>
      </c>
      <c r="F61">
        <v>14</v>
      </c>
      <c r="G61">
        <v>4</v>
      </c>
      <c r="H61">
        <v>0.01</v>
      </c>
    </row>
    <row r="62" spans="1:8" x14ac:dyDescent="0.25">
      <c r="A62">
        <v>200006319</v>
      </c>
      <c r="B62" t="s">
        <v>95</v>
      </c>
      <c r="C62" s="2">
        <v>45083</v>
      </c>
      <c r="D62" t="s">
        <v>1477</v>
      </c>
      <c r="E62">
        <v>194.6</v>
      </c>
      <c r="F62">
        <v>0</v>
      </c>
      <c r="G62">
        <v>10</v>
      </c>
      <c r="H62">
        <v>0.02</v>
      </c>
    </row>
    <row r="63" spans="1:8" x14ac:dyDescent="0.25">
      <c r="A63">
        <v>200002933</v>
      </c>
      <c r="B63" t="s">
        <v>97</v>
      </c>
      <c r="C63" s="2">
        <v>45139</v>
      </c>
      <c r="D63" t="s">
        <v>1457</v>
      </c>
      <c r="E63">
        <v>20.72</v>
      </c>
      <c r="F63">
        <v>0</v>
      </c>
      <c r="G63">
        <v>26</v>
      </c>
      <c r="H63">
        <v>7.0000000000000007E-2</v>
      </c>
    </row>
    <row r="64" spans="1:8" x14ac:dyDescent="0.25">
      <c r="A64">
        <v>200002709</v>
      </c>
      <c r="B64" t="s">
        <v>98</v>
      </c>
      <c r="C64" s="2">
        <v>44991</v>
      </c>
      <c r="D64" t="s">
        <v>1478</v>
      </c>
      <c r="E64">
        <v>14.22</v>
      </c>
      <c r="F64">
        <v>115</v>
      </c>
      <c r="G64">
        <v>257</v>
      </c>
      <c r="H64">
        <v>0.7</v>
      </c>
    </row>
    <row r="65" spans="1:8" x14ac:dyDescent="0.25">
      <c r="A65">
        <v>200004336</v>
      </c>
      <c r="B65" t="s">
        <v>1179</v>
      </c>
      <c r="C65" s="2">
        <v>45273</v>
      </c>
      <c r="D65" t="s">
        <v>1180</v>
      </c>
      <c r="E65">
        <v>0.55000000000000004</v>
      </c>
      <c r="F65">
        <v>642</v>
      </c>
      <c r="G65">
        <v>1232</v>
      </c>
      <c r="H65">
        <v>3.37</v>
      </c>
    </row>
    <row r="66" spans="1:8" x14ac:dyDescent="0.25">
      <c r="A66">
        <v>200005490</v>
      </c>
      <c r="B66" t="s">
        <v>1479</v>
      </c>
      <c r="C66" s="2">
        <v>44693</v>
      </c>
      <c r="D66" t="s">
        <v>1396</v>
      </c>
      <c r="E66">
        <v>0.16</v>
      </c>
      <c r="F66">
        <v>0</v>
      </c>
      <c r="G66">
        <v>50</v>
      </c>
      <c r="H66">
        <v>0.13</v>
      </c>
    </row>
    <row r="67" spans="1:8" x14ac:dyDescent="0.25">
      <c r="A67">
        <v>200004301</v>
      </c>
      <c r="B67" t="s">
        <v>1480</v>
      </c>
      <c r="C67" s="2">
        <v>43521</v>
      </c>
      <c r="D67" t="s">
        <v>1481</v>
      </c>
      <c r="E67">
        <v>1.5</v>
      </c>
      <c r="F67">
        <v>0</v>
      </c>
      <c r="G67">
        <v>85</v>
      </c>
      <c r="H67">
        <v>0.23</v>
      </c>
    </row>
    <row r="68" spans="1:8" x14ac:dyDescent="0.25">
      <c r="A68">
        <v>200001918</v>
      </c>
      <c r="B68" t="s">
        <v>101</v>
      </c>
      <c r="C68" s="2">
        <v>45205</v>
      </c>
      <c r="D68" t="s">
        <v>1229</v>
      </c>
      <c r="E68">
        <v>94.46</v>
      </c>
      <c r="F68">
        <v>64</v>
      </c>
      <c r="G68">
        <v>259</v>
      </c>
      <c r="H68">
        <v>0.7</v>
      </c>
    </row>
    <row r="69" spans="1:8" x14ac:dyDescent="0.25">
      <c r="A69">
        <v>200002643</v>
      </c>
      <c r="B69" t="s">
        <v>104</v>
      </c>
      <c r="C69" s="2">
        <v>44638</v>
      </c>
      <c r="D69" t="s">
        <v>1163</v>
      </c>
      <c r="E69">
        <v>144.33000000000001</v>
      </c>
      <c r="F69">
        <v>36</v>
      </c>
      <c r="G69">
        <v>83</v>
      </c>
      <c r="H69">
        <v>0.22</v>
      </c>
    </row>
    <row r="70" spans="1:8" x14ac:dyDescent="0.25">
      <c r="A70">
        <v>200000017</v>
      </c>
      <c r="B70" t="s">
        <v>1181</v>
      </c>
      <c r="C70" s="2">
        <v>45253</v>
      </c>
      <c r="D70" t="s">
        <v>1247</v>
      </c>
      <c r="E70">
        <v>6.36</v>
      </c>
      <c r="F70">
        <v>650</v>
      </c>
      <c r="G70">
        <v>1583</v>
      </c>
      <c r="H70">
        <v>4.33</v>
      </c>
    </row>
    <row r="71" spans="1:8" x14ac:dyDescent="0.25">
      <c r="A71">
        <v>200002055</v>
      </c>
      <c r="B71" t="s">
        <v>114</v>
      </c>
      <c r="C71" s="2">
        <v>45114</v>
      </c>
      <c r="D71" t="s">
        <v>1482</v>
      </c>
      <c r="E71">
        <v>923.48</v>
      </c>
      <c r="F71">
        <v>14</v>
      </c>
      <c r="G71">
        <v>5</v>
      </c>
      <c r="H71">
        <v>0.01</v>
      </c>
    </row>
    <row r="72" spans="1:8" x14ac:dyDescent="0.25">
      <c r="A72">
        <v>200003618</v>
      </c>
      <c r="B72" t="s">
        <v>115</v>
      </c>
      <c r="C72" s="2">
        <v>42870</v>
      </c>
      <c r="D72" t="s">
        <v>1400</v>
      </c>
      <c r="E72">
        <v>493.85</v>
      </c>
      <c r="F72">
        <v>6</v>
      </c>
      <c r="G72">
        <v>4</v>
      </c>
      <c r="H72">
        <v>0.01</v>
      </c>
    </row>
    <row r="73" spans="1:8" x14ac:dyDescent="0.25">
      <c r="A73">
        <v>200000053</v>
      </c>
      <c r="B73" t="s">
        <v>1183</v>
      </c>
      <c r="C73" s="2">
        <v>45111</v>
      </c>
      <c r="D73" t="s">
        <v>1184</v>
      </c>
      <c r="E73">
        <v>92</v>
      </c>
      <c r="F73">
        <v>7</v>
      </c>
      <c r="G73">
        <v>15</v>
      </c>
      <c r="H73">
        <v>0.04</v>
      </c>
    </row>
    <row r="74" spans="1:8" x14ac:dyDescent="0.25">
      <c r="A74">
        <v>200000058</v>
      </c>
      <c r="B74" t="s">
        <v>1185</v>
      </c>
      <c r="C74" s="2">
        <v>45111</v>
      </c>
      <c r="D74" t="s">
        <v>1184</v>
      </c>
      <c r="E74">
        <v>92</v>
      </c>
      <c r="F74">
        <v>7</v>
      </c>
      <c r="G74">
        <v>17</v>
      </c>
      <c r="H74">
        <v>0.04</v>
      </c>
    </row>
    <row r="75" spans="1:8" x14ac:dyDescent="0.25">
      <c r="A75">
        <v>200000063</v>
      </c>
      <c r="B75" t="s">
        <v>1186</v>
      </c>
      <c r="C75" s="2">
        <v>45111</v>
      </c>
      <c r="D75" t="s">
        <v>1184</v>
      </c>
      <c r="E75">
        <v>92</v>
      </c>
      <c r="F75">
        <v>8</v>
      </c>
      <c r="G75">
        <v>16</v>
      </c>
      <c r="H75">
        <v>0.04</v>
      </c>
    </row>
    <row r="76" spans="1:8" x14ac:dyDescent="0.25">
      <c r="A76">
        <v>200000055</v>
      </c>
      <c r="B76" t="s">
        <v>1483</v>
      </c>
      <c r="C76" s="2">
        <v>45204</v>
      </c>
      <c r="D76" t="s">
        <v>1184</v>
      </c>
      <c r="E76">
        <v>160</v>
      </c>
      <c r="F76">
        <v>3</v>
      </c>
      <c r="G76">
        <v>5</v>
      </c>
      <c r="H76">
        <v>0.01</v>
      </c>
    </row>
    <row r="77" spans="1:8" x14ac:dyDescent="0.25">
      <c r="A77">
        <v>200000060</v>
      </c>
      <c r="B77" t="s">
        <v>1484</v>
      </c>
      <c r="C77" s="2">
        <v>45204</v>
      </c>
      <c r="D77" t="s">
        <v>1184</v>
      </c>
      <c r="E77">
        <v>200</v>
      </c>
      <c r="F77">
        <v>3</v>
      </c>
      <c r="G77">
        <v>4</v>
      </c>
      <c r="H77">
        <v>0.01</v>
      </c>
    </row>
    <row r="78" spans="1:8" x14ac:dyDescent="0.25">
      <c r="A78">
        <v>200000065</v>
      </c>
      <c r="B78" t="s">
        <v>1485</v>
      </c>
      <c r="C78" s="2">
        <v>45204</v>
      </c>
      <c r="D78" t="s">
        <v>1184</v>
      </c>
      <c r="E78">
        <v>230</v>
      </c>
      <c r="F78">
        <v>3</v>
      </c>
      <c r="G78">
        <v>5</v>
      </c>
      <c r="H78">
        <v>0.01</v>
      </c>
    </row>
    <row r="79" spans="1:8" x14ac:dyDescent="0.25">
      <c r="A79">
        <v>200000056</v>
      </c>
      <c r="B79" t="s">
        <v>1486</v>
      </c>
      <c r="C79" s="2">
        <v>44516</v>
      </c>
      <c r="D79" t="s">
        <v>1184</v>
      </c>
      <c r="E79">
        <v>250</v>
      </c>
      <c r="F79">
        <v>2</v>
      </c>
      <c r="G79">
        <v>2</v>
      </c>
      <c r="H79">
        <v>0</v>
      </c>
    </row>
    <row r="80" spans="1:8" x14ac:dyDescent="0.25">
      <c r="A80">
        <v>200000061</v>
      </c>
      <c r="B80" t="s">
        <v>1487</v>
      </c>
      <c r="C80" s="2">
        <v>44516</v>
      </c>
      <c r="D80" t="s">
        <v>1184</v>
      </c>
      <c r="E80">
        <v>250</v>
      </c>
      <c r="F80">
        <v>2</v>
      </c>
      <c r="G80">
        <v>2</v>
      </c>
      <c r="H80">
        <v>0</v>
      </c>
    </row>
    <row r="81" spans="1:8" x14ac:dyDescent="0.25">
      <c r="A81">
        <v>200000066</v>
      </c>
      <c r="B81" t="s">
        <v>1488</v>
      </c>
      <c r="C81" s="2">
        <v>44516</v>
      </c>
      <c r="D81" t="s">
        <v>1184</v>
      </c>
      <c r="E81">
        <v>250</v>
      </c>
      <c r="F81">
        <v>2</v>
      </c>
      <c r="G81">
        <v>2</v>
      </c>
      <c r="H81">
        <v>0</v>
      </c>
    </row>
    <row r="82" spans="1:8" x14ac:dyDescent="0.25">
      <c r="A82">
        <v>200000068</v>
      </c>
      <c r="B82" t="s">
        <v>1187</v>
      </c>
      <c r="C82" s="2">
        <v>45183</v>
      </c>
      <c r="D82" t="s">
        <v>1489</v>
      </c>
      <c r="E82">
        <v>116.99</v>
      </c>
      <c r="F82">
        <v>156</v>
      </c>
      <c r="G82">
        <v>179</v>
      </c>
      <c r="H82">
        <v>0.49</v>
      </c>
    </row>
    <row r="83" spans="1:8" x14ac:dyDescent="0.25">
      <c r="A83">
        <v>200001389</v>
      </c>
      <c r="B83" t="s">
        <v>1490</v>
      </c>
      <c r="C83" s="2">
        <v>40645</v>
      </c>
      <c r="D83" t="s">
        <v>1491</v>
      </c>
      <c r="E83">
        <v>37.450000000000003</v>
      </c>
      <c r="F83">
        <v>0</v>
      </c>
      <c r="G83">
        <v>6</v>
      </c>
      <c r="H83">
        <v>0.01</v>
      </c>
    </row>
    <row r="84" spans="1:8" x14ac:dyDescent="0.25">
      <c r="A84">
        <v>200000070</v>
      </c>
      <c r="B84" t="s">
        <v>1492</v>
      </c>
      <c r="C84" s="2">
        <v>42430</v>
      </c>
      <c r="D84" t="s">
        <v>1493</v>
      </c>
      <c r="E84">
        <v>44.47</v>
      </c>
      <c r="F84">
        <v>8</v>
      </c>
      <c r="G84">
        <v>6</v>
      </c>
      <c r="H84">
        <v>0.01</v>
      </c>
    </row>
    <row r="85" spans="1:8" x14ac:dyDescent="0.25">
      <c r="A85">
        <v>200004702</v>
      </c>
      <c r="B85" t="s">
        <v>1494</v>
      </c>
      <c r="C85" s="2">
        <v>45219</v>
      </c>
      <c r="D85" t="s">
        <v>1456</v>
      </c>
      <c r="E85">
        <v>141</v>
      </c>
      <c r="F85">
        <v>0</v>
      </c>
      <c r="G85">
        <v>5</v>
      </c>
      <c r="H85">
        <v>0.01</v>
      </c>
    </row>
    <row r="86" spans="1:8" x14ac:dyDescent="0.25">
      <c r="A86">
        <v>200002458</v>
      </c>
      <c r="B86" t="s">
        <v>1495</v>
      </c>
      <c r="C86" s="2">
        <v>45239</v>
      </c>
      <c r="D86" t="s">
        <v>1456</v>
      </c>
      <c r="E86">
        <v>240</v>
      </c>
      <c r="F86">
        <v>0</v>
      </c>
      <c r="G86">
        <v>4</v>
      </c>
      <c r="H86">
        <v>0.01</v>
      </c>
    </row>
    <row r="87" spans="1:8" x14ac:dyDescent="0.25">
      <c r="A87">
        <v>200001887</v>
      </c>
      <c r="B87" t="s">
        <v>1496</v>
      </c>
      <c r="C87" s="2">
        <v>45261</v>
      </c>
      <c r="D87" t="s">
        <v>1456</v>
      </c>
      <c r="E87">
        <v>90</v>
      </c>
      <c r="F87">
        <v>0</v>
      </c>
      <c r="G87">
        <v>33</v>
      </c>
      <c r="H87">
        <v>0.09</v>
      </c>
    </row>
    <row r="88" spans="1:8" x14ac:dyDescent="0.25">
      <c r="A88">
        <v>200004337</v>
      </c>
      <c r="B88" t="s">
        <v>1497</v>
      </c>
      <c r="C88" s="2">
        <v>44379</v>
      </c>
      <c r="D88" t="s">
        <v>1180</v>
      </c>
      <c r="E88">
        <v>18.77</v>
      </c>
      <c r="F88">
        <v>11</v>
      </c>
      <c r="G88">
        <v>46</v>
      </c>
      <c r="H88">
        <v>0.12</v>
      </c>
    </row>
    <row r="89" spans="1:8" x14ac:dyDescent="0.25">
      <c r="A89">
        <v>200005679</v>
      </c>
      <c r="B89" t="s">
        <v>1498</v>
      </c>
      <c r="C89" s="2">
        <v>44571</v>
      </c>
      <c r="D89" t="s">
        <v>1207</v>
      </c>
      <c r="E89">
        <v>44.9</v>
      </c>
      <c r="F89">
        <v>12</v>
      </c>
      <c r="G89">
        <v>14</v>
      </c>
      <c r="H89">
        <v>0.03</v>
      </c>
    </row>
    <row r="90" spans="1:8" x14ac:dyDescent="0.25">
      <c r="A90">
        <v>200004853</v>
      </c>
      <c r="B90" t="s">
        <v>1499</v>
      </c>
      <c r="C90" s="2">
        <v>44571</v>
      </c>
      <c r="D90" t="s">
        <v>1207</v>
      </c>
      <c r="E90">
        <v>43</v>
      </c>
      <c r="F90">
        <v>0</v>
      </c>
      <c r="G90">
        <v>5</v>
      </c>
      <c r="H90">
        <v>0.01</v>
      </c>
    </row>
    <row r="91" spans="1:8" x14ac:dyDescent="0.25">
      <c r="A91">
        <v>200005467</v>
      </c>
      <c r="B91" t="s">
        <v>1500</v>
      </c>
      <c r="C91" s="2">
        <v>44448</v>
      </c>
      <c r="D91" t="s">
        <v>1501</v>
      </c>
      <c r="E91">
        <v>100</v>
      </c>
      <c r="F91">
        <v>95</v>
      </c>
      <c r="G91">
        <v>290</v>
      </c>
      <c r="H91">
        <v>0.79</v>
      </c>
    </row>
    <row r="92" spans="1:8" x14ac:dyDescent="0.25">
      <c r="A92">
        <v>200006312</v>
      </c>
      <c r="B92" t="s">
        <v>1502</v>
      </c>
      <c r="C92" s="2">
        <v>45014</v>
      </c>
      <c r="D92" t="s">
        <v>1503</v>
      </c>
      <c r="E92">
        <v>1557.6</v>
      </c>
      <c r="F92">
        <v>0</v>
      </c>
      <c r="G92">
        <v>3</v>
      </c>
      <c r="H92">
        <v>0</v>
      </c>
    </row>
    <row r="93" spans="1:8" x14ac:dyDescent="0.25">
      <c r="A93">
        <v>200003823</v>
      </c>
      <c r="B93" t="s">
        <v>1504</v>
      </c>
      <c r="C93" s="2">
        <v>42558</v>
      </c>
      <c r="D93" t="s">
        <v>1505</v>
      </c>
      <c r="E93">
        <v>45.5</v>
      </c>
      <c r="F93">
        <v>0</v>
      </c>
      <c r="G93">
        <v>6</v>
      </c>
      <c r="H93">
        <v>0.01</v>
      </c>
    </row>
    <row r="94" spans="1:8" x14ac:dyDescent="0.25">
      <c r="A94">
        <v>200001346</v>
      </c>
      <c r="B94" t="s">
        <v>1506</v>
      </c>
      <c r="C94" s="2">
        <v>44890</v>
      </c>
      <c r="D94" t="s">
        <v>1229</v>
      </c>
      <c r="E94">
        <v>132.55000000000001</v>
      </c>
      <c r="F94">
        <v>38</v>
      </c>
      <c r="G94">
        <v>1</v>
      </c>
      <c r="H94">
        <v>0</v>
      </c>
    </row>
    <row r="95" spans="1:8" x14ac:dyDescent="0.25">
      <c r="A95">
        <v>200001010</v>
      </c>
      <c r="B95" t="s">
        <v>137</v>
      </c>
      <c r="C95" s="2">
        <v>41306</v>
      </c>
      <c r="D95" t="s">
        <v>1356</v>
      </c>
      <c r="E95">
        <v>76.53</v>
      </c>
      <c r="F95">
        <v>62</v>
      </c>
      <c r="G95">
        <v>3</v>
      </c>
      <c r="H95">
        <v>0</v>
      </c>
    </row>
    <row r="96" spans="1:8" x14ac:dyDescent="0.25">
      <c r="A96">
        <v>200002659</v>
      </c>
      <c r="B96" t="s">
        <v>1507</v>
      </c>
      <c r="C96" s="2">
        <v>44355</v>
      </c>
      <c r="D96" t="s">
        <v>1221</v>
      </c>
      <c r="E96">
        <v>15.63</v>
      </c>
      <c r="F96">
        <v>19</v>
      </c>
      <c r="G96">
        <v>1</v>
      </c>
      <c r="H96">
        <v>0</v>
      </c>
    </row>
    <row r="97" spans="1:8" x14ac:dyDescent="0.25">
      <c r="A97">
        <v>200002660</v>
      </c>
      <c r="B97" t="s">
        <v>1508</v>
      </c>
      <c r="C97" s="2">
        <v>44743</v>
      </c>
      <c r="D97" t="s">
        <v>1221</v>
      </c>
      <c r="E97">
        <v>26.35</v>
      </c>
      <c r="F97">
        <v>56</v>
      </c>
      <c r="G97">
        <v>2</v>
      </c>
      <c r="H97">
        <v>0</v>
      </c>
    </row>
    <row r="98" spans="1:8" x14ac:dyDescent="0.25">
      <c r="A98">
        <v>200005321</v>
      </c>
      <c r="B98" t="s">
        <v>138</v>
      </c>
      <c r="C98" s="2">
        <v>44896</v>
      </c>
      <c r="D98" t="s">
        <v>1509</v>
      </c>
      <c r="E98">
        <v>22.93</v>
      </c>
      <c r="F98">
        <v>18</v>
      </c>
      <c r="G98">
        <v>45</v>
      </c>
      <c r="H98">
        <v>0.12</v>
      </c>
    </row>
    <row r="99" spans="1:8" x14ac:dyDescent="0.25">
      <c r="A99">
        <v>200004657</v>
      </c>
      <c r="B99" t="s">
        <v>1510</v>
      </c>
      <c r="C99" s="2">
        <v>45042</v>
      </c>
      <c r="D99" t="s">
        <v>1511</v>
      </c>
      <c r="E99">
        <v>66.959999999999994</v>
      </c>
      <c r="F99">
        <v>244</v>
      </c>
      <c r="G99">
        <v>379</v>
      </c>
      <c r="H99">
        <v>1.03</v>
      </c>
    </row>
    <row r="100" spans="1:8" x14ac:dyDescent="0.25">
      <c r="A100">
        <v>200006347</v>
      </c>
      <c r="B100" t="s">
        <v>1512</v>
      </c>
      <c r="C100" s="2">
        <v>45121</v>
      </c>
      <c r="D100" t="s">
        <v>1513</v>
      </c>
      <c r="E100">
        <v>79</v>
      </c>
      <c r="F100">
        <v>0</v>
      </c>
      <c r="G100">
        <v>4</v>
      </c>
      <c r="H100">
        <v>0.01</v>
      </c>
    </row>
    <row r="101" spans="1:8" x14ac:dyDescent="0.25">
      <c r="A101">
        <v>200006348</v>
      </c>
      <c r="B101" t="s">
        <v>1514</v>
      </c>
      <c r="C101" s="2">
        <v>45121</v>
      </c>
      <c r="D101" t="s">
        <v>1513</v>
      </c>
      <c r="E101">
        <v>79</v>
      </c>
      <c r="F101">
        <v>0</v>
      </c>
      <c r="G101">
        <v>4</v>
      </c>
      <c r="H101">
        <v>0.01</v>
      </c>
    </row>
    <row r="102" spans="1:8" x14ac:dyDescent="0.25">
      <c r="A102">
        <v>200000918</v>
      </c>
      <c r="B102" t="s">
        <v>1515</v>
      </c>
      <c r="C102" s="2">
        <v>45278</v>
      </c>
      <c r="D102" t="s">
        <v>1516</v>
      </c>
      <c r="E102">
        <v>9.81</v>
      </c>
      <c r="F102">
        <v>15</v>
      </c>
      <c r="G102">
        <v>9</v>
      </c>
      <c r="H102">
        <v>0.02</v>
      </c>
    </row>
    <row r="103" spans="1:8" x14ac:dyDescent="0.25">
      <c r="A103">
        <v>200003879</v>
      </c>
      <c r="B103" t="s">
        <v>1517</v>
      </c>
      <c r="C103" s="2">
        <v>44701</v>
      </c>
      <c r="D103" t="s">
        <v>1518</v>
      </c>
      <c r="E103">
        <v>5.25</v>
      </c>
      <c r="F103">
        <v>6</v>
      </c>
      <c r="G103">
        <v>11</v>
      </c>
      <c r="H103">
        <v>0.03</v>
      </c>
    </row>
    <row r="104" spans="1:8" x14ac:dyDescent="0.25">
      <c r="A104">
        <v>200003791</v>
      </c>
      <c r="B104" t="s">
        <v>1519</v>
      </c>
      <c r="C104" s="2">
        <v>43710</v>
      </c>
      <c r="D104" t="s">
        <v>1340</v>
      </c>
      <c r="E104">
        <v>2.86</v>
      </c>
      <c r="F104">
        <v>9</v>
      </c>
      <c r="G104">
        <v>7</v>
      </c>
      <c r="H104">
        <v>0.01</v>
      </c>
    </row>
    <row r="105" spans="1:8" x14ac:dyDescent="0.25">
      <c r="A105">
        <v>200003792</v>
      </c>
      <c r="B105" t="s">
        <v>1520</v>
      </c>
      <c r="C105" s="2">
        <v>45152</v>
      </c>
      <c r="D105" t="s">
        <v>1521</v>
      </c>
      <c r="E105">
        <v>5.6</v>
      </c>
      <c r="F105">
        <v>10</v>
      </c>
      <c r="G105">
        <v>16</v>
      </c>
      <c r="H105">
        <v>0.04</v>
      </c>
    </row>
    <row r="106" spans="1:8" x14ac:dyDescent="0.25">
      <c r="A106">
        <v>200004904</v>
      </c>
      <c r="B106" t="s">
        <v>1522</v>
      </c>
      <c r="C106" s="2">
        <v>43801</v>
      </c>
      <c r="D106" t="s">
        <v>1523</v>
      </c>
      <c r="E106">
        <v>3.41</v>
      </c>
      <c r="F106">
        <v>15</v>
      </c>
      <c r="G106">
        <v>2</v>
      </c>
      <c r="H106">
        <v>0</v>
      </c>
    </row>
    <row r="107" spans="1:8" x14ac:dyDescent="0.25">
      <c r="A107">
        <v>200005392</v>
      </c>
      <c r="B107" t="s">
        <v>1524</v>
      </c>
      <c r="C107" s="2">
        <v>44746</v>
      </c>
      <c r="D107" t="s">
        <v>1434</v>
      </c>
      <c r="E107">
        <v>55.41</v>
      </c>
      <c r="F107">
        <v>0</v>
      </c>
      <c r="G107">
        <v>5</v>
      </c>
      <c r="H107">
        <v>0.01</v>
      </c>
    </row>
    <row r="108" spans="1:8" x14ac:dyDescent="0.25">
      <c r="A108">
        <v>200002661</v>
      </c>
      <c r="B108" t="s">
        <v>1525</v>
      </c>
      <c r="C108" s="2">
        <v>44355</v>
      </c>
      <c r="D108" t="s">
        <v>1221</v>
      </c>
      <c r="E108">
        <v>16.010000000000002</v>
      </c>
      <c r="F108">
        <v>423</v>
      </c>
      <c r="G108">
        <v>10</v>
      </c>
      <c r="H108">
        <v>0.02</v>
      </c>
    </row>
    <row r="109" spans="1:8" x14ac:dyDescent="0.25">
      <c r="A109">
        <v>200000082</v>
      </c>
      <c r="B109" t="s">
        <v>1526</v>
      </c>
      <c r="C109" s="2">
        <v>42430</v>
      </c>
      <c r="D109" t="s">
        <v>1527</v>
      </c>
      <c r="E109">
        <v>0.8</v>
      </c>
      <c r="F109">
        <v>0</v>
      </c>
      <c r="G109">
        <v>2</v>
      </c>
      <c r="H109">
        <v>0</v>
      </c>
    </row>
    <row r="110" spans="1:8" x14ac:dyDescent="0.25">
      <c r="A110">
        <v>200000516</v>
      </c>
      <c r="B110" t="s">
        <v>1528</v>
      </c>
      <c r="C110" s="2">
        <v>42293</v>
      </c>
      <c r="D110" t="s">
        <v>1172</v>
      </c>
      <c r="E110">
        <v>1.37</v>
      </c>
      <c r="F110">
        <v>162</v>
      </c>
      <c r="G110">
        <v>159</v>
      </c>
      <c r="H110">
        <v>0.43</v>
      </c>
    </row>
    <row r="111" spans="1:8" x14ac:dyDescent="0.25">
      <c r="A111">
        <v>200000085</v>
      </c>
      <c r="B111" t="s">
        <v>1189</v>
      </c>
      <c r="C111" s="2">
        <v>40686</v>
      </c>
      <c r="D111" t="s">
        <v>1190</v>
      </c>
      <c r="E111">
        <v>2.6</v>
      </c>
      <c r="F111">
        <v>2330</v>
      </c>
      <c r="G111">
        <v>6</v>
      </c>
      <c r="H111">
        <v>0.01</v>
      </c>
    </row>
    <row r="112" spans="1:8" x14ac:dyDescent="0.25">
      <c r="A112">
        <v>200006428</v>
      </c>
      <c r="B112" t="s">
        <v>1529</v>
      </c>
      <c r="C112" s="2">
        <v>45247</v>
      </c>
      <c r="D112" t="s">
        <v>1530</v>
      </c>
      <c r="E112">
        <v>62.8</v>
      </c>
      <c r="F112">
        <v>0</v>
      </c>
      <c r="G112">
        <v>20</v>
      </c>
      <c r="H112">
        <v>0.05</v>
      </c>
    </row>
    <row r="113" spans="1:8" x14ac:dyDescent="0.25">
      <c r="A113">
        <v>200006215</v>
      </c>
      <c r="B113" t="s">
        <v>1531</v>
      </c>
      <c r="C113" s="2">
        <v>45264</v>
      </c>
      <c r="D113" t="s">
        <v>1532</v>
      </c>
      <c r="E113">
        <v>7.71</v>
      </c>
      <c r="F113">
        <v>19</v>
      </c>
      <c r="G113">
        <v>4</v>
      </c>
      <c r="H113">
        <v>0.01</v>
      </c>
    </row>
    <row r="114" spans="1:8" x14ac:dyDescent="0.25">
      <c r="A114">
        <v>200002997</v>
      </c>
      <c r="B114" t="s">
        <v>1533</v>
      </c>
      <c r="C114" s="2">
        <v>43563</v>
      </c>
      <c r="D114" t="s">
        <v>1534</v>
      </c>
      <c r="E114">
        <v>0.24</v>
      </c>
      <c r="F114">
        <v>200</v>
      </c>
      <c r="G114">
        <v>600</v>
      </c>
      <c r="H114">
        <v>1.64</v>
      </c>
    </row>
    <row r="115" spans="1:8" x14ac:dyDescent="0.25">
      <c r="A115">
        <v>200002301</v>
      </c>
      <c r="B115" t="s">
        <v>1535</v>
      </c>
      <c r="C115" s="2">
        <v>44441</v>
      </c>
      <c r="D115" t="s">
        <v>1196</v>
      </c>
      <c r="E115">
        <v>0.24</v>
      </c>
      <c r="F115">
        <v>2000</v>
      </c>
      <c r="G115">
        <v>1000</v>
      </c>
      <c r="H115">
        <v>2.73</v>
      </c>
    </row>
    <row r="116" spans="1:8" x14ac:dyDescent="0.25">
      <c r="A116">
        <v>200004447</v>
      </c>
      <c r="B116" t="s">
        <v>1536</v>
      </c>
      <c r="C116" s="2">
        <v>44830</v>
      </c>
      <c r="D116" t="s">
        <v>1180</v>
      </c>
      <c r="E116">
        <v>366.5</v>
      </c>
      <c r="F116">
        <v>24</v>
      </c>
      <c r="G116">
        <v>30</v>
      </c>
      <c r="H116">
        <v>0.08</v>
      </c>
    </row>
    <row r="117" spans="1:8" x14ac:dyDescent="0.25">
      <c r="A117">
        <v>200004449</v>
      </c>
      <c r="B117" t="s">
        <v>1537</v>
      </c>
      <c r="C117" s="2">
        <v>44830</v>
      </c>
      <c r="D117" t="s">
        <v>1180</v>
      </c>
      <c r="E117">
        <v>500</v>
      </c>
      <c r="F117">
        <v>2</v>
      </c>
      <c r="G117">
        <v>16</v>
      </c>
      <c r="H117">
        <v>0.04</v>
      </c>
    </row>
    <row r="118" spans="1:8" x14ac:dyDescent="0.25">
      <c r="A118">
        <v>200004857</v>
      </c>
      <c r="B118" t="s">
        <v>1191</v>
      </c>
      <c r="C118" s="2">
        <v>43592</v>
      </c>
      <c r="D118" t="s">
        <v>1192</v>
      </c>
      <c r="E118">
        <v>2044.67</v>
      </c>
      <c r="F118">
        <v>4</v>
      </c>
      <c r="G118">
        <v>2</v>
      </c>
      <c r="H118">
        <v>0</v>
      </c>
    </row>
    <row r="119" spans="1:8" x14ac:dyDescent="0.25">
      <c r="A119">
        <v>200006218</v>
      </c>
      <c r="B119" t="s">
        <v>1538</v>
      </c>
      <c r="C119" s="2">
        <v>44945</v>
      </c>
      <c r="D119" t="s">
        <v>1539</v>
      </c>
      <c r="E119">
        <v>3416</v>
      </c>
      <c r="F119">
        <v>1</v>
      </c>
      <c r="G119">
        <v>1</v>
      </c>
      <c r="H119">
        <v>0</v>
      </c>
    </row>
    <row r="120" spans="1:8" x14ac:dyDescent="0.25">
      <c r="A120">
        <v>200005675</v>
      </c>
      <c r="B120" t="s">
        <v>1540</v>
      </c>
      <c r="C120" s="2">
        <v>44839</v>
      </c>
      <c r="D120" t="s">
        <v>1541</v>
      </c>
      <c r="E120">
        <v>1641</v>
      </c>
      <c r="F120">
        <v>0</v>
      </c>
      <c r="G120">
        <v>1</v>
      </c>
      <c r="H120">
        <v>0</v>
      </c>
    </row>
    <row r="121" spans="1:8" x14ac:dyDescent="0.25">
      <c r="A121">
        <v>200005673</v>
      </c>
      <c r="B121" t="s">
        <v>1542</v>
      </c>
      <c r="C121" s="2">
        <v>44854</v>
      </c>
      <c r="D121" t="s">
        <v>1281</v>
      </c>
      <c r="E121">
        <v>4381</v>
      </c>
      <c r="F121">
        <v>0</v>
      </c>
      <c r="G121">
        <v>6</v>
      </c>
      <c r="H121">
        <v>0.01</v>
      </c>
    </row>
    <row r="122" spans="1:8" x14ac:dyDescent="0.25">
      <c r="A122">
        <v>200005674</v>
      </c>
      <c r="B122" t="s">
        <v>1543</v>
      </c>
      <c r="C122" s="2">
        <v>44854</v>
      </c>
      <c r="D122" t="s">
        <v>1281</v>
      </c>
      <c r="E122">
        <v>3566</v>
      </c>
      <c r="F122">
        <v>6</v>
      </c>
      <c r="G122">
        <v>1</v>
      </c>
      <c r="H122">
        <v>0</v>
      </c>
    </row>
    <row r="123" spans="1:8" x14ac:dyDescent="0.25">
      <c r="A123">
        <v>200000094</v>
      </c>
      <c r="B123" t="s">
        <v>1193</v>
      </c>
      <c r="C123" s="2">
        <v>45274</v>
      </c>
      <c r="D123" t="s">
        <v>1196</v>
      </c>
      <c r="E123">
        <v>1.87</v>
      </c>
      <c r="F123">
        <v>399</v>
      </c>
      <c r="G123">
        <v>732</v>
      </c>
      <c r="H123">
        <v>2</v>
      </c>
    </row>
    <row r="124" spans="1:8" x14ac:dyDescent="0.25">
      <c r="A124">
        <v>200002381</v>
      </c>
      <c r="B124" t="s">
        <v>1544</v>
      </c>
      <c r="C124" s="2">
        <v>45191</v>
      </c>
      <c r="D124" t="s">
        <v>1545</v>
      </c>
      <c r="E124">
        <v>4.76</v>
      </c>
      <c r="F124">
        <v>0</v>
      </c>
      <c r="G124">
        <v>20</v>
      </c>
      <c r="H124">
        <v>0.05</v>
      </c>
    </row>
    <row r="125" spans="1:8" x14ac:dyDescent="0.25">
      <c r="A125">
        <v>200005254</v>
      </c>
      <c r="B125" t="s">
        <v>1195</v>
      </c>
      <c r="C125" s="2">
        <v>44931</v>
      </c>
      <c r="D125" t="s">
        <v>1546</v>
      </c>
      <c r="E125">
        <v>6.04</v>
      </c>
      <c r="F125">
        <v>26</v>
      </c>
      <c r="G125">
        <v>18</v>
      </c>
      <c r="H125">
        <v>0.04</v>
      </c>
    </row>
    <row r="126" spans="1:8" x14ac:dyDescent="0.25">
      <c r="A126">
        <v>200004319</v>
      </c>
      <c r="B126" t="s">
        <v>1547</v>
      </c>
      <c r="C126" s="2">
        <v>43521</v>
      </c>
      <c r="D126" t="s">
        <v>1481</v>
      </c>
      <c r="E126">
        <v>75.23</v>
      </c>
      <c r="F126">
        <v>3</v>
      </c>
      <c r="G126">
        <v>1</v>
      </c>
      <c r="H126">
        <v>0</v>
      </c>
    </row>
    <row r="127" spans="1:8" x14ac:dyDescent="0.25">
      <c r="A127">
        <v>200005400</v>
      </c>
      <c r="B127" t="s">
        <v>1548</v>
      </c>
      <c r="C127" s="2">
        <v>44656</v>
      </c>
      <c r="D127" t="s">
        <v>1549</v>
      </c>
      <c r="E127">
        <v>14.01</v>
      </c>
      <c r="F127">
        <v>0</v>
      </c>
      <c r="G127">
        <v>50</v>
      </c>
      <c r="H127">
        <v>0.13</v>
      </c>
    </row>
    <row r="128" spans="1:8" x14ac:dyDescent="0.25">
      <c r="A128">
        <v>200004524</v>
      </c>
      <c r="B128" t="s">
        <v>1550</v>
      </c>
      <c r="C128" s="2">
        <v>43214</v>
      </c>
      <c r="D128" t="s">
        <v>1481</v>
      </c>
      <c r="E128">
        <v>90.3</v>
      </c>
      <c r="F128">
        <v>0</v>
      </c>
      <c r="G128">
        <v>1</v>
      </c>
      <c r="H128">
        <v>0</v>
      </c>
    </row>
    <row r="129" spans="1:8" x14ac:dyDescent="0.25">
      <c r="A129">
        <v>200003186</v>
      </c>
      <c r="B129" t="s">
        <v>1551</v>
      </c>
      <c r="C129" s="2">
        <v>44593</v>
      </c>
      <c r="D129" t="s">
        <v>1441</v>
      </c>
      <c r="E129">
        <v>5.03</v>
      </c>
      <c r="F129">
        <v>90</v>
      </c>
      <c r="G129">
        <v>15</v>
      </c>
      <c r="H129">
        <v>0.04</v>
      </c>
    </row>
    <row r="130" spans="1:8" x14ac:dyDescent="0.25">
      <c r="A130">
        <v>200003187</v>
      </c>
      <c r="B130" t="s">
        <v>1197</v>
      </c>
      <c r="C130" s="2">
        <v>44593</v>
      </c>
      <c r="D130" t="s">
        <v>1441</v>
      </c>
      <c r="E130">
        <v>6.09</v>
      </c>
      <c r="F130">
        <v>136</v>
      </c>
      <c r="G130">
        <v>41</v>
      </c>
      <c r="H130">
        <v>0.11</v>
      </c>
    </row>
    <row r="131" spans="1:8" x14ac:dyDescent="0.25">
      <c r="A131">
        <v>200003184</v>
      </c>
      <c r="B131" t="s">
        <v>1552</v>
      </c>
      <c r="C131" s="2">
        <v>43545</v>
      </c>
      <c r="D131" t="s">
        <v>1553</v>
      </c>
      <c r="E131">
        <v>1.2</v>
      </c>
      <c r="F131">
        <v>17</v>
      </c>
      <c r="G131">
        <v>12</v>
      </c>
      <c r="H131">
        <v>0.03</v>
      </c>
    </row>
    <row r="132" spans="1:8" x14ac:dyDescent="0.25">
      <c r="A132">
        <v>200000110</v>
      </c>
      <c r="B132" t="s">
        <v>1554</v>
      </c>
      <c r="C132" s="2">
        <v>44364</v>
      </c>
      <c r="D132" t="s">
        <v>1157</v>
      </c>
      <c r="E132">
        <v>0.15</v>
      </c>
      <c r="F132">
        <v>5420</v>
      </c>
      <c r="G132">
        <v>230</v>
      </c>
      <c r="H132">
        <v>0.63</v>
      </c>
    </row>
    <row r="133" spans="1:8" x14ac:dyDescent="0.25">
      <c r="A133">
        <v>200000111</v>
      </c>
      <c r="B133" t="s">
        <v>1198</v>
      </c>
      <c r="C133" s="2">
        <v>44854</v>
      </c>
      <c r="D133" t="s">
        <v>1157</v>
      </c>
      <c r="E133">
        <v>0.13</v>
      </c>
      <c r="F133">
        <v>5431</v>
      </c>
      <c r="G133">
        <v>7228</v>
      </c>
      <c r="H133">
        <v>19.8</v>
      </c>
    </row>
    <row r="134" spans="1:8" x14ac:dyDescent="0.25">
      <c r="A134">
        <v>200003437</v>
      </c>
      <c r="B134" t="s">
        <v>1555</v>
      </c>
      <c r="C134" s="2">
        <v>42536</v>
      </c>
      <c r="D134" t="s">
        <v>1556</v>
      </c>
      <c r="E134">
        <v>5.0999999999999996</v>
      </c>
      <c r="F134">
        <v>60</v>
      </c>
      <c r="G134">
        <v>4</v>
      </c>
      <c r="H134">
        <v>0.01</v>
      </c>
    </row>
    <row r="135" spans="1:8" x14ac:dyDescent="0.25">
      <c r="A135">
        <v>200004273</v>
      </c>
      <c r="B135" t="s">
        <v>1557</v>
      </c>
      <c r="C135" s="2">
        <v>43497</v>
      </c>
      <c r="D135" t="s">
        <v>1481</v>
      </c>
      <c r="E135">
        <v>4.3</v>
      </c>
      <c r="F135">
        <v>0</v>
      </c>
      <c r="G135">
        <v>199</v>
      </c>
      <c r="H135">
        <v>0.54</v>
      </c>
    </row>
    <row r="136" spans="1:8" x14ac:dyDescent="0.25">
      <c r="A136">
        <v>200005817</v>
      </c>
      <c r="B136" t="s">
        <v>149</v>
      </c>
      <c r="C136" s="2">
        <v>44952</v>
      </c>
      <c r="D136" t="s">
        <v>1509</v>
      </c>
      <c r="E136">
        <v>15</v>
      </c>
      <c r="F136">
        <v>140</v>
      </c>
      <c r="G136">
        <v>84</v>
      </c>
      <c r="H136">
        <v>0.23</v>
      </c>
    </row>
    <row r="137" spans="1:8" x14ac:dyDescent="0.25">
      <c r="A137">
        <v>200005818</v>
      </c>
      <c r="B137" t="s">
        <v>151</v>
      </c>
      <c r="C137" s="2">
        <v>44952</v>
      </c>
      <c r="D137" t="s">
        <v>1509</v>
      </c>
      <c r="E137">
        <v>8</v>
      </c>
      <c r="F137">
        <v>70</v>
      </c>
      <c r="G137">
        <v>45</v>
      </c>
      <c r="H137">
        <v>0.12</v>
      </c>
    </row>
    <row r="138" spans="1:8" x14ac:dyDescent="0.25">
      <c r="A138">
        <v>200001920</v>
      </c>
      <c r="B138" t="s">
        <v>153</v>
      </c>
      <c r="C138" s="2">
        <v>43893</v>
      </c>
      <c r="D138" t="s">
        <v>1338</v>
      </c>
      <c r="E138">
        <v>2.5</v>
      </c>
      <c r="F138">
        <v>20</v>
      </c>
      <c r="G138">
        <v>15</v>
      </c>
      <c r="H138">
        <v>0.04</v>
      </c>
    </row>
    <row r="139" spans="1:8" x14ac:dyDescent="0.25">
      <c r="A139">
        <v>200000112</v>
      </c>
      <c r="B139" t="s">
        <v>1558</v>
      </c>
      <c r="C139" s="2">
        <v>43893</v>
      </c>
      <c r="D139" t="s">
        <v>1338</v>
      </c>
      <c r="E139">
        <v>0.42</v>
      </c>
      <c r="F139">
        <v>56</v>
      </c>
      <c r="G139">
        <v>2</v>
      </c>
      <c r="H139">
        <v>0</v>
      </c>
    </row>
    <row r="140" spans="1:8" x14ac:dyDescent="0.25">
      <c r="A140">
        <v>200001924</v>
      </c>
      <c r="B140" t="s">
        <v>165</v>
      </c>
      <c r="C140" s="2">
        <v>44531</v>
      </c>
      <c r="D140" t="s">
        <v>1200</v>
      </c>
      <c r="E140">
        <v>3.17</v>
      </c>
      <c r="F140">
        <v>3</v>
      </c>
      <c r="G140">
        <v>2</v>
      </c>
      <c r="H140">
        <v>0</v>
      </c>
    </row>
    <row r="141" spans="1:8" x14ac:dyDescent="0.25">
      <c r="A141">
        <v>200001925</v>
      </c>
      <c r="B141" t="s">
        <v>166</v>
      </c>
      <c r="C141" s="2">
        <v>43893</v>
      </c>
      <c r="D141" t="s">
        <v>1338</v>
      </c>
      <c r="E141">
        <v>2</v>
      </c>
      <c r="F141">
        <v>73</v>
      </c>
      <c r="G141">
        <v>3</v>
      </c>
      <c r="H141">
        <v>0</v>
      </c>
    </row>
    <row r="142" spans="1:8" x14ac:dyDescent="0.25">
      <c r="A142">
        <v>200001926</v>
      </c>
      <c r="B142" t="s">
        <v>167</v>
      </c>
      <c r="C142" s="2">
        <v>43893</v>
      </c>
      <c r="D142" t="s">
        <v>1338</v>
      </c>
      <c r="E142">
        <v>4</v>
      </c>
      <c r="F142">
        <v>36</v>
      </c>
      <c r="G142">
        <v>10</v>
      </c>
      <c r="H142">
        <v>0.02</v>
      </c>
    </row>
    <row r="143" spans="1:8" x14ac:dyDescent="0.25">
      <c r="A143">
        <v>200003595</v>
      </c>
      <c r="B143" t="s">
        <v>169</v>
      </c>
      <c r="C143" s="2">
        <v>44531</v>
      </c>
      <c r="D143" t="s">
        <v>1200</v>
      </c>
      <c r="E143">
        <v>16.47</v>
      </c>
      <c r="F143">
        <v>2</v>
      </c>
      <c r="G143">
        <v>1</v>
      </c>
      <c r="H143">
        <v>0</v>
      </c>
    </row>
    <row r="144" spans="1:8" x14ac:dyDescent="0.25">
      <c r="A144">
        <v>200000805</v>
      </c>
      <c r="B144" t="s">
        <v>1201</v>
      </c>
      <c r="C144" s="2">
        <v>44379</v>
      </c>
      <c r="D144" t="s">
        <v>1180</v>
      </c>
      <c r="E144">
        <v>0.46</v>
      </c>
      <c r="F144">
        <v>191</v>
      </c>
      <c r="G144">
        <v>54</v>
      </c>
      <c r="H144">
        <v>0.14000000000000001</v>
      </c>
    </row>
    <row r="145" spans="1:8" x14ac:dyDescent="0.25">
      <c r="A145">
        <v>200006166</v>
      </c>
      <c r="B145" t="s">
        <v>1559</v>
      </c>
      <c r="C145" s="2">
        <v>45273</v>
      </c>
      <c r="D145" t="s">
        <v>1180</v>
      </c>
      <c r="E145">
        <v>0.18</v>
      </c>
      <c r="F145">
        <v>1048</v>
      </c>
      <c r="G145">
        <v>344</v>
      </c>
      <c r="H145">
        <v>0.94</v>
      </c>
    </row>
    <row r="146" spans="1:8" x14ac:dyDescent="0.25">
      <c r="A146">
        <v>200000802</v>
      </c>
      <c r="B146" t="s">
        <v>1560</v>
      </c>
      <c r="C146" s="2">
        <v>44838</v>
      </c>
      <c r="D146" t="s">
        <v>1163</v>
      </c>
      <c r="E146">
        <v>0.2</v>
      </c>
      <c r="F146">
        <v>4805</v>
      </c>
      <c r="G146">
        <v>499</v>
      </c>
      <c r="H146">
        <v>1.36</v>
      </c>
    </row>
    <row r="147" spans="1:8" x14ac:dyDescent="0.25">
      <c r="A147">
        <v>200000803</v>
      </c>
      <c r="B147" t="s">
        <v>1202</v>
      </c>
      <c r="C147" s="2">
        <v>45273</v>
      </c>
      <c r="D147" t="s">
        <v>1180</v>
      </c>
      <c r="E147">
        <v>7.0000000000000007E-2</v>
      </c>
      <c r="F147">
        <v>1103</v>
      </c>
      <c r="G147">
        <v>160</v>
      </c>
      <c r="H147">
        <v>0.43</v>
      </c>
    </row>
    <row r="148" spans="1:8" x14ac:dyDescent="0.25">
      <c r="A148">
        <v>200005999</v>
      </c>
      <c r="B148" t="s">
        <v>1561</v>
      </c>
      <c r="C148" s="2">
        <v>44838</v>
      </c>
      <c r="D148" t="s">
        <v>1163</v>
      </c>
      <c r="E148">
        <v>0.2</v>
      </c>
      <c r="F148">
        <v>1938</v>
      </c>
      <c r="G148">
        <v>1217</v>
      </c>
      <c r="H148">
        <v>3.33</v>
      </c>
    </row>
    <row r="149" spans="1:8" x14ac:dyDescent="0.25">
      <c r="A149">
        <v>200000804</v>
      </c>
      <c r="B149" t="s">
        <v>1562</v>
      </c>
      <c r="C149" s="2">
        <v>44379</v>
      </c>
      <c r="D149" t="s">
        <v>1180</v>
      </c>
      <c r="E149">
        <v>0.31</v>
      </c>
      <c r="F149">
        <v>187</v>
      </c>
      <c r="G149">
        <v>50</v>
      </c>
      <c r="H149">
        <v>0.13</v>
      </c>
    </row>
    <row r="150" spans="1:8" x14ac:dyDescent="0.25">
      <c r="A150">
        <v>200006167</v>
      </c>
      <c r="B150" t="s">
        <v>1563</v>
      </c>
      <c r="C150" s="2">
        <v>45042</v>
      </c>
      <c r="D150" t="s">
        <v>1180</v>
      </c>
      <c r="E150">
        <v>0.12</v>
      </c>
      <c r="F150">
        <v>32</v>
      </c>
      <c r="G150">
        <v>19</v>
      </c>
      <c r="H150">
        <v>0.05</v>
      </c>
    </row>
    <row r="151" spans="1:8" x14ac:dyDescent="0.25">
      <c r="A151">
        <v>200006209</v>
      </c>
      <c r="B151" t="s">
        <v>1564</v>
      </c>
      <c r="C151" s="2">
        <v>44999</v>
      </c>
      <c r="D151" t="s">
        <v>1565</v>
      </c>
      <c r="E151">
        <v>460.02</v>
      </c>
      <c r="F151">
        <v>0</v>
      </c>
      <c r="G151">
        <v>3</v>
      </c>
      <c r="H151">
        <v>0</v>
      </c>
    </row>
    <row r="152" spans="1:8" x14ac:dyDescent="0.25">
      <c r="A152">
        <v>200004599</v>
      </c>
      <c r="B152" t="s">
        <v>1204</v>
      </c>
      <c r="C152" s="2">
        <v>44571</v>
      </c>
      <c r="D152" t="s">
        <v>1205</v>
      </c>
      <c r="E152">
        <v>48</v>
      </c>
      <c r="F152">
        <v>6</v>
      </c>
      <c r="G152">
        <v>9</v>
      </c>
      <c r="H152">
        <v>0.02</v>
      </c>
    </row>
    <row r="153" spans="1:8" x14ac:dyDescent="0.25">
      <c r="A153">
        <v>200006175</v>
      </c>
      <c r="B153" t="s">
        <v>1566</v>
      </c>
      <c r="C153" s="2">
        <v>44851</v>
      </c>
      <c r="D153" t="s">
        <v>1180</v>
      </c>
      <c r="E153">
        <v>36.700000000000003</v>
      </c>
      <c r="F153">
        <v>330</v>
      </c>
      <c r="G153">
        <v>36</v>
      </c>
      <c r="H153">
        <v>0.09</v>
      </c>
    </row>
    <row r="154" spans="1:8" x14ac:dyDescent="0.25">
      <c r="A154">
        <v>200004601</v>
      </c>
      <c r="B154" t="s">
        <v>1567</v>
      </c>
      <c r="C154" s="2">
        <v>43332</v>
      </c>
      <c r="D154" t="s">
        <v>1568</v>
      </c>
      <c r="E154">
        <v>11.45</v>
      </c>
      <c r="F154">
        <v>16</v>
      </c>
      <c r="G154">
        <v>2</v>
      </c>
      <c r="H154">
        <v>0</v>
      </c>
    </row>
    <row r="155" spans="1:8" x14ac:dyDescent="0.25">
      <c r="A155">
        <v>200003106</v>
      </c>
      <c r="B155" t="s">
        <v>1569</v>
      </c>
      <c r="C155" s="2">
        <v>42068</v>
      </c>
      <c r="D155" t="s">
        <v>1570</v>
      </c>
      <c r="E155">
        <v>0.9</v>
      </c>
      <c r="F155">
        <v>0</v>
      </c>
      <c r="G155">
        <v>100</v>
      </c>
      <c r="H155">
        <v>0.27</v>
      </c>
    </row>
    <row r="156" spans="1:8" x14ac:dyDescent="0.25">
      <c r="A156">
        <v>200005730</v>
      </c>
      <c r="B156" t="s">
        <v>1571</v>
      </c>
      <c r="C156" s="2">
        <v>44988</v>
      </c>
      <c r="D156" t="s">
        <v>1572</v>
      </c>
      <c r="E156">
        <v>332.41</v>
      </c>
      <c r="F156">
        <v>0</v>
      </c>
      <c r="G156">
        <v>38</v>
      </c>
      <c r="H156">
        <v>0.1</v>
      </c>
    </row>
    <row r="157" spans="1:8" x14ac:dyDescent="0.25">
      <c r="A157">
        <v>200003211</v>
      </c>
      <c r="B157" t="s">
        <v>1206</v>
      </c>
      <c r="C157" s="2">
        <v>44536</v>
      </c>
      <c r="D157" t="s">
        <v>1207</v>
      </c>
      <c r="E157">
        <v>10.199999999999999</v>
      </c>
      <c r="F157">
        <v>810</v>
      </c>
      <c r="G157">
        <v>2280</v>
      </c>
      <c r="H157">
        <v>6.24</v>
      </c>
    </row>
    <row r="158" spans="1:8" x14ac:dyDescent="0.25">
      <c r="A158">
        <v>200003191</v>
      </c>
      <c r="B158" t="s">
        <v>1208</v>
      </c>
      <c r="C158" s="2">
        <v>44536</v>
      </c>
      <c r="D158" t="s">
        <v>1207</v>
      </c>
      <c r="E158">
        <v>10.199999999999999</v>
      </c>
      <c r="F158">
        <v>370</v>
      </c>
      <c r="G158">
        <v>580</v>
      </c>
      <c r="H158">
        <v>1.58</v>
      </c>
    </row>
    <row r="159" spans="1:8" x14ac:dyDescent="0.25">
      <c r="A159">
        <v>200003212</v>
      </c>
      <c r="B159" t="s">
        <v>1209</v>
      </c>
      <c r="C159" s="2">
        <v>44536</v>
      </c>
      <c r="D159" t="s">
        <v>1207</v>
      </c>
      <c r="E159">
        <v>10.199999999999999</v>
      </c>
      <c r="F159">
        <v>0</v>
      </c>
      <c r="G159">
        <v>650</v>
      </c>
      <c r="H159">
        <v>1.78</v>
      </c>
    </row>
    <row r="160" spans="1:8" x14ac:dyDescent="0.25">
      <c r="A160">
        <v>200003220</v>
      </c>
      <c r="B160" t="s">
        <v>1573</v>
      </c>
      <c r="C160" s="2">
        <v>42485</v>
      </c>
      <c r="D160" t="s">
        <v>1229</v>
      </c>
      <c r="E160">
        <v>48.66</v>
      </c>
      <c r="F160">
        <v>286</v>
      </c>
      <c r="G160">
        <v>60</v>
      </c>
      <c r="H160">
        <v>0.16</v>
      </c>
    </row>
    <row r="161" spans="1:8" x14ac:dyDescent="0.25">
      <c r="A161">
        <v>200003193</v>
      </c>
      <c r="B161" t="s">
        <v>1210</v>
      </c>
      <c r="C161" s="2">
        <v>44827</v>
      </c>
      <c r="D161" t="s">
        <v>1157</v>
      </c>
      <c r="E161">
        <v>1.87</v>
      </c>
      <c r="F161">
        <v>12708</v>
      </c>
      <c r="G161">
        <v>17638</v>
      </c>
      <c r="H161">
        <v>48.32</v>
      </c>
    </row>
    <row r="162" spans="1:8" x14ac:dyDescent="0.25">
      <c r="A162">
        <v>200003192</v>
      </c>
      <c r="B162" t="s">
        <v>1211</v>
      </c>
      <c r="C162" s="2">
        <v>44827</v>
      </c>
      <c r="D162" t="s">
        <v>1157</v>
      </c>
      <c r="E162">
        <v>1.87</v>
      </c>
      <c r="F162">
        <v>14311</v>
      </c>
      <c r="G162">
        <v>24937</v>
      </c>
      <c r="H162">
        <v>68.319999999999993</v>
      </c>
    </row>
    <row r="163" spans="1:8" x14ac:dyDescent="0.25">
      <c r="A163">
        <v>200003194</v>
      </c>
      <c r="B163" t="s">
        <v>1212</v>
      </c>
      <c r="C163" s="2">
        <v>44827</v>
      </c>
      <c r="D163" t="s">
        <v>1157</v>
      </c>
      <c r="E163">
        <v>1.86</v>
      </c>
      <c r="F163">
        <v>9691</v>
      </c>
      <c r="G163">
        <v>15753</v>
      </c>
      <c r="H163">
        <v>43.15</v>
      </c>
    </row>
    <row r="164" spans="1:8" x14ac:dyDescent="0.25">
      <c r="A164">
        <v>200005477</v>
      </c>
      <c r="B164" t="s">
        <v>1574</v>
      </c>
      <c r="C164" s="2">
        <v>44536</v>
      </c>
      <c r="D164" t="s">
        <v>1207</v>
      </c>
      <c r="E164">
        <v>24.5</v>
      </c>
      <c r="F164">
        <v>300</v>
      </c>
      <c r="G164">
        <v>120</v>
      </c>
      <c r="H164">
        <v>0.32</v>
      </c>
    </row>
    <row r="165" spans="1:8" x14ac:dyDescent="0.25">
      <c r="A165">
        <v>200003195</v>
      </c>
      <c r="B165" t="s">
        <v>1213</v>
      </c>
      <c r="C165" s="2">
        <v>44827</v>
      </c>
      <c r="D165" t="s">
        <v>1157</v>
      </c>
      <c r="E165">
        <v>3.22</v>
      </c>
      <c r="F165">
        <v>18000</v>
      </c>
      <c r="G165">
        <v>11046</v>
      </c>
      <c r="H165">
        <v>30.26</v>
      </c>
    </row>
    <row r="166" spans="1:8" x14ac:dyDescent="0.25">
      <c r="A166">
        <v>200003196</v>
      </c>
      <c r="B166" t="s">
        <v>1214</v>
      </c>
      <c r="C166" s="2">
        <v>44827</v>
      </c>
      <c r="D166" t="s">
        <v>1157</v>
      </c>
      <c r="E166">
        <v>3.22</v>
      </c>
      <c r="F166">
        <v>25584</v>
      </c>
      <c r="G166">
        <v>6410</v>
      </c>
      <c r="H166">
        <v>17.559999999999999</v>
      </c>
    </row>
    <row r="167" spans="1:8" x14ac:dyDescent="0.25">
      <c r="A167">
        <v>200003197</v>
      </c>
      <c r="B167" t="s">
        <v>1215</v>
      </c>
      <c r="C167" s="2">
        <v>44827</v>
      </c>
      <c r="D167" t="s">
        <v>1157</v>
      </c>
      <c r="E167">
        <v>3.22</v>
      </c>
      <c r="F167">
        <v>17242</v>
      </c>
      <c r="G167">
        <v>3840</v>
      </c>
      <c r="H167">
        <v>10.52</v>
      </c>
    </row>
    <row r="168" spans="1:8" x14ac:dyDescent="0.25">
      <c r="A168">
        <v>200003216</v>
      </c>
      <c r="B168" t="s">
        <v>1575</v>
      </c>
      <c r="C168" s="2">
        <v>42187</v>
      </c>
      <c r="D168" t="s">
        <v>1229</v>
      </c>
      <c r="E168">
        <v>20.43</v>
      </c>
      <c r="F168">
        <v>209</v>
      </c>
      <c r="G168">
        <v>5</v>
      </c>
      <c r="H168">
        <v>0.01</v>
      </c>
    </row>
    <row r="169" spans="1:8" x14ac:dyDescent="0.25">
      <c r="A169">
        <v>200003208</v>
      </c>
      <c r="B169" t="s">
        <v>1216</v>
      </c>
      <c r="C169" s="2">
        <v>44827</v>
      </c>
      <c r="D169" t="s">
        <v>1157</v>
      </c>
      <c r="E169">
        <v>4.71</v>
      </c>
      <c r="F169">
        <v>1400</v>
      </c>
      <c r="G169">
        <v>1730</v>
      </c>
      <c r="H169">
        <v>4.7300000000000004</v>
      </c>
    </row>
    <row r="170" spans="1:8" x14ac:dyDescent="0.25">
      <c r="A170">
        <v>200003209</v>
      </c>
      <c r="B170" t="s">
        <v>1217</v>
      </c>
      <c r="C170" s="2">
        <v>44827</v>
      </c>
      <c r="D170" t="s">
        <v>1157</v>
      </c>
      <c r="E170">
        <v>4.71</v>
      </c>
      <c r="F170">
        <v>2300</v>
      </c>
      <c r="G170">
        <v>4080</v>
      </c>
      <c r="H170">
        <v>11.17</v>
      </c>
    </row>
    <row r="171" spans="1:8" x14ac:dyDescent="0.25">
      <c r="A171">
        <v>200003210</v>
      </c>
      <c r="B171" t="s">
        <v>1218</v>
      </c>
      <c r="C171" s="2">
        <v>44827</v>
      </c>
      <c r="D171" t="s">
        <v>1157</v>
      </c>
      <c r="E171">
        <v>4.71</v>
      </c>
      <c r="F171">
        <v>700</v>
      </c>
      <c r="G171">
        <v>1830</v>
      </c>
      <c r="H171">
        <v>5.01</v>
      </c>
    </row>
    <row r="172" spans="1:8" x14ac:dyDescent="0.25">
      <c r="A172">
        <v>200003217</v>
      </c>
      <c r="B172" t="s">
        <v>1576</v>
      </c>
      <c r="C172" s="2">
        <v>44764</v>
      </c>
      <c r="D172" t="s">
        <v>1434</v>
      </c>
      <c r="E172">
        <v>75.78</v>
      </c>
      <c r="F172">
        <v>132</v>
      </c>
      <c r="G172">
        <v>395</v>
      </c>
      <c r="H172">
        <v>1.08</v>
      </c>
    </row>
    <row r="173" spans="1:8" x14ac:dyDescent="0.25">
      <c r="A173">
        <v>200006067</v>
      </c>
      <c r="B173" t="s">
        <v>1577</v>
      </c>
      <c r="C173" s="2">
        <v>44699</v>
      </c>
      <c r="D173" t="s">
        <v>1207</v>
      </c>
      <c r="E173">
        <v>89.47</v>
      </c>
      <c r="F173">
        <v>0</v>
      </c>
      <c r="G173">
        <v>25</v>
      </c>
      <c r="H173">
        <v>0.06</v>
      </c>
    </row>
    <row r="174" spans="1:8" x14ac:dyDescent="0.25">
      <c r="A174">
        <v>200003219</v>
      </c>
      <c r="B174" t="s">
        <v>1578</v>
      </c>
      <c r="C174" s="2">
        <v>42485</v>
      </c>
      <c r="D174" t="s">
        <v>1229</v>
      </c>
      <c r="E174">
        <v>38.18</v>
      </c>
      <c r="F174">
        <v>558</v>
      </c>
      <c r="G174">
        <v>68</v>
      </c>
      <c r="H174">
        <v>0.18</v>
      </c>
    </row>
    <row r="175" spans="1:8" x14ac:dyDescent="0.25">
      <c r="A175">
        <v>200005394</v>
      </c>
      <c r="B175" t="s">
        <v>1579</v>
      </c>
      <c r="C175" s="2">
        <v>44764</v>
      </c>
      <c r="D175" t="s">
        <v>1434</v>
      </c>
      <c r="E175">
        <v>167.38</v>
      </c>
      <c r="F175">
        <v>0</v>
      </c>
      <c r="G175">
        <v>200</v>
      </c>
      <c r="H175">
        <v>0.54</v>
      </c>
    </row>
    <row r="176" spans="1:8" x14ac:dyDescent="0.25">
      <c r="A176">
        <v>200006338</v>
      </c>
      <c r="B176" t="s">
        <v>1580</v>
      </c>
      <c r="C176" s="2">
        <v>45075</v>
      </c>
      <c r="D176" t="s">
        <v>1581</v>
      </c>
      <c r="E176">
        <v>20</v>
      </c>
      <c r="F176">
        <v>0</v>
      </c>
      <c r="G176">
        <v>400</v>
      </c>
      <c r="H176">
        <v>1.0900000000000001</v>
      </c>
    </row>
    <row r="177" spans="1:8" x14ac:dyDescent="0.25">
      <c r="A177">
        <v>200006337</v>
      </c>
      <c r="B177" t="s">
        <v>1582</v>
      </c>
      <c r="C177" s="2">
        <v>45075</v>
      </c>
      <c r="D177" t="s">
        <v>1581</v>
      </c>
      <c r="E177">
        <v>20</v>
      </c>
      <c r="F177">
        <v>0</v>
      </c>
      <c r="G177">
        <v>400</v>
      </c>
      <c r="H177">
        <v>1.0900000000000001</v>
      </c>
    </row>
    <row r="178" spans="1:8" x14ac:dyDescent="0.25">
      <c r="A178">
        <v>200003824</v>
      </c>
      <c r="B178" t="s">
        <v>1583</v>
      </c>
      <c r="C178" s="2">
        <v>42558</v>
      </c>
      <c r="D178" t="s">
        <v>1505</v>
      </c>
      <c r="E178">
        <v>1.05</v>
      </c>
      <c r="F178">
        <v>0</v>
      </c>
      <c r="G178">
        <v>40</v>
      </c>
      <c r="H178">
        <v>0.1</v>
      </c>
    </row>
    <row r="179" spans="1:8" x14ac:dyDescent="0.25">
      <c r="A179">
        <v>200005397</v>
      </c>
      <c r="B179" t="s">
        <v>1584</v>
      </c>
      <c r="C179" s="2">
        <v>44764</v>
      </c>
      <c r="D179" t="s">
        <v>1434</v>
      </c>
      <c r="E179">
        <v>151.37</v>
      </c>
      <c r="F179">
        <v>0</v>
      </c>
      <c r="G179">
        <v>180</v>
      </c>
      <c r="H179">
        <v>0.49</v>
      </c>
    </row>
    <row r="180" spans="1:8" x14ac:dyDescent="0.25">
      <c r="A180">
        <v>200005396</v>
      </c>
      <c r="B180" t="s">
        <v>1585</v>
      </c>
      <c r="C180" s="2">
        <v>44764</v>
      </c>
      <c r="D180" t="s">
        <v>1434</v>
      </c>
      <c r="E180">
        <v>98.19</v>
      </c>
      <c r="F180">
        <v>0</v>
      </c>
      <c r="G180">
        <v>75</v>
      </c>
      <c r="H180">
        <v>0.2</v>
      </c>
    </row>
    <row r="181" spans="1:8" x14ac:dyDescent="0.25">
      <c r="A181">
        <v>200003413</v>
      </c>
      <c r="B181" t="s">
        <v>1586</v>
      </c>
      <c r="C181" s="2">
        <v>44971</v>
      </c>
      <c r="D181" t="s">
        <v>1587</v>
      </c>
      <c r="E181">
        <v>120</v>
      </c>
      <c r="F181">
        <v>0</v>
      </c>
      <c r="G181">
        <v>8</v>
      </c>
      <c r="H181">
        <v>0.02</v>
      </c>
    </row>
    <row r="182" spans="1:8" x14ac:dyDescent="0.25">
      <c r="A182">
        <v>200005767</v>
      </c>
      <c r="B182" t="s">
        <v>1588</v>
      </c>
      <c r="C182" s="2">
        <v>44971</v>
      </c>
      <c r="D182" t="s">
        <v>1587</v>
      </c>
      <c r="E182">
        <v>310</v>
      </c>
      <c r="F182">
        <v>0</v>
      </c>
      <c r="G182">
        <v>7</v>
      </c>
      <c r="H182">
        <v>0.01</v>
      </c>
    </row>
    <row r="183" spans="1:8" x14ac:dyDescent="0.25">
      <c r="A183">
        <v>200004008</v>
      </c>
      <c r="B183" t="s">
        <v>1589</v>
      </c>
      <c r="C183" s="2">
        <v>44971</v>
      </c>
      <c r="D183" t="s">
        <v>1587</v>
      </c>
      <c r="E183">
        <v>707</v>
      </c>
      <c r="F183">
        <v>0</v>
      </c>
      <c r="G183">
        <v>3</v>
      </c>
      <c r="H183">
        <v>0</v>
      </c>
    </row>
    <row r="184" spans="1:8" x14ac:dyDescent="0.25">
      <c r="A184">
        <v>200003412</v>
      </c>
      <c r="B184" t="s">
        <v>1590</v>
      </c>
      <c r="C184" s="2">
        <v>44971</v>
      </c>
      <c r="D184" t="s">
        <v>1587</v>
      </c>
      <c r="E184">
        <v>60</v>
      </c>
      <c r="F184">
        <v>0</v>
      </c>
      <c r="G184">
        <v>8</v>
      </c>
      <c r="H184">
        <v>0.02</v>
      </c>
    </row>
    <row r="185" spans="1:8" x14ac:dyDescent="0.25">
      <c r="A185">
        <v>200003874</v>
      </c>
      <c r="B185" t="s">
        <v>1591</v>
      </c>
      <c r="C185" s="2">
        <v>44971</v>
      </c>
      <c r="D185" t="s">
        <v>1587</v>
      </c>
      <c r="E185">
        <v>777</v>
      </c>
      <c r="F185">
        <v>0</v>
      </c>
      <c r="G185">
        <v>9</v>
      </c>
      <c r="H185">
        <v>0.02</v>
      </c>
    </row>
    <row r="186" spans="1:8" x14ac:dyDescent="0.25">
      <c r="A186">
        <v>200003379</v>
      </c>
      <c r="B186" t="s">
        <v>1592</v>
      </c>
      <c r="C186" s="2">
        <v>44424</v>
      </c>
      <c r="D186" t="s">
        <v>1157</v>
      </c>
      <c r="E186">
        <v>8.1</v>
      </c>
      <c r="F186">
        <v>107</v>
      </c>
      <c r="G186">
        <v>1432</v>
      </c>
      <c r="H186">
        <v>3.92</v>
      </c>
    </row>
    <row r="187" spans="1:8" x14ac:dyDescent="0.25">
      <c r="A187">
        <v>200004340</v>
      </c>
      <c r="B187" t="s">
        <v>1593</v>
      </c>
      <c r="C187" s="2">
        <v>44379</v>
      </c>
      <c r="D187" t="s">
        <v>1180</v>
      </c>
      <c r="E187">
        <v>5.48</v>
      </c>
      <c r="F187">
        <v>204</v>
      </c>
      <c r="G187">
        <v>36</v>
      </c>
      <c r="H187">
        <v>0.09</v>
      </c>
    </row>
    <row r="188" spans="1:8" x14ac:dyDescent="0.25">
      <c r="A188">
        <v>200003373</v>
      </c>
      <c r="B188" t="s">
        <v>1219</v>
      </c>
      <c r="C188" s="2">
        <v>45273</v>
      </c>
      <c r="D188" t="s">
        <v>1180</v>
      </c>
      <c r="E188">
        <v>8.08</v>
      </c>
      <c r="F188">
        <v>625</v>
      </c>
      <c r="G188">
        <v>182</v>
      </c>
      <c r="H188">
        <v>0.49</v>
      </c>
    </row>
    <row r="189" spans="1:8" x14ac:dyDescent="0.25">
      <c r="A189">
        <v>200001846</v>
      </c>
      <c r="B189" t="s">
        <v>1220</v>
      </c>
      <c r="C189" s="2">
        <v>44743</v>
      </c>
      <c r="D189" t="s">
        <v>1221</v>
      </c>
      <c r="E189">
        <v>400</v>
      </c>
      <c r="F189">
        <v>5</v>
      </c>
      <c r="G189">
        <v>3</v>
      </c>
      <c r="H189">
        <v>0</v>
      </c>
    </row>
    <row r="190" spans="1:8" x14ac:dyDescent="0.25">
      <c r="A190">
        <v>200004195</v>
      </c>
      <c r="B190" t="s">
        <v>1594</v>
      </c>
      <c r="C190" s="2">
        <v>44743</v>
      </c>
      <c r="D190" t="s">
        <v>1221</v>
      </c>
      <c r="E190">
        <v>1400</v>
      </c>
      <c r="F190">
        <v>20</v>
      </c>
      <c r="G190">
        <v>1</v>
      </c>
      <c r="H190">
        <v>0</v>
      </c>
    </row>
    <row r="191" spans="1:8" x14ac:dyDescent="0.25">
      <c r="A191">
        <v>200004196</v>
      </c>
      <c r="B191" t="s">
        <v>1595</v>
      </c>
      <c r="C191" s="2">
        <v>43262</v>
      </c>
      <c r="D191" t="s">
        <v>1596</v>
      </c>
      <c r="E191">
        <v>20.89</v>
      </c>
      <c r="F191">
        <v>0</v>
      </c>
      <c r="G191">
        <v>30</v>
      </c>
      <c r="H191">
        <v>0.08</v>
      </c>
    </row>
    <row r="192" spans="1:8" x14ac:dyDescent="0.25">
      <c r="A192">
        <v>200004229</v>
      </c>
      <c r="B192" t="s">
        <v>1597</v>
      </c>
      <c r="C192" s="2">
        <v>44743</v>
      </c>
      <c r="D192" t="s">
        <v>1221</v>
      </c>
      <c r="E192">
        <v>37</v>
      </c>
      <c r="F192">
        <v>243</v>
      </c>
      <c r="G192">
        <v>37</v>
      </c>
      <c r="H192">
        <v>0.1</v>
      </c>
    </row>
    <row r="193" spans="1:8" x14ac:dyDescent="0.25">
      <c r="A193">
        <v>200003055</v>
      </c>
      <c r="B193" t="s">
        <v>1598</v>
      </c>
      <c r="C193" s="2">
        <v>44743</v>
      </c>
      <c r="D193" t="s">
        <v>1221</v>
      </c>
      <c r="E193">
        <v>3</v>
      </c>
      <c r="F193">
        <v>5856</v>
      </c>
      <c r="G193">
        <v>1386</v>
      </c>
      <c r="H193">
        <v>3.79</v>
      </c>
    </row>
    <row r="194" spans="1:8" x14ac:dyDescent="0.25">
      <c r="A194">
        <v>200004228</v>
      </c>
      <c r="B194" t="s">
        <v>1222</v>
      </c>
      <c r="C194" s="2">
        <v>44743</v>
      </c>
      <c r="D194" t="s">
        <v>1221</v>
      </c>
      <c r="E194">
        <v>6.5</v>
      </c>
      <c r="F194">
        <v>9663</v>
      </c>
      <c r="G194">
        <v>5185</v>
      </c>
      <c r="H194">
        <v>14.2</v>
      </c>
    </row>
    <row r="195" spans="1:8" x14ac:dyDescent="0.25">
      <c r="A195">
        <v>200003057</v>
      </c>
      <c r="B195" t="s">
        <v>1599</v>
      </c>
      <c r="C195" s="2">
        <v>44743</v>
      </c>
      <c r="D195" t="s">
        <v>1221</v>
      </c>
      <c r="E195">
        <v>6.5</v>
      </c>
      <c r="F195">
        <v>14114</v>
      </c>
      <c r="G195">
        <v>10756</v>
      </c>
      <c r="H195">
        <v>29.46</v>
      </c>
    </row>
    <row r="196" spans="1:8" x14ac:dyDescent="0.25">
      <c r="A196">
        <v>200004980</v>
      </c>
      <c r="B196" t="s">
        <v>175</v>
      </c>
      <c r="C196" s="2">
        <v>43741</v>
      </c>
      <c r="D196" t="s">
        <v>1223</v>
      </c>
      <c r="E196">
        <v>10.5</v>
      </c>
      <c r="F196">
        <v>0</v>
      </c>
      <c r="G196">
        <v>34</v>
      </c>
      <c r="H196">
        <v>0.09</v>
      </c>
    </row>
    <row r="197" spans="1:8" x14ac:dyDescent="0.25">
      <c r="A197">
        <v>200004981</v>
      </c>
      <c r="B197" t="s">
        <v>178</v>
      </c>
      <c r="C197" s="2">
        <v>43741</v>
      </c>
      <c r="D197" t="s">
        <v>1223</v>
      </c>
      <c r="E197">
        <v>14.9</v>
      </c>
      <c r="F197">
        <v>0</v>
      </c>
      <c r="G197">
        <v>24</v>
      </c>
      <c r="H197">
        <v>0.06</v>
      </c>
    </row>
    <row r="198" spans="1:8" x14ac:dyDescent="0.25">
      <c r="A198">
        <v>200001398</v>
      </c>
      <c r="B198" t="s">
        <v>1224</v>
      </c>
      <c r="C198" s="2">
        <v>45268</v>
      </c>
      <c r="D198" t="s">
        <v>1600</v>
      </c>
      <c r="E198">
        <v>40.47</v>
      </c>
      <c r="F198">
        <v>1041</v>
      </c>
      <c r="G198">
        <v>2599</v>
      </c>
      <c r="H198">
        <v>7.12</v>
      </c>
    </row>
    <row r="199" spans="1:8" x14ac:dyDescent="0.25">
      <c r="A199">
        <v>200006052</v>
      </c>
      <c r="B199" t="s">
        <v>183</v>
      </c>
      <c r="C199" s="2">
        <v>44658</v>
      </c>
      <c r="D199" t="s">
        <v>1302</v>
      </c>
      <c r="E199">
        <v>50.7</v>
      </c>
      <c r="F199">
        <v>0</v>
      </c>
      <c r="G199">
        <v>25</v>
      </c>
      <c r="H199">
        <v>0.06</v>
      </c>
    </row>
    <row r="200" spans="1:8" x14ac:dyDescent="0.25">
      <c r="A200">
        <v>200005831</v>
      </c>
      <c r="B200" t="s">
        <v>184</v>
      </c>
      <c r="C200" s="2">
        <v>44715</v>
      </c>
      <c r="D200" t="s">
        <v>1601</v>
      </c>
      <c r="E200">
        <v>91.2</v>
      </c>
      <c r="F200">
        <v>0</v>
      </c>
      <c r="G200">
        <v>5</v>
      </c>
      <c r="H200">
        <v>0.01</v>
      </c>
    </row>
    <row r="201" spans="1:8" x14ac:dyDescent="0.25">
      <c r="A201">
        <v>200002056</v>
      </c>
      <c r="B201" t="s">
        <v>187</v>
      </c>
      <c r="C201" s="2">
        <v>45114</v>
      </c>
      <c r="D201" t="s">
        <v>1482</v>
      </c>
      <c r="E201">
        <v>569</v>
      </c>
      <c r="F201">
        <v>44</v>
      </c>
      <c r="G201">
        <v>3</v>
      </c>
      <c r="H201">
        <v>0</v>
      </c>
    </row>
    <row r="202" spans="1:8" x14ac:dyDescent="0.25">
      <c r="A202">
        <v>200000044</v>
      </c>
      <c r="B202" t="s">
        <v>1226</v>
      </c>
      <c r="C202" s="2">
        <v>45280</v>
      </c>
      <c r="D202" t="s">
        <v>1196</v>
      </c>
      <c r="E202">
        <v>2.65</v>
      </c>
      <c r="F202">
        <v>6009</v>
      </c>
      <c r="G202">
        <v>10372</v>
      </c>
      <c r="H202">
        <v>28.41</v>
      </c>
    </row>
    <row r="203" spans="1:8" x14ac:dyDescent="0.25">
      <c r="A203">
        <v>200000145</v>
      </c>
      <c r="B203" t="s">
        <v>1602</v>
      </c>
      <c r="C203" s="2">
        <v>45273</v>
      </c>
      <c r="D203" t="s">
        <v>1603</v>
      </c>
      <c r="E203">
        <v>5.54</v>
      </c>
      <c r="F203">
        <v>1800</v>
      </c>
      <c r="G203">
        <v>2525</v>
      </c>
      <c r="H203">
        <v>6.91</v>
      </c>
    </row>
    <row r="204" spans="1:8" x14ac:dyDescent="0.25">
      <c r="A204">
        <v>200005764</v>
      </c>
      <c r="B204" t="s">
        <v>1604</v>
      </c>
      <c r="C204" s="2">
        <v>44720</v>
      </c>
      <c r="D204" t="s">
        <v>1180</v>
      </c>
      <c r="E204">
        <v>158.69999999999999</v>
      </c>
      <c r="F204">
        <v>24</v>
      </c>
      <c r="G204">
        <v>1</v>
      </c>
      <c r="H204">
        <v>0</v>
      </c>
    </row>
    <row r="205" spans="1:8" x14ac:dyDescent="0.25">
      <c r="A205">
        <v>200004973</v>
      </c>
      <c r="B205" t="s">
        <v>195</v>
      </c>
      <c r="C205" s="2">
        <v>45100</v>
      </c>
      <c r="D205" t="s">
        <v>1605</v>
      </c>
      <c r="E205">
        <v>504.9</v>
      </c>
      <c r="F205">
        <v>0</v>
      </c>
      <c r="G205">
        <v>1</v>
      </c>
      <c r="H205">
        <v>0</v>
      </c>
    </row>
    <row r="206" spans="1:8" x14ac:dyDescent="0.25">
      <c r="A206">
        <v>200000518</v>
      </c>
      <c r="B206" t="s">
        <v>1227</v>
      </c>
      <c r="C206" s="2">
        <v>44686</v>
      </c>
      <c r="D206" t="s">
        <v>1310</v>
      </c>
      <c r="E206">
        <v>32.9</v>
      </c>
      <c r="F206">
        <v>11</v>
      </c>
      <c r="G206">
        <v>14</v>
      </c>
      <c r="H206">
        <v>0.03</v>
      </c>
    </row>
    <row r="207" spans="1:8" x14ac:dyDescent="0.25">
      <c r="A207">
        <v>200004913</v>
      </c>
      <c r="B207" t="s">
        <v>1606</v>
      </c>
      <c r="C207" s="2">
        <v>43810</v>
      </c>
      <c r="D207" t="s">
        <v>1523</v>
      </c>
      <c r="E207">
        <v>300.88</v>
      </c>
      <c r="F207">
        <v>21</v>
      </c>
      <c r="G207">
        <v>1</v>
      </c>
      <c r="H207">
        <v>0</v>
      </c>
    </row>
    <row r="208" spans="1:8" x14ac:dyDescent="0.25">
      <c r="A208">
        <v>200000149</v>
      </c>
      <c r="B208" t="s">
        <v>196</v>
      </c>
      <c r="C208" s="2">
        <v>45035</v>
      </c>
      <c r="D208" t="s">
        <v>1229</v>
      </c>
      <c r="E208">
        <v>38.909999999999997</v>
      </c>
      <c r="F208">
        <v>5</v>
      </c>
      <c r="G208">
        <v>11</v>
      </c>
      <c r="H208">
        <v>0.03</v>
      </c>
    </row>
    <row r="209" spans="1:8" x14ac:dyDescent="0.25">
      <c r="A209">
        <v>200003808</v>
      </c>
      <c r="B209" t="s">
        <v>1228</v>
      </c>
      <c r="C209" s="2">
        <v>42187</v>
      </c>
      <c r="D209" t="s">
        <v>1229</v>
      </c>
      <c r="E209">
        <v>101.95</v>
      </c>
      <c r="F209">
        <v>0</v>
      </c>
      <c r="G209">
        <v>10</v>
      </c>
      <c r="H209">
        <v>0.02</v>
      </c>
    </row>
    <row r="210" spans="1:8" x14ac:dyDescent="0.25">
      <c r="A210">
        <v>200003222</v>
      </c>
      <c r="B210" t="s">
        <v>1607</v>
      </c>
      <c r="C210" s="2">
        <v>44593</v>
      </c>
      <c r="D210" t="s">
        <v>1441</v>
      </c>
      <c r="E210">
        <v>67.63</v>
      </c>
      <c r="F210">
        <v>0</v>
      </c>
      <c r="G210">
        <v>18</v>
      </c>
      <c r="H210">
        <v>0.04</v>
      </c>
    </row>
    <row r="211" spans="1:8" x14ac:dyDescent="0.25">
      <c r="A211">
        <v>200003223</v>
      </c>
      <c r="B211" t="s">
        <v>1608</v>
      </c>
      <c r="C211" s="2">
        <v>44593</v>
      </c>
      <c r="D211" t="s">
        <v>1441</v>
      </c>
      <c r="E211">
        <v>84.92</v>
      </c>
      <c r="F211">
        <v>7</v>
      </c>
      <c r="G211">
        <v>57</v>
      </c>
      <c r="H211">
        <v>0.15</v>
      </c>
    </row>
    <row r="212" spans="1:8" x14ac:dyDescent="0.25">
      <c r="A212">
        <v>200004866</v>
      </c>
      <c r="B212" t="s">
        <v>1609</v>
      </c>
      <c r="C212" s="2">
        <v>43872</v>
      </c>
      <c r="D212" t="s">
        <v>1221</v>
      </c>
      <c r="E212">
        <v>17</v>
      </c>
      <c r="F212">
        <v>0</v>
      </c>
      <c r="G212">
        <v>98</v>
      </c>
      <c r="H212">
        <v>0.26</v>
      </c>
    </row>
    <row r="213" spans="1:8" x14ac:dyDescent="0.25">
      <c r="A213">
        <v>200002592</v>
      </c>
      <c r="B213" t="s">
        <v>1610</v>
      </c>
      <c r="C213" s="2">
        <v>41235</v>
      </c>
      <c r="D213" t="s">
        <v>1611</v>
      </c>
      <c r="E213">
        <v>24.47</v>
      </c>
      <c r="F213">
        <v>0</v>
      </c>
      <c r="G213">
        <v>77</v>
      </c>
      <c r="H213">
        <v>0.21</v>
      </c>
    </row>
    <row r="214" spans="1:8" x14ac:dyDescent="0.25">
      <c r="A214">
        <v>200004201</v>
      </c>
      <c r="B214" t="s">
        <v>1612</v>
      </c>
      <c r="C214" s="2">
        <v>44838</v>
      </c>
      <c r="D214" t="s">
        <v>1163</v>
      </c>
      <c r="E214">
        <v>370.04</v>
      </c>
      <c r="F214">
        <v>11</v>
      </c>
      <c r="G214">
        <v>1</v>
      </c>
      <c r="H214">
        <v>0</v>
      </c>
    </row>
    <row r="215" spans="1:8" x14ac:dyDescent="0.25">
      <c r="A215">
        <v>200001518</v>
      </c>
      <c r="B215" t="s">
        <v>1230</v>
      </c>
      <c r="C215" s="2">
        <v>44838</v>
      </c>
      <c r="D215" t="s">
        <v>1163</v>
      </c>
      <c r="E215">
        <v>7.91</v>
      </c>
      <c r="F215">
        <v>1863</v>
      </c>
      <c r="G215">
        <v>280</v>
      </c>
      <c r="H215">
        <v>0.76</v>
      </c>
    </row>
    <row r="216" spans="1:8" x14ac:dyDescent="0.25">
      <c r="A216">
        <v>200001890</v>
      </c>
      <c r="B216" t="s">
        <v>1613</v>
      </c>
      <c r="C216" s="2">
        <v>45058</v>
      </c>
      <c r="D216" t="s">
        <v>1250</v>
      </c>
      <c r="E216">
        <v>145</v>
      </c>
      <c r="F216">
        <v>31</v>
      </c>
      <c r="G216">
        <v>19</v>
      </c>
      <c r="H216">
        <v>0.05</v>
      </c>
    </row>
    <row r="217" spans="1:8" x14ac:dyDescent="0.25">
      <c r="A217">
        <v>200001015</v>
      </c>
      <c r="B217" t="s">
        <v>1614</v>
      </c>
      <c r="C217" s="2">
        <v>44890</v>
      </c>
      <c r="D217" t="s">
        <v>1229</v>
      </c>
      <c r="E217">
        <v>47.36</v>
      </c>
      <c r="F217">
        <v>28</v>
      </c>
      <c r="G217">
        <v>3</v>
      </c>
      <c r="H217">
        <v>0</v>
      </c>
    </row>
    <row r="218" spans="1:8" x14ac:dyDescent="0.25">
      <c r="A218">
        <v>200001771</v>
      </c>
      <c r="B218" t="s">
        <v>1615</v>
      </c>
      <c r="C218" s="2">
        <v>43473</v>
      </c>
      <c r="D218" t="s">
        <v>1302</v>
      </c>
      <c r="E218">
        <v>31.16</v>
      </c>
      <c r="F218">
        <v>22</v>
      </c>
      <c r="G218">
        <v>2</v>
      </c>
      <c r="H218">
        <v>0</v>
      </c>
    </row>
    <row r="219" spans="1:8" x14ac:dyDescent="0.25">
      <c r="A219">
        <v>200005144</v>
      </c>
      <c r="B219" t="s">
        <v>1616</v>
      </c>
      <c r="C219" s="2">
        <v>44967</v>
      </c>
      <c r="D219" t="s">
        <v>1617</v>
      </c>
      <c r="E219">
        <v>12.85</v>
      </c>
      <c r="F219">
        <v>0</v>
      </c>
      <c r="G219">
        <v>5000</v>
      </c>
      <c r="H219">
        <v>13.69</v>
      </c>
    </row>
    <row r="220" spans="1:8" x14ac:dyDescent="0.25">
      <c r="A220">
        <v>200000157</v>
      </c>
      <c r="B220" t="s">
        <v>1618</v>
      </c>
      <c r="C220" s="2">
        <v>44858</v>
      </c>
      <c r="D220" t="s">
        <v>1344</v>
      </c>
      <c r="E220">
        <v>21.47</v>
      </c>
      <c r="F220">
        <v>85</v>
      </c>
      <c r="G220">
        <v>31</v>
      </c>
      <c r="H220">
        <v>0.08</v>
      </c>
    </row>
    <row r="221" spans="1:8" x14ac:dyDescent="0.25">
      <c r="A221">
        <v>200000751</v>
      </c>
      <c r="B221" t="s">
        <v>1231</v>
      </c>
      <c r="C221" s="2">
        <v>44908</v>
      </c>
      <c r="D221" t="s">
        <v>1344</v>
      </c>
      <c r="E221">
        <v>35.5</v>
      </c>
      <c r="F221">
        <v>361</v>
      </c>
      <c r="G221">
        <v>136</v>
      </c>
      <c r="H221">
        <v>0.37</v>
      </c>
    </row>
    <row r="222" spans="1:8" x14ac:dyDescent="0.25">
      <c r="A222">
        <v>200002077</v>
      </c>
      <c r="B222" t="s">
        <v>1232</v>
      </c>
      <c r="C222" s="2">
        <v>41404</v>
      </c>
      <c r="D222" t="s">
        <v>1229</v>
      </c>
      <c r="E222">
        <v>7</v>
      </c>
      <c r="F222">
        <v>8</v>
      </c>
      <c r="G222">
        <v>3</v>
      </c>
      <c r="H222">
        <v>0</v>
      </c>
    </row>
    <row r="223" spans="1:8" x14ac:dyDescent="0.25">
      <c r="A223">
        <v>200005375</v>
      </c>
      <c r="B223" t="s">
        <v>1619</v>
      </c>
      <c r="C223" s="2">
        <v>44746</v>
      </c>
      <c r="D223" t="s">
        <v>1434</v>
      </c>
      <c r="E223">
        <v>54.38</v>
      </c>
      <c r="F223">
        <v>0</v>
      </c>
      <c r="G223">
        <v>20</v>
      </c>
      <c r="H223">
        <v>0.05</v>
      </c>
    </row>
    <row r="224" spans="1:8" x14ac:dyDescent="0.25">
      <c r="A224">
        <v>200004905</v>
      </c>
      <c r="B224" t="s">
        <v>1620</v>
      </c>
      <c r="C224" s="2">
        <v>43801</v>
      </c>
      <c r="D224" t="s">
        <v>1523</v>
      </c>
      <c r="E224">
        <v>110.48</v>
      </c>
      <c r="F224">
        <v>9</v>
      </c>
      <c r="G224">
        <v>5</v>
      </c>
      <c r="H224">
        <v>0.01</v>
      </c>
    </row>
    <row r="225" spans="1:8" x14ac:dyDescent="0.25">
      <c r="A225">
        <v>200005445</v>
      </c>
      <c r="B225" t="s">
        <v>1621</v>
      </c>
      <c r="C225" s="2">
        <v>44489</v>
      </c>
      <c r="D225" t="s">
        <v>1180</v>
      </c>
      <c r="E225">
        <v>38</v>
      </c>
      <c r="F225">
        <v>187</v>
      </c>
      <c r="G225">
        <v>36</v>
      </c>
      <c r="H225">
        <v>0.09</v>
      </c>
    </row>
    <row r="226" spans="1:8" x14ac:dyDescent="0.25">
      <c r="A226">
        <v>200005061</v>
      </c>
      <c r="B226" t="s">
        <v>1622</v>
      </c>
      <c r="C226" s="2">
        <v>44489</v>
      </c>
      <c r="D226" t="s">
        <v>1180</v>
      </c>
      <c r="E226">
        <v>48</v>
      </c>
      <c r="F226">
        <v>26</v>
      </c>
      <c r="G226">
        <v>15</v>
      </c>
      <c r="H226">
        <v>0.04</v>
      </c>
    </row>
    <row r="227" spans="1:8" x14ac:dyDescent="0.25">
      <c r="A227">
        <v>200002547</v>
      </c>
      <c r="B227" t="s">
        <v>1623</v>
      </c>
      <c r="C227" s="2">
        <v>44838</v>
      </c>
      <c r="D227" t="s">
        <v>1163</v>
      </c>
      <c r="E227">
        <v>156.77000000000001</v>
      </c>
      <c r="F227">
        <v>1507</v>
      </c>
      <c r="G227">
        <v>11</v>
      </c>
      <c r="H227">
        <v>0.03</v>
      </c>
    </row>
    <row r="228" spans="1:8" x14ac:dyDescent="0.25">
      <c r="A228">
        <v>200002078</v>
      </c>
      <c r="B228" t="s">
        <v>1233</v>
      </c>
      <c r="C228" s="2">
        <v>44593</v>
      </c>
      <c r="D228" t="s">
        <v>1441</v>
      </c>
      <c r="E228">
        <v>68.59</v>
      </c>
      <c r="F228">
        <v>151</v>
      </c>
      <c r="G228">
        <v>516</v>
      </c>
      <c r="H228">
        <v>1.41</v>
      </c>
    </row>
    <row r="229" spans="1:8" x14ac:dyDescent="0.25">
      <c r="A229">
        <v>200003204</v>
      </c>
      <c r="B229" t="s">
        <v>1234</v>
      </c>
      <c r="C229" s="2">
        <v>44593</v>
      </c>
      <c r="D229" t="s">
        <v>1441</v>
      </c>
      <c r="E229">
        <v>146.81</v>
      </c>
      <c r="F229">
        <v>3148</v>
      </c>
      <c r="G229">
        <v>630</v>
      </c>
      <c r="H229">
        <v>1.72</v>
      </c>
    </row>
    <row r="230" spans="1:8" x14ac:dyDescent="0.25">
      <c r="A230">
        <v>200000160</v>
      </c>
      <c r="B230" t="s">
        <v>1235</v>
      </c>
      <c r="C230" s="2">
        <v>44838</v>
      </c>
      <c r="D230" t="s">
        <v>1163</v>
      </c>
      <c r="E230">
        <v>6.01</v>
      </c>
      <c r="F230">
        <v>906</v>
      </c>
      <c r="G230">
        <v>299</v>
      </c>
      <c r="H230">
        <v>0.81</v>
      </c>
    </row>
    <row r="231" spans="1:8" x14ac:dyDescent="0.25">
      <c r="A231">
        <v>200004906</v>
      </c>
      <c r="B231" t="s">
        <v>1624</v>
      </c>
      <c r="C231" s="2">
        <v>43801</v>
      </c>
      <c r="D231" t="s">
        <v>1523</v>
      </c>
      <c r="E231">
        <v>50.98</v>
      </c>
      <c r="F231">
        <v>2</v>
      </c>
      <c r="G231">
        <v>3</v>
      </c>
      <c r="H231">
        <v>0</v>
      </c>
    </row>
    <row r="232" spans="1:8" x14ac:dyDescent="0.25">
      <c r="A232">
        <v>200000162</v>
      </c>
      <c r="B232" t="s">
        <v>1236</v>
      </c>
      <c r="C232" s="2">
        <v>45280</v>
      </c>
      <c r="D232" t="s">
        <v>1196</v>
      </c>
      <c r="E232">
        <v>0.8</v>
      </c>
      <c r="F232">
        <v>5075</v>
      </c>
      <c r="G232">
        <v>9532</v>
      </c>
      <c r="H232">
        <v>26.11</v>
      </c>
    </row>
    <row r="233" spans="1:8" x14ac:dyDescent="0.25">
      <c r="A233">
        <v>200000164</v>
      </c>
      <c r="B233" t="s">
        <v>1237</v>
      </c>
      <c r="C233" s="2">
        <v>45280</v>
      </c>
      <c r="D233" t="s">
        <v>1196</v>
      </c>
      <c r="E233">
        <v>0.8</v>
      </c>
      <c r="F233">
        <v>497</v>
      </c>
      <c r="G233">
        <v>1162</v>
      </c>
      <c r="H233">
        <v>3.18</v>
      </c>
    </row>
    <row r="234" spans="1:8" x14ac:dyDescent="0.25">
      <c r="A234">
        <v>200000166</v>
      </c>
      <c r="B234" t="s">
        <v>1238</v>
      </c>
      <c r="C234" s="2">
        <v>45280</v>
      </c>
      <c r="D234" t="s">
        <v>1196</v>
      </c>
      <c r="E234">
        <v>1.4</v>
      </c>
      <c r="F234">
        <v>1009</v>
      </c>
      <c r="G234">
        <v>1846</v>
      </c>
      <c r="H234">
        <v>5.05</v>
      </c>
    </row>
    <row r="235" spans="1:8" x14ac:dyDescent="0.25">
      <c r="A235">
        <v>200000168</v>
      </c>
      <c r="B235" t="s">
        <v>1239</v>
      </c>
      <c r="C235" s="2">
        <v>45280</v>
      </c>
      <c r="D235" t="s">
        <v>1196</v>
      </c>
      <c r="E235">
        <v>2.4</v>
      </c>
      <c r="F235">
        <v>120</v>
      </c>
      <c r="G235">
        <v>243</v>
      </c>
      <c r="H235">
        <v>0.66</v>
      </c>
    </row>
    <row r="236" spans="1:8" x14ac:dyDescent="0.25">
      <c r="A236">
        <v>200002359</v>
      </c>
      <c r="B236" t="s">
        <v>201</v>
      </c>
      <c r="C236" s="2">
        <v>44907</v>
      </c>
      <c r="D236" t="s">
        <v>1229</v>
      </c>
      <c r="E236">
        <v>114.79</v>
      </c>
      <c r="F236">
        <v>25</v>
      </c>
      <c r="G236">
        <v>5</v>
      </c>
      <c r="H236">
        <v>0.01</v>
      </c>
    </row>
    <row r="237" spans="1:8" x14ac:dyDescent="0.25">
      <c r="A237">
        <v>200002122</v>
      </c>
      <c r="B237" t="s">
        <v>202</v>
      </c>
      <c r="C237" s="2">
        <v>44034</v>
      </c>
      <c r="D237" t="s">
        <v>1163</v>
      </c>
      <c r="E237">
        <v>12.15</v>
      </c>
      <c r="F237">
        <v>307</v>
      </c>
      <c r="G237">
        <v>32</v>
      </c>
      <c r="H237">
        <v>0.08</v>
      </c>
    </row>
    <row r="238" spans="1:8" x14ac:dyDescent="0.25">
      <c r="A238">
        <v>200004434</v>
      </c>
      <c r="B238" t="s">
        <v>207</v>
      </c>
      <c r="C238" s="2">
        <v>45049</v>
      </c>
      <c r="D238" t="s">
        <v>1625</v>
      </c>
      <c r="E238">
        <v>8.0399999999999991</v>
      </c>
      <c r="F238">
        <v>601</v>
      </c>
      <c r="G238">
        <v>95</v>
      </c>
      <c r="H238">
        <v>0.26</v>
      </c>
    </row>
    <row r="239" spans="1:8" x14ac:dyDescent="0.25">
      <c r="A239">
        <v>200002878</v>
      </c>
      <c r="B239" t="s">
        <v>1626</v>
      </c>
      <c r="C239" s="2">
        <v>42283</v>
      </c>
      <c r="D239" t="s">
        <v>1556</v>
      </c>
      <c r="E239">
        <v>0.93</v>
      </c>
      <c r="F239">
        <v>0</v>
      </c>
      <c r="G239">
        <v>89</v>
      </c>
      <c r="H239">
        <v>0.24</v>
      </c>
    </row>
    <row r="240" spans="1:8" x14ac:dyDescent="0.25">
      <c r="A240">
        <v>200005980</v>
      </c>
      <c r="B240" t="s">
        <v>208</v>
      </c>
      <c r="C240" s="2">
        <v>44686</v>
      </c>
      <c r="D240" t="s">
        <v>1199</v>
      </c>
      <c r="E240">
        <v>23.5</v>
      </c>
      <c r="F240">
        <v>307</v>
      </c>
      <c r="G240">
        <v>15</v>
      </c>
      <c r="H240">
        <v>0.04</v>
      </c>
    </row>
    <row r="241" spans="1:8" x14ac:dyDescent="0.25">
      <c r="A241">
        <v>200006080</v>
      </c>
      <c r="B241" t="s">
        <v>1627</v>
      </c>
      <c r="C241" s="2">
        <v>44980</v>
      </c>
      <c r="D241" t="s">
        <v>1167</v>
      </c>
      <c r="E241">
        <v>14.25</v>
      </c>
      <c r="F241">
        <v>26</v>
      </c>
      <c r="G241">
        <v>41</v>
      </c>
      <c r="H241">
        <v>0.11</v>
      </c>
    </row>
    <row r="242" spans="1:8" x14ac:dyDescent="0.25">
      <c r="A242">
        <v>200001928</v>
      </c>
      <c r="B242" t="s">
        <v>210</v>
      </c>
      <c r="C242" s="2">
        <v>42635</v>
      </c>
      <c r="D242" t="s">
        <v>1400</v>
      </c>
      <c r="E242">
        <v>1.65</v>
      </c>
      <c r="F242">
        <v>16</v>
      </c>
      <c r="G242">
        <v>3</v>
      </c>
      <c r="H242">
        <v>0</v>
      </c>
    </row>
    <row r="243" spans="1:8" x14ac:dyDescent="0.25">
      <c r="A243">
        <v>200003626</v>
      </c>
      <c r="B243" t="s">
        <v>1628</v>
      </c>
      <c r="C243" s="2">
        <v>42635</v>
      </c>
      <c r="D243" t="s">
        <v>1400</v>
      </c>
      <c r="E243">
        <v>6.11</v>
      </c>
      <c r="F243">
        <v>0</v>
      </c>
      <c r="G243">
        <v>4</v>
      </c>
      <c r="H243">
        <v>0.01</v>
      </c>
    </row>
    <row r="244" spans="1:8" x14ac:dyDescent="0.25">
      <c r="A244">
        <v>200000176</v>
      </c>
      <c r="B244" t="s">
        <v>1629</v>
      </c>
      <c r="C244" s="2">
        <v>42635</v>
      </c>
      <c r="D244" t="s">
        <v>1400</v>
      </c>
      <c r="E244">
        <v>0.8</v>
      </c>
      <c r="F244">
        <v>48</v>
      </c>
      <c r="G244">
        <v>5</v>
      </c>
      <c r="H244">
        <v>0.01</v>
      </c>
    </row>
    <row r="245" spans="1:8" x14ac:dyDescent="0.25">
      <c r="A245">
        <v>200001934</v>
      </c>
      <c r="B245" t="s">
        <v>218</v>
      </c>
      <c r="C245" s="2">
        <v>44055</v>
      </c>
      <c r="D245" t="s">
        <v>1338</v>
      </c>
      <c r="E245">
        <v>1.5</v>
      </c>
      <c r="F245">
        <v>7</v>
      </c>
      <c r="G245">
        <v>2</v>
      </c>
      <c r="H245">
        <v>0</v>
      </c>
    </row>
    <row r="246" spans="1:8" x14ac:dyDescent="0.25">
      <c r="A246">
        <v>200001935</v>
      </c>
      <c r="B246" t="s">
        <v>219</v>
      </c>
      <c r="C246" s="2">
        <v>42635</v>
      </c>
      <c r="D246" t="s">
        <v>1400</v>
      </c>
      <c r="E246">
        <v>1.97</v>
      </c>
      <c r="F246">
        <v>0</v>
      </c>
      <c r="G246">
        <v>1</v>
      </c>
      <c r="H246">
        <v>0</v>
      </c>
    </row>
    <row r="247" spans="1:8" x14ac:dyDescent="0.25">
      <c r="A247">
        <v>200003597</v>
      </c>
      <c r="B247" t="s">
        <v>221</v>
      </c>
      <c r="C247" s="2">
        <v>42635</v>
      </c>
      <c r="D247" t="s">
        <v>1400</v>
      </c>
      <c r="E247">
        <v>5.0599999999999996</v>
      </c>
      <c r="F247">
        <v>6</v>
      </c>
      <c r="G247">
        <v>2</v>
      </c>
      <c r="H247">
        <v>0</v>
      </c>
    </row>
    <row r="248" spans="1:8" x14ac:dyDescent="0.25">
      <c r="A248">
        <v>200001931</v>
      </c>
      <c r="B248" t="s">
        <v>223</v>
      </c>
      <c r="C248" s="2">
        <v>43867</v>
      </c>
      <c r="D248" t="s">
        <v>1630</v>
      </c>
      <c r="E248">
        <v>4.79</v>
      </c>
      <c r="F248">
        <v>0</v>
      </c>
      <c r="G248">
        <v>4</v>
      </c>
      <c r="H248">
        <v>0.01</v>
      </c>
    </row>
    <row r="249" spans="1:8" x14ac:dyDescent="0.25">
      <c r="A249">
        <v>200001930</v>
      </c>
      <c r="B249" t="s">
        <v>225</v>
      </c>
      <c r="C249" s="2">
        <v>44531</v>
      </c>
      <c r="D249" t="s">
        <v>1200</v>
      </c>
      <c r="E249">
        <v>9.9600000000000009</v>
      </c>
      <c r="F249">
        <v>2</v>
      </c>
      <c r="G249">
        <v>1</v>
      </c>
      <c r="H249">
        <v>0</v>
      </c>
    </row>
    <row r="250" spans="1:8" x14ac:dyDescent="0.25">
      <c r="A250">
        <v>200001929</v>
      </c>
      <c r="B250" t="s">
        <v>226</v>
      </c>
      <c r="C250" s="2">
        <v>41620</v>
      </c>
      <c r="D250" t="s">
        <v>1631</v>
      </c>
      <c r="E250">
        <v>1.1599999999999999</v>
      </c>
      <c r="F250">
        <v>9</v>
      </c>
      <c r="G250">
        <v>30</v>
      </c>
      <c r="H250">
        <v>0.08</v>
      </c>
    </row>
    <row r="251" spans="1:8" x14ac:dyDescent="0.25">
      <c r="A251">
        <v>200001350</v>
      </c>
      <c r="B251" t="s">
        <v>227</v>
      </c>
      <c r="C251" s="2">
        <v>41306</v>
      </c>
      <c r="D251" t="s">
        <v>1356</v>
      </c>
      <c r="E251">
        <v>2.2000000000000002</v>
      </c>
      <c r="F251">
        <v>12</v>
      </c>
      <c r="G251">
        <v>16</v>
      </c>
      <c r="H251">
        <v>0.04</v>
      </c>
    </row>
    <row r="252" spans="1:8" x14ac:dyDescent="0.25">
      <c r="A252">
        <v>200000177</v>
      </c>
      <c r="B252" t="s">
        <v>1240</v>
      </c>
      <c r="C252" s="2">
        <v>45188</v>
      </c>
      <c r="D252" t="s">
        <v>1632</v>
      </c>
      <c r="E252">
        <v>1</v>
      </c>
      <c r="F252">
        <v>14886</v>
      </c>
      <c r="G252">
        <v>32458</v>
      </c>
      <c r="H252">
        <v>88.92</v>
      </c>
    </row>
    <row r="253" spans="1:8" x14ac:dyDescent="0.25">
      <c r="A253">
        <v>200006361</v>
      </c>
      <c r="B253" t="s">
        <v>1633</v>
      </c>
      <c r="C253" s="2">
        <v>45166</v>
      </c>
      <c r="D253" t="s">
        <v>1634</v>
      </c>
      <c r="E253">
        <v>95.37</v>
      </c>
      <c r="F253">
        <v>4</v>
      </c>
      <c r="G253">
        <v>18</v>
      </c>
      <c r="H253">
        <v>0.04</v>
      </c>
    </row>
    <row r="254" spans="1:8" x14ac:dyDescent="0.25">
      <c r="A254">
        <v>200006359</v>
      </c>
      <c r="B254" t="s">
        <v>1635</v>
      </c>
      <c r="C254" s="2">
        <v>45166</v>
      </c>
      <c r="D254" t="s">
        <v>1634</v>
      </c>
      <c r="E254">
        <v>250</v>
      </c>
      <c r="F254">
        <v>11</v>
      </c>
      <c r="G254">
        <v>56</v>
      </c>
      <c r="H254">
        <v>0.15</v>
      </c>
    </row>
    <row r="255" spans="1:8" x14ac:dyDescent="0.25">
      <c r="A255">
        <v>200006360</v>
      </c>
      <c r="B255" t="s">
        <v>1636</v>
      </c>
      <c r="C255" s="2">
        <v>45166</v>
      </c>
      <c r="D255" t="s">
        <v>1634</v>
      </c>
      <c r="E255">
        <v>343.75</v>
      </c>
      <c r="F255">
        <v>6</v>
      </c>
      <c r="G255">
        <v>26</v>
      </c>
      <c r="H255">
        <v>7.0000000000000007E-2</v>
      </c>
    </row>
    <row r="256" spans="1:8" x14ac:dyDescent="0.25">
      <c r="A256">
        <v>200005771</v>
      </c>
      <c r="B256" t="s">
        <v>1637</v>
      </c>
      <c r="C256" s="2">
        <v>44851</v>
      </c>
      <c r="D256" t="s">
        <v>1180</v>
      </c>
      <c r="E256">
        <v>35</v>
      </c>
      <c r="F256">
        <v>25</v>
      </c>
      <c r="G256">
        <v>20</v>
      </c>
      <c r="H256">
        <v>0.05</v>
      </c>
    </row>
    <row r="257" spans="1:8" x14ac:dyDescent="0.25">
      <c r="A257">
        <v>200004501</v>
      </c>
      <c r="B257" t="s">
        <v>1638</v>
      </c>
      <c r="C257" s="2">
        <v>44851</v>
      </c>
      <c r="D257" t="s">
        <v>1180</v>
      </c>
      <c r="E257">
        <v>29</v>
      </c>
      <c r="F257">
        <v>18</v>
      </c>
      <c r="G257">
        <v>2</v>
      </c>
      <c r="H257">
        <v>0</v>
      </c>
    </row>
    <row r="258" spans="1:8" x14ac:dyDescent="0.25">
      <c r="A258">
        <v>200004504</v>
      </c>
      <c r="B258" t="s">
        <v>1639</v>
      </c>
      <c r="C258" s="2">
        <v>44851</v>
      </c>
      <c r="D258" t="s">
        <v>1180</v>
      </c>
      <c r="E258">
        <v>38.18</v>
      </c>
      <c r="F258">
        <v>50</v>
      </c>
      <c r="G258">
        <v>11</v>
      </c>
      <c r="H258">
        <v>0.03</v>
      </c>
    </row>
    <row r="259" spans="1:8" x14ac:dyDescent="0.25">
      <c r="A259">
        <v>200004505</v>
      </c>
      <c r="B259" t="s">
        <v>1640</v>
      </c>
      <c r="C259" s="2">
        <v>44851</v>
      </c>
      <c r="D259" t="s">
        <v>1180</v>
      </c>
      <c r="E259">
        <v>38.18</v>
      </c>
      <c r="F259">
        <v>32</v>
      </c>
      <c r="G259">
        <v>11</v>
      </c>
      <c r="H259">
        <v>0.03</v>
      </c>
    </row>
    <row r="260" spans="1:8" x14ac:dyDescent="0.25">
      <c r="A260">
        <v>200004901</v>
      </c>
      <c r="B260" t="s">
        <v>1641</v>
      </c>
      <c r="C260" s="2">
        <v>45253</v>
      </c>
      <c r="D260" t="s">
        <v>1545</v>
      </c>
      <c r="E260">
        <v>34.86</v>
      </c>
      <c r="F260">
        <v>0</v>
      </c>
      <c r="G260">
        <v>3</v>
      </c>
      <c r="H260">
        <v>0</v>
      </c>
    </row>
    <row r="261" spans="1:8" x14ac:dyDescent="0.25">
      <c r="A261">
        <v>200002374</v>
      </c>
      <c r="B261" t="s">
        <v>1642</v>
      </c>
      <c r="C261" s="2">
        <v>45191</v>
      </c>
      <c r="D261" t="s">
        <v>1545</v>
      </c>
      <c r="E261">
        <v>31.96</v>
      </c>
      <c r="F261">
        <v>0</v>
      </c>
      <c r="G261">
        <v>24</v>
      </c>
      <c r="H261">
        <v>0.06</v>
      </c>
    </row>
    <row r="262" spans="1:8" x14ac:dyDescent="0.25">
      <c r="A262">
        <v>200002375</v>
      </c>
      <c r="B262" t="s">
        <v>1643</v>
      </c>
      <c r="C262" s="2">
        <v>45253</v>
      </c>
      <c r="D262" t="s">
        <v>1545</v>
      </c>
      <c r="E262">
        <v>34.86</v>
      </c>
      <c r="F262">
        <v>0</v>
      </c>
      <c r="G262">
        <v>5</v>
      </c>
      <c r="H262">
        <v>0.01</v>
      </c>
    </row>
    <row r="263" spans="1:8" x14ac:dyDescent="0.25">
      <c r="A263">
        <v>200002373</v>
      </c>
      <c r="B263" t="s">
        <v>1644</v>
      </c>
      <c r="C263" s="2">
        <v>45253</v>
      </c>
      <c r="D263" t="s">
        <v>1545</v>
      </c>
      <c r="E263">
        <v>20.92</v>
      </c>
      <c r="F263">
        <v>0</v>
      </c>
      <c r="G263">
        <v>74</v>
      </c>
      <c r="H263">
        <v>0.2</v>
      </c>
    </row>
    <row r="264" spans="1:8" x14ac:dyDescent="0.25">
      <c r="A264">
        <v>200002379</v>
      </c>
      <c r="B264" t="s">
        <v>1645</v>
      </c>
      <c r="C264" s="2">
        <v>45253</v>
      </c>
      <c r="D264" t="s">
        <v>1545</v>
      </c>
      <c r="E264">
        <v>35.22</v>
      </c>
      <c r="F264">
        <v>0</v>
      </c>
      <c r="G264">
        <v>44</v>
      </c>
      <c r="H264">
        <v>0.12</v>
      </c>
    </row>
    <row r="265" spans="1:8" x14ac:dyDescent="0.25">
      <c r="A265">
        <v>200004859</v>
      </c>
      <c r="B265" t="s">
        <v>1646</v>
      </c>
      <c r="C265" s="2">
        <v>45082</v>
      </c>
      <c r="D265" t="s">
        <v>1545</v>
      </c>
      <c r="E265">
        <v>9.3000000000000007</v>
      </c>
      <c r="F265">
        <v>0</v>
      </c>
      <c r="G265">
        <v>54</v>
      </c>
      <c r="H265">
        <v>0.14000000000000001</v>
      </c>
    </row>
    <row r="266" spans="1:8" x14ac:dyDescent="0.25">
      <c r="A266">
        <v>200002369</v>
      </c>
      <c r="B266" t="s">
        <v>1647</v>
      </c>
      <c r="C266" s="2">
        <v>45253</v>
      </c>
      <c r="D266" t="s">
        <v>1545</v>
      </c>
      <c r="E266">
        <v>9.3000000000000007</v>
      </c>
      <c r="F266">
        <v>0</v>
      </c>
      <c r="G266">
        <v>43</v>
      </c>
      <c r="H266">
        <v>0.11</v>
      </c>
    </row>
    <row r="267" spans="1:8" x14ac:dyDescent="0.25">
      <c r="A267">
        <v>200004492</v>
      </c>
      <c r="B267" t="s">
        <v>1648</v>
      </c>
      <c r="C267" s="2">
        <v>45121</v>
      </c>
      <c r="D267" t="s">
        <v>1513</v>
      </c>
      <c r="E267">
        <v>115</v>
      </c>
      <c r="F267">
        <v>0</v>
      </c>
      <c r="G267">
        <v>1</v>
      </c>
      <c r="H267">
        <v>0</v>
      </c>
    </row>
    <row r="268" spans="1:8" x14ac:dyDescent="0.25">
      <c r="A268">
        <v>200003730</v>
      </c>
      <c r="B268" t="s">
        <v>1649</v>
      </c>
      <c r="C268" s="2">
        <v>44876</v>
      </c>
      <c r="D268" t="s">
        <v>1247</v>
      </c>
      <c r="E268">
        <v>110.04</v>
      </c>
      <c r="F268">
        <v>21</v>
      </c>
      <c r="G268">
        <v>8</v>
      </c>
      <c r="H268">
        <v>0.02</v>
      </c>
    </row>
    <row r="269" spans="1:8" x14ac:dyDescent="0.25">
      <c r="A269">
        <v>200005120</v>
      </c>
      <c r="B269" t="s">
        <v>1650</v>
      </c>
      <c r="C269" s="2">
        <v>45056</v>
      </c>
      <c r="D269" t="s">
        <v>1456</v>
      </c>
      <c r="E269">
        <v>5.67</v>
      </c>
      <c r="F269">
        <v>0</v>
      </c>
      <c r="G269">
        <v>150</v>
      </c>
      <c r="H269">
        <v>0.41</v>
      </c>
    </row>
    <row r="270" spans="1:8" x14ac:dyDescent="0.25">
      <c r="A270">
        <v>200003436</v>
      </c>
      <c r="B270" t="s">
        <v>1651</v>
      </c>
      <c r="C270" s="2">
        <v>45056</v>
      </c>
      <c r="D270" t="s">
        <v>1456</v>
      </c>
      <c r="E270">
        <v>14.9</v>
      </c>
      <c r="F270">
        <v>0</v>
      </c>
      <c r="G270">
        <v>50</v>
      </c>
      <c r="H270">
        <v>0.13</v>
      </c>
    </row>
    <row r="271" spans="1:8" x14ac:dyDescent="0.25">
      <c r="A271">
        <v>200005159</v>
      </c>
      <c r="B271" t="s">
        <v>1652</v>
      </c>
      <c r="C271" s="2">
        <v>45254</v>
      </c>
      <c r="D271" t="s">
        <v>1653</v>
      </c>
      <c r="E271">
        <v>1.65</v>
      </c>
      <c r="F271">
        <v>0</v>
      </c>
      <c r="G271">
        <v>9000</v>
      </c>
      <c r="H271">
        <v>24.65</v>
      </c>
    </row>
    <row r="272" spans="1:8" x14ac:dyDescent="0.25">
      <c r="A272">
        <v>200002418</v>
      </c>
      <c r="B272" t="s">
        <v>1654</v>
      </c>
      <c r="C272" s="2">
        <v>45156</v>
      </c>
      <c r="D272" t="s">
        <v>1655</v>
      </c>
      <c r="E272">
        <v>148</v>
      </c>
      <c r="F272">
        <v>0</v>
      </c>
      <c r="G272">
        <v>640</v>
      </c>
      <c r="H272">
        <v>1.75</v>
      </c>
    </row>
    <row r="273" spans="1:8" x14ac:dyDescent="0.25">
      <c r="A273">
        <v>200000199</v>
      </c>
      <c r="B273" t="s">
        <v>1656</v>
      </c>
      <c r="C273" s="2">
        <v>44539</v>
      </c>
      <c r="D273" t="s">
        <v>1657</v>
      </c>
      <c r="E273">
        <v>50.29</v>
      </c>
      <c r="F273">
        <v>63</v>
      </c>
      <c r="G273">
        <v>2</v>
      </c>
      <c r="H273">
        <v>0</v>
      </c>
    </row>
    <row r="274" spans="1:8" x14ac:dyDescent="0.25">
      <c r="A274">
        <v>200000200</v>
      </c>
      <c r="B274" t="s">
        <v>1658</v>
      </c>
      <c r="C274" s="2">
        <v>44539</v>
      </c>
      <c r="D274" t="s">
        <v>1657</v>
      </c>
      <c r="E274">
        <v>30</v>
      </c>
      <c r="F274">
        <v>73</v>
      </c>
      <c r="G274">
        <v>1</v>
      </c>
      <c r="H274">
        <v>0</v>
      </c>
    </row>
    <row r="275" spans="1:8" x14ac:dyDescent="0.25">
      <c r="A275">
        <v>200003050</v>
      </c>
      <c r="B275" t="s">
        <v>1244</v>
      </c>
      <c r="C275" s="2">
        <v>43986</v>
      </c>
      <c r="D275" t="s">
        <v>1245</v>
      </c>
      <c r="E275">
        <v>163.5</v>
      </c>
      <c r="F275">
        <v>148</v>
      </c>
      <c r="G275">
        <v>11</v>
      </c>
      <c r="H275">
        <v>0.03</v>
      </c>
    </row>
    <row r="276" spans="1:8" x14ac:dyDescent="0.25">
      <c r="A276">
        <v>200003734</v>
      </c>
      <c r="B276" t="s">
        <v>1659</v>
      </c>
      <c r="C276" s="2">
        <v>45247</v>
      </c>
      <c r="D276" t="s">
        <v>1632</v>
      </c>
      <c r="E276">
        <v>137.52000000000001</v>
      </c>
      <c r="F276">
        <v>0</v>
      </c>
      <c r="G276">
        <v>35</v>
      </c>
      <c r="H276">
        <v>0.09</v>
      </c>
    </row>
    <row r="277" spans="1:8" x14ac:dyDescent="0.25">
      <c r="A277">
        <v>200006349</v>
      </c>
      <c r="B277" t="s">
        <v>1660</v>
      </c>
      <c r="C277" s="2">
        <v>45127</v>
      </c>
      <c r="D277" t="s">
        <v>1632</v>
      </c>
      <c r="E277">
        <v>222.15</v>
      </c>
      <c r="F277">
        <v>0</v>
      </c>
      <c r="G277">
        <v>4</v>
      </c>
      <c r="H277">
        <v>0.01</v>
      </c>
    </row>
    <row r="278" spans="1:8" x14ac:dyDescent="0.25">
      <c r="A278">
        <v>200001016</v>
      </c>
      <c r="B278" t="s">
        <v>229</v>
      </c>
      <c r="C278" s="2">
        <v>41306</v>
      </c>
      <c r="D278" t="s">
        <v>1356</v>
      </c>
      <c r="E278">
        <v>41.43</v>
      </c>
      <c r="F278">
        <v>20</v>
      </c>
      <c r="G278">
        <v>1</v>
      </c>
      <c r="H278">
        <v>0</v>
      </c>
    </row>
    <row r="279" spans="1:8" x14ac:dyDescent="0.25">
      <c r="A279">
        <v>200002562</v>
      </c>
      <c r="B279" t="s">
        <v>1661</v>
      </c>
      <c r="C279" s="2">
        <v>42130</v>
      </c>
      <c r="D279" t="s">
        <v>1229</v>
      </c>
      <c r="E279">
        <v>0.93</v>
      </c>
      <c r="F279">
        <v>44</v>
      </c>
      <c r="G279">
        <v>15</v>
      </c>
      <c r="H279">
        <v>0.04</v>
      </c>
    </row>
    <row r="280" spans="1:8" x14ac:dyDescent="0.25">
      <c r="A280">
        <v>200000204</v>
      </c>
      <c r="B280" t="s">
        <v>1246</v>
      </c>
      <c r="C280" s="2">
        <v>44882</v>
      </c>
      <c r="D280" t="s">
        <v>1247</v>
      </c>
      <c r="E280">
        <v>0.72</v>
      </c>
      <c r="F280">
        <v>598</v>
      </c>
      <c r="G280">
        <v>1198</v>
      </c>
      <c r="H280">
        <v>3.28</v>
      </c>
    </row>
    <row r="281" spans="1:8" x14ac:dyDescent="0.25">
      <c r="A281">
        <v>200000205</v>
      </c>
      <c r="B281" t="s">
        <v>1248</v>
      </c>
      <c r="C281" s="2">
        <v>45266</v>
      </c>
      <c r="D281" t="s">
        <v>1247</v>
      </c>
      <c r="E281">
        <v>5.94</v>
      </c>
      <c r="F281">
        <v>347</v>
      </c>
      <c r="G281">
        <v>804</v>
      </c>
      <c r="H281">
        <v>2.2000000000000002</v>
      </c>
    </row>
    <row r="282" spans="1:8" x14ac:dyDescent="0.25">
      <c r="A282">
        <v>200002316</v>
      </c>
      <c r="B282" t="s">
        <v>1662</v>
      </c>
      <c r="C282" s="2">
        <v>45097</v>
      </c>
      <c r="D282" t="s">
        <v>1663</v>
      </c>
      <c r="E282">
        <v>75</v>
      </c>
      <c r="F282">
        <v>52</v>
      </c>
      <c r="G282">
        <v>54</v>
      </c>
      <c r="H282">
        <v>0.14000000000000001</v>
      </c>
    </row>
    <row r="283" spans="1:8" x14ac:dyDescent="0.25">
      <c r="A283">
        <v>200004805</v>
      </c>
      <c r="B283" t="s">
        <v>1664</v>
      </c>
      <c r="C283" s="2">
        <v>44995</v>
      </c>
      <c r="D283" t="s">
        <v>1663</v>
      </c>
      <c r="E283">
        <v>109.1</v>
      </c>
      <c r="F283">
        <v>11</v>
      </c>
      <c r="G283">
        <v>13</v>
      </c>
      <c r="H283">
        <v>0.03</v>
      </c>
    </row>
    <row r="284" spans="1:8" x14ac:dyDescent="0.25">
      <c r="A284">
        <v>200002300</v>
      </c>
      <c r="B284" t="s">
        <v>1665</v>
      </c>
      <c r="C284" s="2">
        <v>45271</v>
      </c>
      <c r="D284" t="s">
        <v>1247</v>
      </c>
      <c r="E284">
        <v>77.08</v>
      </c>
      <c r="F284">
        <v>117</v>
      </c>
      <c r="G284">
        <v>241</v>
      </c>
      <c r="H284">
        <v>0.66</v>
      </c>
    </row>
    <row r="285" spans="1:8" x14ac:dyDescent="0.25">
      <c r="A285">
        <v>200002315</v>
      </c>
      <c r="B285" t="s">
        <v>1249</v>
      </c>
      <c r="C285" s="2">
        <v>44473</v>
      </c>
      <c r="D285" t="s">
        <v>1250</v>
      </c>
      <c r="E285">
        <v>12.55</v>
      </c>
      <c r="F285">
        <v>238</v>
      </c>
      <c r="G285">
        <v>87</v>
      </c>
      <c r="H285">
        <v>0.23</v>
      </c>
    </row>
    <row r="286" spans="1:8" x14ac:dyDescent="0.25">
      <c r="A286">
        <v>200006182</v>
      </c>
      <c r="B286" t="s">
        <v>233</v>
      </c>
      <c r="C286" s="2">
        <v>44882</v>
      </c>
      <c r="D286" t="s">
        <v>1666</v>
      </c>
      <c r="E286">
        <v>250</v>
      </c>
      <c r="F286">
        <v>3</v>
      </c>
      <c r="G286">
        <v>7</v>
      </c>
      <c r="H286">
        <v>0.01</v>
      </c>
    </row>
    <row r="287" spans="1:8" x14ac:dyDescent="0.25">
      <c r="A287">
        <v>200006181</v>
      </c>
      <c r="B287" t="s">
        <v>1667</v>
      </c>
      <c r="C287" s="2">
        <v>44882</v>
      </c>
      <c r="D287" t="s">
        <v>1666</v>
      </c>
      <c r="E287">
        <v>390</v>
      </c>
      <c r="F287">
        <v>6</v>
      </c>
      <c r="G287">
        <v>6</v>
      </c>
      <c r="H287">
        <v>0.01</v>
      </c>
    </row>
    <row r="288" spans="1:8" x14ac:dyDescent="0.25">
      <c r="A288">
        <v>200006180</v>
      </c>
      <c r="B288" t="s">
        <v>1668</v>
      </c>
      <c r="C288" s="2">
        <v>44882</v>
      </c>
      <c r="D288" t="s">
        <v>1666</v>
      </c>
      <c r="E288">
        <v>475</v>
      </c>
      <c r="F288">
        <v>9</v>
      </c>
      <c r="G288">
        <v>3</v>
      </c>
      <c r="H288">
        <v>0</v>
      </c>
    </row>
    <row r="289" spans="1:8" x14ac:dyDescent="0.25">
      <c r="A289">
        <v>200003788</v>
      </c>
      <c r="B289" t="s">
        <v>1669</v>
      </c>
      <c r="C289" s="2">
        <v>44795</v>
      </c>
      <c r="D289" t="s">
        <v>1670</v>
      </c>
      <c r="E289">
        <v>18.760000000000002</v>
      </c>
      <c r="F289">
        <v>167</v>
      </c>
      <c r="G289">
        <v>163</v>
      </c>
      <c r="H289">
        <v>0.44</v>
      </c>
    </row>
    <row r="290" spans="1:8" x14ac:dyDescent="0.25">
      <c r="A290">
        <v>200002125</v>
      </c>
      <c r="B290" t="s">
        <v>240</v>
      </c>
      <c r="C290" s="2">
        <v>44896</v>
      </c>
      <c r="D290" t="s">
        <v>1509</v>
      </c>
      <c r="E290">
        <v>267.87</v>
      </c>
      <c r="F290">
        <v>0</v>
      </c>
      <c r="G290">
        <v>23</v>
      </c>
      <c r="H290">
        <v>0.06</v>
      </c>
    </row>
    <row r="291" spans="1:8" x14ac:dyDescent="0.25">
      <c r="A291">
        <v>200005723</v>
      </c>
      <c r="B291" t="s">
        <v>242</v>
      </c>
      <c r="C291" s="2">
        <v>44929</v>
      </c>
      <c r="D291" t="s">
        <v>1671</v>
      </c>
      <c r="E291">
        <v>189.6</v>
      </c>
      <c r="F291">
        <v>0</v>
      </c>
      <c r="G291">
        <v>62</v>
      </c>
      <c r="H291">
        <v>0.16</v>
      </c>
    </row>
    <row r="292" spans="1:8" x14ac:dyDescent="0.25">
      <c r="A292">
        <v>200006053</v>
      </c>
      <c r="B292" t="s">
        <v>243</v>
      </c>
      <c r="C292" s="2">
        <v>44896</v>
      </c>
      <c r="D292" t="s">
        <v>1509</v>
      </c>
      <c r="E292">
        <v>213.93</v>
      </c>
      <c r="F292">
        <v>1</v>
      </c>
      <c r="G292">
        <v>32</v>
      </c>
      <c r="H292">
        <v>0.08</v>
      </c>
    </row>
    <row r="293" spans="1:8" x14ac:dyDescent="0.25">
      <c r="A293">
        <v>200006055</v>
      </c>
      <c r="B293" t="s">
        <v>244</v>
      </c>
      <c r="C293" s="2">
        <v>44658</v>
      </c>
      <c r="D293" t="s">
        <v>1302</v>
      </c>
      <c r="E293">
        <v>300</v>
      </c>
      <c r="F293">
        <v>13</v>
      </c>
      <c r="G293">
        <v>12</v>
      </c>
      <c r="H293">
        <v>0.03</v>
      </c>
    </row>
    <row r="294" spans="1:8" x14ac:dyDescent="0.25">
      <c r="A294">
        <v>200006056</v>
      </c>
      <c r="B294" t="s">
        <v>245</v>
      </c>
      <c r="C294" s="2">
        <v>44658</v>
      </c>
      <c r="D294" t="s">
        <v>1302</v>
      </c>
      <c r="E294">
        <v>419.38</v>
      </c>
      <c r="F294">
        <v>30</v>
      </c>
      <c r="G294">
        <v>63</v>
      </c>
      <c r="H294">
        <v>0.17</v>
      </c>
    </row>
    <row r="295" spans="1:8" x14ac:dyDescent="0.25">
      <c r="A295">
        <v>200004628</v>
      </c>
      <c r="B295" t="s">
        <v>250</v>
      </c>
      <c r="C295" s="2">
        <v>44463</v>
      </c>
      <c r="D295" t="s">
        <v>1601</v>
      </c>
      <c r="E295">
        <v>265.68</v>
      </c>
      <c r="F295">
        <v>0</v>
      </c>
      <c r="G295">
        <v>1</v>
      </c>
      <c r="H295">
        <v>0</v>
      </c>
    </row>
    <row r="296" spans="1:8" x14ac:dyDescent="0.25">
      <c r="A296">
        <v>200004686</v>
      </c>
      <c r="B296" t="s">
        <v>1251</v>
      </c>
      <c r="C296" s="2">
        <v>44018</v>
      </c>
      <c r="D296" t="s">
        <v>1229</v>
      </c>
      <c r="E296">
        <v>274.89999999999998</v>
      </c>
      <c r="F296">
        <v>35</v>
      </c>
      <c r="G296">
        <v>8</v>
      </c>
      <c r="H296">
        <v>0.02</v>
      </c>
    </row>
    <row r="297" spans="1:8" x14ac:dyDescent="0.25">
      <c r="A297">
        <v>200006059</v>
      </c>
      <c r="B297" t="s">
        <v>251</v>
      </c>
      <c r="C297" s="2">
        <v>44658</v>
      </c>
      <c r="D297" t="s">
        <v>1302</v>
      </c>
      <c r="E297">
        <v>185.29</v>
      </c>
      <c r="F297">
        <v>0</v>
      </c>
      <c r="G297">
        <v>2</v>
      </c>
      <c r="H297">
        <v>0</v>
      </c>
    </row>
    <row r="298" spans="1:8" x14ac:dyDescent="0.25">
      <c r="A298">
        <v>200004335</v>
      </c>
      <c r="B298" t="s">
        <v>1672</v>
      </c>
      <c r="C298" s="2">
        <v>44379</v>
      </c>
      <c r="D298" t="s">
        <v>1180</v>
      </c>
      <c r="E298">
        <v>0.49</v>
      </c>
      <c r="F298">
        <v>0</v>
      </c>
      <c r="G298">
        <v>97</v>
      </c>
      <c r="H298">
        <v>0.26</v>
      </c>
    </row>
    <row r="299" spans="1:8" x14ac:dyDescent="0.25">
      <c r="A299">
        <v>200003375</v>
      </c>
      <c r="B299" t="s">
        <v>1673</v>
      </c>
      <c r="C299" s="2">
        <v>42076</v>
      </c>
      <c r="D299" t="s">
        <v>1674</v>
      </c>
      <c r="E299">
        <v>2</v>
      </c>
      <c r="F299">
        <v>0</v>
      </c>
      <c r="G299">
        <v>4</v>
      </c>
      <c r="H299">
        <v>0.01</v>
      </c>
    </row>
    <row r="300" spans="1:8" x14ac:dyDescent="0.25">
      <c r="A300">
        <v>200003752</v>
      </c>
      <c r="B300" t="s">
        <v>1252</v>
      </c>
      <c r="C300" s="2">
        <v>44571</v>
      </c>
      <c r="D300" t="s">
        <v>1205</v>
      </c>
      <c r="E300">
        <v>60</v>
      </c>
      <c r="F300">
        <v>12</v>
      </c>
      <c r="G300">
        <v>26</v>
      </c>
      <c r="H300">
        <v>7.0000000000000007E-2</v>
      </c>
    </row>
    <row r="301" spans="1:8" x14ac:dyDescent="0.25">
      <c r="A301">
        <v>200002529</v>
      </c>
      <c r="B301" t="s">
        <v>1253</v>
      </c>
      <c r="C301" s="2">
        <v>43986</v>
      </c>
      <c r="D301" t="s">
        <v>1245</v>
      </c>
      <c r="E301">
        <v>245.07</v>
      </c>
      <c r="F301">
        <v>126</v>
      </c>
      <c r="G301">
        <v>9</v>
      </c>
      <c r="H301">
        <v>0.02</v>
      </c>
    </row>
    <row r="302" spans="1:8" x14ac:dyDescent="0.25">
      <c r="A302">
        <v>200002107</v>
      </c>
      <c r="B302" t="s">
        <v>285</v>
      </c>
      <c r="C302" s="2">
        <v>45139</v>
      </c>
      <c r="D302" t="s">
        <v>1457</v>
      </c>
      <c r="E302">
        <v>19.02</v>
      </c>
      <c r="F302">
        <v>90</v>
      </c>
      <c r="G302">
        <v>212</v>
      </c>
      <c r="H302">
        <v>0.57999999999999996</v>
      </c>
    </row>
    <row r="303" spans="1:8" x14ac:dyDescent="0.25">
      <c r="A303">
        <v>200000216</v>
      </c>
      <c r="B303" t="s">
        <v>1254</v>
      </c>
      <c r="C303" s="2">
        <v>45280</v>
      </c>
      <c r="D303" t="s">
        <v>1196</v>
      </c>
      <c r="E303">
        <v>4.5999999999999996</v>
      </c>
      <c r="F303">
        <v>739</v>
      </c>
      <c r="G303">
        <v>1477</v>
      </c>
      <c r="H303">
        <v>4.04</v>
      </c>
    </row>
    <row r="304" spans="1:8" x14ac:dyDescent="0.25">
      <c r="A304">
        <v>200000217</v>
      </c>
      <c r="B304" t="s">
        <v>1255</v>
      </c>
      <c r="C304" s="2">
        <v>45280</v>
      </c>
      <c r="D304" t="s">
        <v>1196</v>
      </c>
      <c r="E304">
        <v>5.6</v>
      </c>
      <c r="F304">
        <v>179</v>
      </c>
      <c r="G304">
        <v>481</v>
      </c>
      <c r="H304">
        <v>1.31</v>
      </c>
    </row>
    <row r="305" spans="1:8" x14ac:dyDescent="0.25">
      <c r="A305">
        <v>200000202</v>
      </c>
      <c r="B305" t="s">
        <v>287</v>
      </c>
      <c r="C305" s="2">
        <v>44658</v>
      </c>
      <c r="D305" t="s">
        <v>1302</v>
      </c>
      <c r="E305">
        <v>26.3</v>
      </c>
      <c r="F305">
        <v>7</v>
      </c>
      <c r="G305">
        <v>26</v>
      </c>
      <c r="H305">
        <v>7.0000000000000007E-2</v>
      </c>
    </row>
    <row r="306" spans="1:8" x14ac:dyDescent="0.25">
      <c r="A306">
        <v>200005528</v>
      </c>
      <c r="B306" t="s">
        <v>1675</v>
      </c>
      <c r="C306" s="2">
        <v>45126</v>
      </c>
      <c r="D306" t="s">
        <v>1459</v>
      </c>
      <c r="E306">
        <v>19.899999999999999</v>
      </c>
      <c r="F306">
        <v>6</v>
      </c>
      <c r="G306">
        <v>9</v>
      </c>
      <c r="H306">
        <v>0.02</v>
      </c>
    </row>
    <row r="307" spans="1:8" x14ac:dyDescent="0.25">
      <c r="A307">
        <v>200002109</v>
      </c>
      <c r="B307" t="s">
        <v>289</v>
      </c>
      <c r="C307" s="2">
        <v>44972</v>
      </c>
      <c r="D307" t="s">
        <v>1478</v>
      </c>
      <c r="E307">
        <v>9.8800000000000008</v>
      </c>
      <c r="F307">
        <v>39</v>
      </c>
      <c r="G307">
        <v>19</v>
      </c>
      <c r="H307">
        <v>0.05</v>
      </c>
    </row>
    <row r="308" spans="1:8" x14ac:dyDescent="0.25">
      <c r="A308">
        <v>200000220</v>
      </c>
      <c r="B308" t="s">
        <v>1256</v>
      </c>
      <c r="C308" s="2">
        <v>45280</v>
      </c>
      <c r="D308" t="s">
        <v>1196</v>
      </c>
      <c r="E308">
        <v>2.2000000000000002</v>
      </c>
      <c r="F308">
        <v>428</v>
      </c>
      <c r="G308">
        <v>860</v>
      </c>
      <c r="H308">
        <v>2.35</v>
      </c>
    </row>
    <row r="309" spans="1:8" x14ac:dyDescent="0.25">
      <c r="A309">
        <v>200003171</v>
      </c>
      <c r="B309" t="s">
        <v>1676</v>
      </c>
      <c r="C309" s="2">
        <v>44720</v>
      </c>
      <c r="D309" t="s">
        <v>1180</v>
      </c>
      <c r="E309">
        <v>18.05</v>
      </c>
      <c r="F309">
        <v>9</v>
      </c>
      <c r="G309">
        <v>3</v>
      </c>
      <c r="H309">
        <v>0</v>
      </c>
    </row>
    <row r="310" spans="1:8" x14ac:dyDescent="0.25">
      <c r="A310">
        <v>200006217</v>
      </c>
      <c r="B310" t="s">
        <v>1677</v>
      </c>
      <c r="C310" s="2">
        <v>44937</v>
      </c>
      <c r="D310" t="s">
        <v>1477</v>
      </c>
      <c r="E310">
        <v>789.99</v>
      </c>
      <c r="F310">
        <v>0</v>
      </c>
      <c r="G310">
        <v>10</v>
      </c>
      <c r="H310">
        <v>0.02</v>
      </c>
    </row>
    <row r="311" spans="1:8" x14ac:dyDescent="0.25">
      <c r="A311">
        <v>200004643</v>
      </c>
      <c r="B311" t="s">
        <v>1678</v>
      </c>
      <c r="C311" s="2">
        <v>45170</v>
      </c>
      <c r="D311" t="s">
        <v>1679</v>
      </c>
      <c r="E311">
        <v>358.69</v>
      </c>
      <c r="F311">
        <v>0</v>
      </c>
      <c r="G311">
        <v>46</v>
      </c>
      <c r="H311">
        <v>0.12</v>
      </c>
    </row>
    <row r="312" spans="1:8" x14ac:dyDescent="0.25">
      <c r="A312">
        <v>200006462</v>
      </c>
      <c r="B312" t="s">
        <v>1680</v>
      </c>
      <c r="C312" s="2">
        <v>45264</v>
      </c>
      <c r="D312" t="s">
        <v>1681</v>
      </c>
      <c r="E312">
        <v>18.18</v>
      </c>
      <c r="F312">
        <v>0</v>
      </c>
      <c r="G312">
        <v>5</v>
      </c>
      <c r="H312">
        <v>0.01</v>
      </c>
    </row>
    <row r="313" spans="1:8" x14ac:dyDescent="0.25">
      <c r="A313">
        <v>200006461</v>
      </c>
      <c r="B313" t="s">
        <v>1682</v>
      </c>
      <c r="C313" s="2">
        <v>45264</v>
      </c>
      <c r="D313" t="s">
        <v>1681</v>
      </c>
      <c r="E313">
        <v>18.18</v>
      </c>
      <c r="F313">
        <v>0</v>
      </c>
      <c r="G313">
        <v>20</v>
      </c>
      <c r="H313">
        <v>0.05</v>
      </c>
    </row>
    <row r="314" spans="1:8" x14ac:dyDescent="0.25">
      <c r="A314">
        <v>200006460</v>
      </c>
      <c r="B314" t="s">
        <v>1683</v>
      </c>
      <c r="C314" s="2">
        <v>45264</v>
      </c>
      <c r="D314" t="s">
        <v>1681</v>
      </c>
      <c r="E314">
        <v>18.18</v>
      </c>
      <c r="F314">
        <v>0</v>
      </c>
      <c r="G314">
        <v>15</v>
      </c>
      <c r="H314">
        <v>0.04</v>
      </c>
    </row>
    <row r="315" spans="1:8" x14ac:dyDescent="0.25">
      <c r="A315">
        <v>200006435</v>
      </c>
      <c r="B315" t="s">
        <v>1684</v>
      </c>
      <c r="C315" s="2">
        <v>45264</v>
      </c>
      <c r="D315" t="s">
        <v>1681</v>
      </c>
      <c r="E315">
        <v>18.18</v>
      </c>
      <c r="F315">
        <v>0</v>
      </c>
      <c r="G315">
        <v>5</v>
      </c>
      <c r="H315">
        <v>0.01</v>
      </c>
    </row>
    <row r="316" spans="1:8" x14ac:dyDescent="0.25">
      <c r="A316">
        <v>200006434</v>
      </c>
      <c r="B316" t="s">
        <v>1685</v>
      </c>
      <c r="C316" s="2">
        <v>45264</v>
      </c>
      <c r="D316" t="s">
        <v>1681</v>
      </c>
      <c r="E316">
        <v>18.18</v>
      </c>
      <c r="F316">
        <v>0</v>
      </c>
      <c r="G316">
        <v>20</v>
      </c>
      <c r="H316">
        <v>0.05</v>
      </c>
    </row>
    <row r="317" spans="1:8" x14ac:dyDescent="0.25">
      <c r="A317">
        <v>200006433</v>
      </c>
      <c r="B317" t="s">
        <v>1686</v>
      </c>
      <c r="C317" s="2">
        <v>45264</v>
      </c>
      <c r="D317" t="s">
        <v>1681</v>
      </c>
      <c r="E317">
        <v>18.18</v>
      </c>
      <c r="F317">
        <v>0</v>
      </c>
      <c r="G317">
        <v>15</v>
      </c>
      <c r="H317">
        <v>0.04</v>
      </c>
    </row>
    <row r="318" spans="1:8" x14ac:dyDescent="0.25">
      <c r="A318">
        <v>200006453</v>
      </c>
      <c r="B318" t="s">
        <v>1687</v>
      </c>
      <c r="C318" s="2">
        <v>45264</v>
      </c>
      <c r="D318" t="s">
        <v>1681</v>
      </c>
      <c r="E318">
        <v>18.18</v>
      </c>
      <c r="F318">
        <v>0</v>
      </c>
      <c r="G318">
        <v>5</v>
      </c>
      <c r="H318">
        <v>0.01</v>
      </c>
    </row>
    <row r="319" spans="1:8" x14ac:dyDescent="0.25">
      <c r="A319">
        <v>200006452</v>
      </c>
      <c r="B319" t="s">
        <v>1688</v>
      </c>
      <c r="C319" s="2">
        <v>45264</v>
      </c>
      <c r="D319" t="s">
        <v>1681</v>
      </c>
      <c r="E319">
        <v>18.18</v>
      </c>
      <c r="F319">
        <v>0</v>
      </c>
      <c r="G319">
        <v>20</v>
      </c>
      <c r="H319">
        <v>0.05</v>
      </c>
    </row>
    <row r="320" spans="1:8" x14ac:dyDescent="0.25">
      <c r="A320">
        <v>200006451</v>
      </c>
      <c r="B320" t="s">
        <v>1689</v>
      </c>
      <c r="C320" s="2">
        <v>45264</v>
      </c>
      <c r="D320" t="s">
        <v>1681</v>
      </c>
      <c r="E320">
        <v>18.18</v>
      </c>
      <c r="F320">
        <v>0</v>
      </c>
      <c r="G320">
        <v>15</v>
      </c>
      <c r="H320">
        <v>0.04</v>
      </c>
    </row>
    <row r="321" spans="1:8" x14ac:dyDescent="0.25">
      <c r="A321">
        <v>200006432</v>
      </c>
      <c r="B321" t="s">
        <v>1690</v>
      </c>
      <c r="C321" s="2">
        <v>45264</v>
      </c>
      <c r="D321" t="s">
        <v>1681</v>
      </c>
      <c r="E321">
        <v>18.18</v>
      </c>
      <c r="F321">
        <v>0</v>
      </c>
      <c r="G321">
        <v>5</v>
      </c>
      <c r="H321">
        <v>0.01</v>
      </c>
    </row>
    <row r="322" spans="1:8" x14ac:dyDescent="0.25">
      <c r="A322">
        <v>200006431</v>
      </c>
      <c r="B322" t="s">
        <v>1691</v>
      </c>
      <c r="C322" s="2">
        <v>45264</v>
      </c>
      <c r="D322" t="s">
        <v>1681</v>
      </c>
      <c r="E322">
        <v>18.18</v>
      </c>
      <c r="F322">
        <v>0</v>
      </c>
      <c r="G322">
        <v>20</v>
      </c>
      <c r="H322">
        <v>0.05</v>
      </c>
    </row>
    <row r="323" spans="1:8" x14ac:dyDescent="0.25">
      <c r="A323">
        <v>200006430</v>
      </c>
      <c r="B323" t="s">
        <v>1692</v>
      </c>
      <c r="C323" s="2">
        <v>45264</v>
      </c>
      <c r="D323" t="s">
        <v>1681</v>
      </c>
      <c r="E323">
        <v>18.18</v>
      </c>
      <c r="F323">
        <v>0</v>
      </c>
      <c r="G323">
        <v>15</v>
      </c>
      <c r="H323">
        <v>0.04</v>
      </c>
    </row>
    <row r="324" spans="1:8" x14ac:dyDescent="0.25">
      <c r="A324">
        <v>200006444</v>
      </c>
      <c r="B324" t="s">
        <v>1693</v>
      </c>
      <c r="C324" s="2">
        <v>45264</v>
      </c>
      <c r="D324" t="s">
        <v>1681</v>
      </c>
      <c r="E324">
        <v>18.18</v>
      </c>
      <c r="F324">
        <v>0</v>
      </c>
      <c r="G324">
        <v>5</v>
      </c>
      <c r="H324">
        <v>0.01</v>
      </c>
    </row>
    <row r="325" spans="1:8" x14ac:dyDescent="0.25">
      <c r="A325">
        <v>200006443</v>
      </c>
      <c r="B325" t="s">
        <v>1694</v>
      </c>
      <c r="C325" s="2">
        <v>45264</v>
      </c>
      <c r="D325" t="s">
        <v>1681</v>
      </c>
      <c r="E325">
        <v>18.18</v>
      </c>
      <c r="F325">
        <v>0</v>
      </c>
      <c r="G325">
        <v>20</v>
      </c>
      <c r="H325">
        <v>0.05</v>
      </c>
    </row>
    <row r="326" spans="1:8" x14ac:dyDescent="0.25">
      <c r="A326">
        <v>200006442</v>
      </c>
      <c r="B326" t="s">
        <v>1695</v>
      </c>
      <c r="C326" s="2">
        <v>45264</v>
      </c>
      <c r="D326" t="s">
        <v>1681</v>
      </c>
      <c r="E326">
        <v>18.18</v>
      </c>
      <c r="F326">
        <v>0</v>
      </c>
      <c r="G326">
        <v>15</v>
      </c>
      <c r="H326">
        <v>0.04</v>
      </c>
    </row>
    <row r="327" spans="1:8" x14ac:dyDescent="0.25">
      <c r="A327">
        <v>200006465</v>
      </c>
      <c r="B327" t="s">
        <v>1696</v>
      </c>
      <c r="C327" s="2">
        <v>45264</v>
      </c>
      <c r="D327" t="s">
        <v>1681</v>
      </c>
      <c r="E327">
        <v>18.18</v>
      </c>
      <c r="F327">
        <v>0</v>
      </c>
      <c r="G327">
        <v>5</v>
      </c>
      <c r="H327">
        <v>0.01</v>
      </c>
    </row>
    <row r="328" spans="1:8" x14ac:dyDescent="0.25">
      <c r="A328">
        <v>200006464</v>
      </c>
      <c r="B328" t="s">
        <v>1697</v>
      </c>
      <c r="C328" s="2">
        <v>45264</v>
      </c>
      <c r="D328" t="s">
        <v>1681</v>
      </c>
      <c r="E328">
        <v>18.18</v>
      </c>
      <c r="F328">
        <v>0</v>
      </c>
      <c r="G328">
        <v>20</v>
      </c>
      <c r="H328">
        <v>0.05</v>
      </c>
    </row>
    <row r="329" spans="1:8" x14ac:dyDescent="0.25">
      <c r="A329">
        <v>200006463</v>
      </c>
      <c r="B329" t="s">
        <v>1698</v>
      </c>
      <c r="C329" s="2">
        <v>45264</v>
      </c>
      <c r="D329" t="s">
        <v>1681</v>
      </c>
      <c r="E329">
        <v>18.18</v>
      </c>
      <c r="F329">
        <v>0</v>
      </c>
      <c r="G329">
        <v>15</v>
      </c>
      <c r="H329">
        <v>0.04</v>
      </c>
    </row>
    <row r="330" spans="1:8" x14ac:dyDescent="0.25">
      <c r="A330">
        <v>200006447</v>
      </c>
      <c r="B330" t="s">
        <v>1699</v>
      </c>
      <c r="C330" s="2">
        <v>45264</v>
      </c>
      <c r="D330" t="s">
        <v>1681</v>
      </c>
      <c r="E330">
        <v>18.18</v>
      </c>
      <c r="F330">
        <v>0</v>
      </c>
      <c r="G330">
        <v>5</v>
      </c>
      <c r="H330">
        <v>0.01</v>
      </c>
    </row>
    <row r="331" spans="1:8" x14ac:dyDescent="0.25">
      <c r="A331">
        <v>200006446</v>
      </c>
      <c r="B331" t="s">
        <v>1700</v>
      </c>
      <c r="C331" s="2">
        <v>45264</v>
      </c>
      <c r="D331" t="s">
        <v>1681</v>
      </c>
      <c r="E331">
        <v>18.18</v>
      </c>
      <c r="F331">
        <v>0</v>
      </c>
      <c r="G331">
        <v>20</v>
      </c>
      <c r="H331">
        <v>0.05</v>
      </c>
    </row>
    <row r="332" spans="1:8" x14ac:dyDescent="0.25">
      <c r="A332">
        <v>200006445</v>
      </c>
      <c r="B332" t="s">
        <v>1701</v>
      </c>
      <c r="C332" s="2">
        <v>45264</v>
      </c>
      <c r="D332" t="s">
        <v>1681</v>
      </c>
      <c r="E332">
        <v>18.18</v>
      </c>
      <c r="F332">
        <v>0</v>
      </c>
      <c r="G332">
        <v>15</v>
      </c>
      <c r="H332">
        <v>0.04</v>
      </c>
    </row>
    <row r="333" spans="1:8" x14ac:dyDescent="0.25">
      <c r="A333">
        <v>200006438</v>
      </c>
      <c r="B333" t="s">
        <v>1702</v>
      </c>
      <c r="C333" s="2">
        <v>45264</v>
      </c>
      <c r="D333" t="s">
        <v>1681</v>
      </c>
      <c r="E333">
        <v>18.18</v>
      </c>
      <c r="F333">
        <v>0</v>
      </c>
      <c r="G333">
        <v>5</v>
      </c>
      <c r="H333">
        <v>0.01</v>
      </c>
    </row>
    <row r="334" spans="1:8" x14ac:dyDescent="0.25">
      <c r="A334">
        <v>200006437</v>
      </c>
      <c r="B334" t="s">
        <v>1703</v>
      </c>
      <c r="C334" s="2">
        <v>45264</v>
      </c>
      <c r="D334" t="s">
        <v>1681</v>
      </c>
      <c r="E334">
        <v>18.18</v>
      </c>
      <c r="F334">
        <v>0</v>
      </c>
      <c r="G334">
        <v>20</v>
      </c>
      <c r="H334">
        <v>0.05</v>
      </c>
    </row>
    <row r="335" spans="1:8" x14ac:dyDescent="0.25">
      <c r="A335">
        <v>200006436</v>
      </c>
      <c r="B335" t="s">
        <v>1704</v>
      </c>
      <c r="C335" s="2">
        <v>45264</v>
      </c>
      <c r="D335" t="s">
        <v>1681</v>
      </c>
      <c r="E335">
        <v>18.18</v>
      </c>
      <c r="F335">
        <v>0</v>
      </c>
      <c r="G335">
        <v>15</v>
      </c>
      <c r="H335">
        <v>0.04</v>
      </c>
    </row>
    <row r="336" spans="1:8" x14ac:dyDescent="0.25">
      <c r="A336">
        <v>200006468</v>
      </c>
      <c r="B336" t="s">
        <v>1705</v>
      </c>
      <c r="C336" s="2">
        <v>45264</v>
      </c>
      <c r="D336" t="s">
        <v>1681</v>
      </c>
      <c r="E336">
        <v>18.18</v>
      </c>
      <c r="F336">
        <v>0</v>
      </c>
      <c r="G336">
        <v>5</v>
      </c>
      <c r="H336">
        <v>0.01</v>
      </c>
    </row>
    <row r="337" spans="1:8" x14ac:dyDescent="0.25">
      <c r="A337">
        <v>200006467</v>
      </c>
      <c r="B337" t="s">
        <v>1706</v>
      </c>
      <c r="C337" s="2">
        <v>45264</v>
      </c>
      <c r="D337" t="s">
        <v>1681</v>
      </c>
      <c r="E337">
        <v>18.18</v>
      </c>
      <c r="F337">
        <v>0</v>
      </c>
      <c r="G337">
        <v>20</v>
      </c>
      <c r="H337">
        <v>0.05</v>
      </c>
    </row>
    <row r="338" spans="1:8" x14ac:dyDescent="0.25">
      <c r="A338">
        <v>200006466</v>
      </c>
      <c r="B338" t="s">
        <v>1707</v>
      </c>
      <c r="C338" s="2">
        <v>45264</v>
      </c>
      <c r="D338" t="s">
        <v>1681</v>
      </c>
      <c r="E338">
        <v>18.18</v>
      </c>
      <c r="F338">
        <v>0</v>
      </c>
      <c r="G338">
        <v>15</v>
      </c>
      <c r="H338">
        <v>0.04</v>
      </c>
    </row>
    <row r="339" spans="1:8" x14ac:dyDescent="0.25">
      <c r="A339">
        <v>200006470</v>
      </c>
      <c r="B339" t="s">
        <v>1708</v>
      </c>
      <c r="C339" s="2">
        <v>45264</v>
      </c>
      <c r="D339" t="s">
        <v>1681</v>
      </c>
      <c r="E339">
        <v>18.18</v>
      </c>
      <c r="F339">
        <v>0</v>
      </c>
      <c r="G339">
        <v>10</v>
      </c>
      <c r="H339">
        <v>0.02</v>
      </c>
    </row>
    <row r="340" spans="1:8" x14ac:dyDescent="0.25">
      <c r="A340">
        <v>200006469</v>
      </c>
      <c r="B340" t="s">
        <v>1709</v>
      </c>
      <c r="C340" s="2">
        <v>45264</v>
      </c>
      <c r="D340" t="s">
        <v>1681</v>
      </c>
      <c r="E340">
        <v>18.18</v>
      </c>
      <c r="F340">
        <v>0</v>
      </c>
      <c r="G340">
        <v>20</v>
      </c>
      <c r="H340">
        <v>0.05</v>
      </c>
    </row>
    <row r="341" spans="1:8" x14ac:dyDescent="0.25">
      <c r="A341">
        <v>200006456</v>
      </c>
      <c r="B341" t="s">
        <v>1710</v>
      </c>
      <c r="C341" s="2">
        <v>45264</v>
      </c>
      <c r="D341" t="s">
        <v>1681</v>
      </c>
      <c r="E341">
        <v>18.18</v>
      </c>
      <c r="F341">
        <v>0</v>
      </c>
      <c r="G341">
        <v>5</v>
      </c>
      <c r="H341">
        <v>0.01</v>
      </c>
    </row>
    <row r="342" spans="1:8" x14ac:dyDescent="0.25">
      <c r="A342">
        <v>200006455</v>
      </c>
      <c r="B342" t="s">
        <v>1711</v>
      </c>
      <c r="C342" s="2">
        <v>45264</v>
      </c>
      <c r="D342" t="s">
        <v>1681</v>
      </c>
      <c r="E342">
        <v>18.18</v>
      </c>
      <c r="F342">
        <v>0</v>
      </c>
      <c r="G342">
        <v>20</v>
      </c>
      <c r="H342">
        <v>0.05</v>
      </c>
    </row>
    <row r="343" spans="1:8" x14ac:dyDescent="0.25">
      <c r="A343">
        <v>200006454</v>
      </c>
      <c r="B343" t="s">
        <v>1712</v>
      </c>
      <c r="C343" s="2">
        <v>45264</v>
      </c>
      <c r="D343" t="s">
        <v>1681</v>
      </c>
      <c r="E343">
        <v>18.18</v>
      </c>
      <c r="F343">
        <v>0</v>
      </c>
      <c r="G343">
        <v>15</v>
      </c>
      <c r="H343">
        <v>0.04</v>
      </c>
    </row>
    <row r="344" spans="1:8" x14ac:dyDescent="0.25">
      <c r="A344">
        <v>200006450</v>
      </c>
      <c r="B344" t="s">
        <v>1713</v>
      </c>
      <c r="C344" s="2">
        <v>45264</v>
      </c>
      <c r="D344" t="s">
        <v>1681</v>
      </c>
      <c r="E344">
        <v>18.18</v>
      </c>
      <c r="F344">
        <v>0</v>
      </c>
      <c r="G344">
        <v>5</v>
      </c>
      <c r="H344">
        <v>0.01</v>
      </c>
    </row>
    <row r="345" spans="1:8" x14ac:dyDescent="0.25">
      <c r="A345">
        <v>200006449</v>
      </c>
      <c r="B345" t="s">
        <v>1714</v>
      </c>
      <c r="C345" s="2">
        <v>45264</v>
      </c>
      <c r="D345" t="s">
        <v>1681</v>
      </c>
      <c r="E345">
        <v>18.18</v>
      </c>
      <c r="F345">
        <v>0</v>
      </c>
      <c r="G345">
        <v>20</v>
      </c>
      <c r="H345">
        <v>0.05</v>
      </c>
    </row>
    <row r="346" spans="1:8" x14ac:dyDescent="0.25">
      <c r="A346">
        <v>200006448</v>
      </c>
      <c r="B346" t="s">
        <v>1715</v>
      </c>
      <c r="C346" s="2">
        <v>45264</v>
      </c>
      <c r="D346" t="s">
        <v>1681</v>
      </c>
      <c r="E346">
        <v>18.18</v>
      </c>
      <c r="F346">
        <v>0</v>
      </c>
      <c r="G346">
        <v>15</v>
      </c>
      <c r="H346">
        <v>0.04</v>
      </c>
    </row>
    <row r="347" spans="1:8" x14ac:dyDescent="0.25">
      <c r="A347">
        <v>200006459</v>
      </c>
      <c r="B347" t="s">
        <v>1716</v>
      </c>
      <c r="C347" s="2">
        <v>45264</v>
      </c>
      <c r="D347" t="s">
        <v>1681</v>
      </c>
      <c r="E347">
        <v>18.18</v>
      </c>
      <c r="F347">
        <v>0</v>
      </c>
      <c r="G347">
        <v>5</v>
      </c>
      <c r="H347">
        <v>0.01</v>
      </c>
    </row>
    <row r="348" spans="1:8" x14ac:dyDescent="0.25">
      <c r="A348">
        <v>200006458</v>
      </c>
      <c r="B348" t="s">
        <v>1717</v>
      </c>
      <c r="C348" s="2">
        <v>45264</v>
      </c>
      <c r="D348" t="s">
        <v>1681</v>
      </c>
      <c r="E348">
        <v>18.18</v>
      </c>
      <c r="F348">
        <v>0</v>
      </c>
      <c r="G348">
        <v>20</v>
      </c>
      <c r="H348">
        <v>0.05</v>
      </c>
    </row>
    <row r="349" spans="1:8" x14ac:dyDescent="0.25">
      <c r="A349">
        <v>200006457</v>
      </c>
      <c r="B349" t="s">
        <v>1718</v>
      </c>
      <c r="C349" s="2">
        <v>45264</v>
      </c>
      <c r="D349" t="s">
        <v>1681</v>
      </c>
      <c r="E349">
        <v>18.18</v>
      </c>
      <c r="F349">
        <v>0</v>
      </c>
      <c r="G349">
        <v>15</v>
      </c>
      <c r="H349">
        <v>0.04</v>
      </c>
    </row>
    <row r="350" spans="1:8" x14ac:dyDescent="0.25">
      <c r="A350">
        <v>200006441</v>
      </c>
      <c r="B350" t="s">
        <v>1719</v>
      </c>
      <c r="C350" s="2">
        <v>45264</v>
      </c>
      <c r="D350" t="s">
        <v>1681</v>
      </c>
      <c r="E350">
        <v>18.18</v>
      </c>
      <c r="F350">
        <v>0</v>
      </c>
      <c r="G350">
        <v>5</v>
      </c>
      <c r="H350">
        <v>0.01</v>
      </c>
    </row>
    <row r="351" spans="1:8" x14ac:dyDescent="0.25">
      <c r="A351">
        <v>200006440</v>
      </c>
      <c r="B351" t="s">
        <v>1720</v>
      </c>
      <c r="C351" s="2">
        <v>45264</v>
      </c>
      <c r="D351" t="s">
        <v>1681</v>
      </c>
      <c r="E351">
        <v>18.18</v>
      </c>
      <c r="F351">
        <v>0</v>
      </c>
      <c r="G351">
        <v>20</v>
      </c>
      <c r="H351">
        <v>0.05</v>
      </c>
    </row>
    <row r="352" spans="1:8" x14ac:dyDescent="0.25">
      <c r="A352">
        <v>200006439</v>
      </c>
      <c r="B352" t="s">
        <v>1721</v>
      </c>
      <c r="C352" s="2">
        <v>45264</v>
      </c>
      <c r="D352" t="s">
        <v>1681</v>
      </c>
      <c r="E352">
        <v>18.18</v>
      </c>
      <c r="F352">
        <v>0</v>
      </c>
      <c r="G352">
        <v>15</v>
      </c>
      <c r="H352">
        <v>0.04</v>
      </c>
    </row>
    <row r="353" spans="1:8" x14ac:dyDescent="0.25">
      <c r="A353">
        <v>200001448</v>
      </c>
      <c r="B353" t="s">
        <v>1722</v>
      </c>
      <c r="C353" s="2">
        <v>44405</v>
      </c>
      <c r="D353" t="s">
        <v>1329</v>
      </c>
      <c r="E353">
        <v>335.96</v>
      </c>
      <c r="F353">
        <v>20</v>
      </c>
      <c r="G353">
        <v>4</v>
      </c>
      <c r="H353">
        <v>0.01</v>
      </c>
    </row>
    <row r="354" spans="1:8" x14ac:dyDescent="0.25">
      <c r="A354">
        <v>200006266</v>
      </c>
      <c r="B354" t="s">
        <v>1723</v>
      </c>
      <c r="C354" s="2">
        <v>45098</v>
      </c>
      <c r="D354" t="s">
        <v>1724</v>
      </c>
      <c r="E354">
        <v>837</v>
      </c>
      <c r="F354">
        <v>6</v>
      </c>
      <c r="G354">
        <v>14</v>
      </c>
      <c r="H354">
        <v>0.03</v>
      </c>
    </row>
    <row r="355" spans="1:8" x14ac:dyDescent="0.25">
      <c r="A355">
        <v>200006267</v>
      </c>
      <c r="B355" t="s">
        <v>1725</v>
      </c>
      <c r="C355" s="2">
        <v>45098</v>
      </c>
      <c r="D355" t="s">
        <v>1724</v>
      </c>
      <c r="E355">
        <v>896.22</v>
      </c>
      <c r="F355">
        <v>0</v>
      </c>
      <c r="G355">
        <v>6</v>
      </c>
      <c r="H355">
        <v>0.01</v>
      </c>
    </row>
    <row r="356" spans="1:8" x14ac:dyDescent="0.25">
      <c r="A356">
        <v>200006268</v>
      </c>
      <c r="B356" t="s">
        <v>1726</v>
      </c>
      <c r="C356" s="2">
        <v>45020</v>
      </c>
      <c r="D356" t="s">
        <v>1724</v>
      </c>
      <c r="E356">
        <v>1310.3</v>
      </c>
      <c r="F356">
        <v>0</v>
      </c>
      <c r="G356">
        <v>10</v>
      </c>
      <c r="H356">
        <v>0.02</v>
      </c>
    </row>
    <row r="357" spans="1:8" x14ac:dyDescent="0.25">
      <c r="A357">
        <v>200001451</v>
      </c>
      <c r="B357" t="s">
        <v>1727</v>
      </c>
      <c r="C357" s="2">
        <v>43172</v>
      </c>
      <c r="D357" t="s">
        <v>1674</v>
      </c>
      <c r="E357">
        <v>536.91999999999996</v>
      </c>
      <c r="F357">
        <v>7</v>
      </c>
      <c r="G357">
        <v>7</v>
      </c>
      <c r="H357">
        <v>0.01</v>
      </c>
    </row>
    <row r="358" spans="1:8" x14ac:dyDescent="0.25">
      <c r="A358">
        <v>200006008</v>
      </c>
      <c r="B358" t="s">
        <v>1728</v>
      </c>
      <c r="C358" s="2">
        <v>44593</v>
      </c>
      <c r="D358" t="s">
        <v>1441</v>
      </c>
      <c r="E358">
        <v>127.59</v>
      </c>
      <c r="F358">
        <v>0</v>
      </c>
      <c r="G358">
        <v>1</v>
      </c>
      <c r="H358">
        <v>0</v>
      </c>
    </row>
    <row r="359" spans="1:8" x14ac:dyDescent="0.25">
      <c r="A359">
        <v>200005483</v>
      </c>
      <c r="B359" t="s">
        <v>1729</v>
      </c>
      <c r="C359" s="2">
        <v>44593</v>
      </c>
      <c r="D359" t="s">
        <v>1441</v>
      </c>
      <c r="E359">
        <v>15.6</v>
      </c>
      <c r="F359">
        <v>116</v>
      </c>
      <c r="G359">
        <v>16</v>
      </c>
      <c r="H359">
        <v>0.04</v>
      </c>
    </row>
    <row r="360" spans="1:8" x14ac:dyDescent="0.25">
      <c r="A360">
        <v>200001688</v>
      </c>
      <c r="B360" t="s">
        <v>1730</v>
      </c>
      <c r="C360" s="2">
        <v>45019</v>
      </c>
      <c r="D360" t="s">
        <v>1247</v>
      </c>
      <c r="E360">
        <v>161.63</v>
      </c>
      <c r="F360">
        <v>42</v>
      </c>
      <c r="G360">
        <v>63</v>
      </c>
      <c r="H360">
        <v>0.17</v>
      </c>
    </row>
    <row r="361" spans="1:8" x14ac:dyDescent="0.25">
      <c r="A361">
        <v>200003339</v>
      </c>
      <c r="B361" t="s">
        <v>1731</v>
      </c>
      <c r="C361" s="2">
        <v>43872</v>
      </c>
      <c r="D361" t="s">
        <v>1221</v>
      </c>
      <c r="E361">
        <v>2</v>
      </c>
      <c r="F361">
        <v>0</v>
      </c>
      <c r="G361">
        <v>755</v>
      </c>
      <c r="H361">
        <v>2.06</v>
      </c>
    </row>
    <row r="362" spans="1:8" x14ac:dyDescent="0.25">
      <c r="A362">
        <v>200002053</v>
      </c>
      <c r="B362" t="s">
        <v>1732</v>
      </c>
      <c r="C362" s="2">
        <v>42068</v>
      </c>
      <c r="D362" t="s">
        <v>1570</v>
      </c>
      <c r="E362">
        <v>1.8</v>
      </c>
      <c r="F362">
        <v>4284</v>
      </c>
      <c r="G362">
        <v>54</v>
      </c>
      <c r="H362">
        <v>0.14000000000000001</v>
      </c>
    </row>
    <row r="363" spans="1:8" x14ac:dyDescent="0.25">
      <c r="A363">
        <v>200002639</v>
      </c>
      <c r="B363" t="s">
        <v>1733</v>
      </c>
      <c r="C363" s="2">
        <v>42068</v>
      </c>
      <c r="D363" t="s">
        <v>1570</v>
      </c>
      <c r="E363">
        <v>1.8</v>
      </c>
      <c r="F363">
        <v>5630</v>
      </c>
      <c r="G363">
        <v>15</v>
      </c>
      <c r="H363">
        <v>0.04</v>
      </c>
    </row>
    <row r="364" spans="1:8" x14ac:dyDescent="0.25">
      <c r="A364">
        <v>200002640</v>
      </c>
      <c r="B364" t="s">
        <v>1734</v>
      </c>
      <c r="C364" s="2">
        <v>42068</v>
      </c>
      <c r="D364" t="s">
        <v>1570</v>
      </c>
      <c r="E364">
        <v>1.1299999999999999</v>
      </c>
      <c r="F364">
        <v>198</v>
      </c>
      <c r="G364">
        <v>15</v>
      </c>
      <c r="H364">
        <v>0.04</v>
      </c>
    </row>
    <row r="365" spans="1:8" x14ac:dyDescent="0.25">
      <c r="A365">
        <v>200004204</v>
      </c>
      <c r="B365" t="s">
        <v>1735</v>
      </c>
      <c r="C365" s="2">
        <v>43872</v>
      </c>
      <c r="D365" t="s">
        <v>1221</v>
      </c>
      <c r="E365">
        <v>2</v>
      </c>
      <c r="F365">
        <v>0</v>
      </c>
      <c r="G365">
        <v>180</v>
      </c>
      <c r="H365">
        <v>0.49</v>
      </c>
    </row>
    <row r="366" spans="1:8" x14ac:dyDescent="0.25">
      <c r="A366">
        <v>200001849</v>
      </c>
      <c r="B366" t="s">
        <v>1736</v>
      </c>
      <c r="C366" s="2">
        <v>43536</v>
      </c>
      <c r="D366" t="s">
        <v>1596</v>
      </c>
      <c r="E366">
        <v>0.48</v>
      </c>
      <c r="F366">
        <v>486</v>
      </c>
      <c r="G366">
        <v>6</v>
      </c>
      <c r="H366">
        <v>0.01</v>
      </c>
    </row>
    <row r="367" spans="1:8" x14ac:dyDescent="0.25">
      <c r="A367">
        <v>200001848</v>
      </c>
      <c r="B367" t="s">
        <v>1737</v>
      </c>
      <c r="C367" s="2">
        <v>43536</v>
      </c>
      <c r="D367" t="s">
        <v>1596</v>
      </c>
      <c r="E367">
        <v>0.47</v>
      </c>
      <c r="F367">
        <v>856</v>
      </c>
      <c r="G367">
        <v>5</v>
      </c>
      <c r="H367">
        <v>0.01</v>
      </c>
    </row>
    <row r="368" spans="1:8" x14ac:dyDescent="0.25">
      <c r="A368">
        <v>200001561</v>
      </c>
      <c r="B368" t="s">
        <v>1738</v>
      </c>
      <c r="C368" s="2">
        <v>41731</v>
      </c>
      <c r="D368" t="s">
        <v>1405</v>
      </c>
      <c r="E368">
        <v>0.49</v>
      </c>
      <c r="F368">
        <v>6741</v>
      </c>
      <c r="G368">
        <v>271</v>
      </c>
      <c r="H368">
        <v>0.74</v>
      </c>
    </row>
    <row r="369" spans="1:8" x14ac:dyDescent="0.25">
      <c r="A369">
        <v>200001516</v>
      </c>
      <c r="B369" t="s">
        <v>1257</v>
      </c>
      <c r="C369" s="2">
        <v>44355</v>
      </c>
      <c r="D369" t="s">
        <v>1221</v>
      </c>
      <c r="E369">
        <v>32</v>
      </c>
      <c r="F369">
        <v>1598</v>
      </c>
      <c r="G369">
        <v>1137</v>
      </c>
      <c r="H369">
        <v>3.11</v>
      </c>
    </row>
    <row r="370" spans="1:8" x14ac:dyDescent="0.25">
      <c r="A370">
        <v>200003233</v>
      </c>
      <c r="B370" t="s">
        <v>1739</v>
      </c>
      <c r="C370" s="2">
        <v>43363</v>
      </c>
      <c r="D370" t="s">
        <v>1553</v>
      </c>
      <c r="E370">
        <v>18</v>
      </c>
      <c r="F370">
        <v>11</v>
      </c>
      <c r="G370">
        <v>10</v>
      </c>
      <c r="H370">
        <v>0.02</v>
      </c>
    </row>
    <row r="371" spans="1:8" x14ac:dyDescent="0.25">
      <c r="A371">
        <v>200003231</v>
      </c>
      <c r="B371" t="s">
        <v>1740</v>
      </c>
      <c r="C371" s="2">
        <v>43363</v>
      </c>
      <c r="D371" t="s">
        <v>1553</v>
      </c>
      <c r="E371">
        <v>13</v>
      </c>
      <c r="F371">
        <v>20</v>
      </c>
      <c r="G371">
        <v>2</v>
      </c>
      <c r="H371">
        <v>0</v>
      </c>
    </row>
    <row r="372" spans="1:8" x14ac:dyDescent="0.25">
      <c r="A372">
        <v>200006307</v>
      </c>
      <c r="B372" t="s">
        <v>1741</v>
      </c>
      <c r="C372" s="2">
        <v>45014</v>
      </c>
      <c r="D372" t="s">
        <v>1503</v>
      </c>
      <c r="E372">
        <v>704.33</v>
      </c>
      <c r="F372">
        <v>0</v>
      </c>
      <c r="G372">
        <v>1</v>
      </c>
      <c r="H372">
        <v>0</v>
      </c>
    </row>
    <row r="373" spans="1:8" x14ac:dyDescent="0.25">
      <c r="A373">
        <v>200006308</v>
      </c>
      <c r="B373" t="s">
        <v>1742</v>
      </c>
      <c r="C373" s="2">
        <v>45014</v>
      </c>
      <c r="D373" t="s">
        <v>1503</v>
      </c>
      <c r="E373">
        <v>704.32</v>
      </c>
      <c r="F373">
        <v>0</v>
      </c>
      <c r="G373">
        <v>5</v>
      </c>
      <c r="H373">
        <v>0.01</v>
      </c>
    </row>
    <row r="374" spans="1:8" x14ac:dyDescent="0.25">
      <c r="A374">
        <v>200004010</v>
      </c>
      <c r="B374" t="s">
        <v>299</v>
      </c>
      <c r="C374" s="2">
        <v>44686</v>
      </c>
      <c r="D374" t="s">
        <v>1199</v>
      </c>
      <c r="E374">
        <v>41</v>
      </c>
      <c r="F374">
        <v>94</v>
      </c>
      <c r="G374">
        <v>20</v>
      </c>
      <c r="H374">
        <v>0.05</v>
      </c>
    </row>
    <row r="375" spans="1:8" x14ac:dyDescent="0.25">
      <c r="A375">
        <v>200006271</v>
      </c>
      <c r="B375" t="s">
        <v>302</v>
      </c>
      <c r="C375" s="2">
        <v>45114</v>
      </c>
      <c r="D375" t="s">
        <v>1482</v>
      </c>
      <c r="E375">
        <v>206.43</v>
      </c>
      <c r="F375">
        <v>27</v>
      </c>
      <c r="G375">
        <v>2</v>
      </c>
      <c r="H375">
        <v>0</v>
      </c>
    </row>
    <row r="376" spans="1:8" x14ac:dyDescent="0.25">
      <c r="A376">
        <v>200003619</v>
      </c>
      <c r="B376" t="s">
        <v>304</v>
      </c>
      <c r="C376" s="2">
        <v>45114</v>
      </c>
      <c r="D376" t="s">
        <v>1482</v>
      </c>
      <c r="E376">
        <v>67.680000000000007</v>
      </c>
      <c r="F376">
        <v>29</v>
      </c>
      <c r="G376">
        <v>14</v>
      </c>
      <c r="H376">
        <v>0.03</v>
      </c>
    </row>
    <row r="377" spans="1:8" x14ac:dyDescent="0.25">
      <c r="A377">
        <v>200002214</v>
      </c>
      <c r="B377" t="s">
        <v>305</v>
      </c>
      <c r="C377" s="2">
        <v>45114</v>
      </c>
      <c r="D377" t="s">
        <v>1482</v>
      </c>
      <c r="E377">
        <v>16.3</v>
      </c>
      <c r="F377">
        <v>113</v>
      </c>
      <c r="G377">
        <v>32</v>
      </c>
      <c r="H377">
        <v>0.08</v>
      </c>
    </row>
    <row r="378" spans="1:8" x14ac:dyDescent="0.25">
      <c r="A378">
        <v>200002784</v>
      </c>
      <c r="B378" t="s">
        <v>1743</v>
      </c>
      <c r="C378" s="2">
        <v>41920</v>
      </c>
      <c r="D378" t="s">
        <v>1260</v>
      </c>
      <c r="E378">
        <v>90</v>
      </c>
      <c r="F378">
        <v>8</v>
      </c>
      <c r="G378">
        <v>4</v>
      </c>
      <c r="H378">
        <v>0.01</v>
      </c>
    </row>
    <row r="379" spans="1:8" x14ac:dyDescent="0.25">
      <c r="A379">
        <v>200002781</v>
      </c>
      <c r="B379" t="s">
        <v>1744</v>
      </c>
      <c r="C379" s="2">
        <v>41663</v>
      </c>
      <c r="D379" t="s">
        <v>1260</v>
      </c>
      <c r="E379">
        <v>21</v>
      </c>
      <c r="F379">
        <v>14</v>
      </c>
      <c r="G379">
        <v>1</v>
      </c>
      <c r="H379">
        <v>0</v>
      </c>
    </row>
    <row r="380" spans="1:8" x14ac:dyDescent="0.25">
      <c r="A380">
        <v>200002782</v>
      </c>
      <c r="B380" t="s">
        <v>1259</v>
      </c>
      <c r="C380" s="2">
        <v>41920</v>
      </c>
      <c r="D380" t="s">
        <v>1260</v>
      </c>
      <c r="E380">
        <v>25</v>
      </c>
      <c r="F380">
        <v>11</v>
      </c>
      <c r="G380">
        <v>6</v>
      </c>
      <c r="H380">
        <v>0.01</v>
      </c>
    </row>
    <row r="381" spans="1:8" x14ac:dyDescent="0.25">
      <c r="A381">
        <v>200000241</v>
      </c>
      <c r="B381" t="s">
        <v>307</v>
      </c>
      <c r="C381" s="2">
        <v>44907</v>
      </c>
      <c r="D381" t="s">
        <v>1229</v>
      </c>
      <c r="E381">
        <v>29.11</v>
      </c>
      <c r="F381">
        <v>41</v>
      </c>
      <c r="G381">
        <v>5</v>
      </c>
      <c r="H381">
        <v>0.01</v>
      </c>
    </row>
    <row r="382" spans="1:8" x14ac:dyDescent="0.25">
      <c r="A382">
        <v>200005724</v>
      </c>
      <c r="B382" t="s">
        <v>1745</v>
      </c>
      <c r="C382" s="2">
        <v>44988</v>
      </c>
      <c r="D382" t="s">
        <v>1572</v>
      </c>
      <c r="E382">
        <v>10965.63</v>
      </c>
      <c r="F382">
        <v>0</v>
      </c>
      <c r="G382">
        <v>2</v>
      </c>
      <c r="H382">
        <v>0</v>
      </c>
    </row>
    <row r="383" spans="1:8" x14ac:dyDescent="0.25">
      <c r="A383">
        <v>200006208</v>
      </c>
      <c r="B383" t="s">
        <v>1746</v>
      </c>
      <c r="C383" s="2">
        <v>45030</v>
      </c>
      <c r="D383" t="s">
        <v>1747</v>
      </c>
      <c r="E383">
        <v>7670</v>
      </c>
      <c r="F383">
        <v>0</v>
      </c>
      <c r="G383">
        <v>3</v>
      </c>
      <c r="H383">
        <v>0</v>
      </c>
    </row>
    <row r="384" spans="1:8" x14ac:dyDescent="0.25">
      <c r="A384">
        <v>200006207</v>
      </c>
      <c r="B384" t="s">
        <v>1748</v>
      </c>
      <c r="C384" s="2">
        <v>45030</v>
      </c>
      <c r="D384" t="s">
        <v>1747</v>
      </c>
      <c r="E384">
        <v>7900</v>
      </c>
      <c r="F384">
        <v>0</v>
      </c>
      <c r="G384">
        <v>3</v>
      </c>
      <c r="H384">
        <v>0</v>
      </c>
    </row>
    <row r="385" spans="1:8" x14ac:dyDescent="0.25">
      <c r="A385">
        <v>200002905</v>
      </c>
      <c r="B385" t="s">
        <v>1749</v>
      </c>
      <c r="C385" s="2">
        <v>45120</v>
      </c>
      <c r="D385" t="s">
        <v>1750</v>
      </c>
      <c r="E385">
        <v>82</v>
      </c>
      <c r="F385">
        <v>0</v>
      </c>
      <c r="G385">
        <v>80</v>
      </c>
      <c r="H385">
        <v>0.21</v>
      </c>
    </row>
    <row r="386" spans="1:8" x14ac:dyDescent="0.25">
      <c r="A386">
        <v>200005745</v>
      </c>
      <c r="B386" t="s">
        <v>1751</v>
      </c>
      <c r="C386" s="2">
        <v>45058</v>
      </c>
      <c r="D386" t="s">
        <v>1572</v>
      </c>
      <c r="E386">
        <v>5725.35</v>
      </c>
      <c r="F386">
        <v>0</v>
      </c>
      <c r="G386">
        <v>1</v>
      </c>
      <c r="H386">
        <v>0</v>
      </c>
    </row>
    <row r="387" spans="1:8" x14ac:dyDescent="0.25">
      <c r="A387">
        <v>200000243</v>
      </c>
      <c r="B387" t="s">
        <v>1261</v>
      </c>
      <c r="C387" s="2">
        <v>43661</v>
      </c>
      <c r="D387" t="s">
        <v>1262</v>
      </c>
      <c r="E387">
        <v>19.13</v>
      </c>
      <c r="F387">
        <v>391</v>
      </c>
      <c r="G387">
        <v>44</v>
      </c>
      <c r="H387">
        <v>0.12</v>
      </c>
    </row>
    <row r="388" spans="1:8" x14ac:dyDescent="0.25">
      <c r="A388">
        <v>200000242</v>
      </c>
      <c r="B388" t="s">
        <v>1263</v>
      </c>
      <c r="C388" s="2">
        <v>43661</v>
      </c>
      <c r="D388" t="s">
        <v>1262</v>
      </c>
      <c r="E388">
        <v>23.72</v>
      </c>
      <c r="F388">
        <v>0</v>
      </c>
      <c r="G388">
        <v>974</v>
      </c>
      <c r="H388">
        <v>2.66</v>
      </c>
    </row>
    <row r="389" spans="1:8" x14ac:dyDescent="0.25">
      <c r="A389">
        <v>200000244</v>
      </c>
      <c r="B389" t="s">
        <v>1752</v>
      </c>
      <c r="C389" s="2">
        <v>44890</v>
      </c>
      <c r="D389" t="s">
        <v>1753</v>
      </c>
      <c r="E389">
        <v>4.07</v>
      </c>
      <c r="F389">
        <v>316</v>
      </c>
      <c r="G389">
        <v>288</v>
      </c>
      <c r="H389">
        <v>0.78</v>
      </c>
    </row>
    <row r="390" spans="1:8" x14ac:dyDescent="0.25">
      <c r="A390">
        <v>200004198</v>
      </c>
      <c r="B390" t="s">
        <v>1754</v>
      </c>
      <c r="C390" s="2">
        <v>43536</v>
      </c>
      <c r="D390" t="s">
        <v>1596</v>
      </c>
      <c r="E390">
        <v>3.5</v>
      </c>
      <c r="F390">
        <v>636</v>
      </c>
      <c r="G390">
        <v>9</v>
      </c>
      <c r="H390">
        <v>0.02</v>
      </c>
    </row>
    <row r="391" spans="1:8" x14ac:dyDescent="0.25">
      <c r="A391">
        <v>200002533</v>
      </c>
      <c r="B391" t="s">
        <v>1755</v>
      </c>
      <c r="C391" s="2">
        <v>45274</v>
      </c>
      <c r="D391" t="s">
        <v>1632</v>
      </c>
      <c r="E391">
        <v>3.18</v>
      </c>
      <c r="F391">
        <v>537</v>
      </c>
      <c r="G391">
        <v>1600</v>
      </c>
      <c r="H391">
        <v>4.38</v>
      </c>
    </row>
    <row r="392" spans="1:8" x14ac:dyDescent="0.25">
      <c r="A392">
        <v>200004282</v>
      </c>
      <c r="B392" t="s">
        <v>1756</v>
      </c>
      <c r="C392" s="2">
        <v>44931</v>
      </c>
      <c r="D392" t="s">
        <v>1757</v>
      </c>
      <c r="E392">
        <v>42.05</v>
      </c>
      <c r="F392">
        <v>40</v>
      </c>
      <c r="G392">
        <v>30</v>
      </c>
      <c r="H392">
        <v>0.08</v>
      </c>
    </row>
    <row r="393" spans="1:8" x14ac:dyDescent="0.25">
      <c r="A393">
        <v>200001018</v>
      </c>
      <c r="B393" t="s">
        <v>308</v>
      </c>
      <c r="C393" s="2">
        <v>40617</v>
      </c>
      <c r="D393" t="s">
        <v>1163</v>
      </c>
      <c r="E393">
        <v>1.41</v>
      </c>
      <c r="F393">
        <v>142</v>
      </c>
      <c r="G393">
        <v>18</v>
      </c>
      <c r="H393">
        <v>0.04</v>
      </c>
    </row>
    <row r="394" spans="1:8" x14ac:dyDescent="0.25">
      <c r="A394">
        <v>200003130</v>
      </c>
      <c r="B394" t="s">
        <v>1146</v>
      </c>
      <c r="C394" s="2">
        <v>42270</v>
      </c>
      <c r="D394" t="s">
        <v>1758</v>
      </c>
      <c r="E394">
        <v>4</v>
      </c>
      <c r="F394">
        <v>124</v>
      </c>
      <c r="G394">
        <v>18</v>
      </c>
      <c r="H394">
        <v>0.04</v>
      </c>
    </row>
    <row r="395" spans="1:8" x14ac:dyDescent="0.25">
      <c r="A395">
        <v>200002556</v>
      </c>
      <c r="B395" t="s">
        <v>1759</v>
      </c>
      <c r="C395" s="2">
        <v>41883</v>
      </c>
      <c r="D395" t="s">
        <v>1760</v>
      </c>
      <c r="E395">
        <v>45.16</v>
      </c>
      <c r="F395">
        <v>160</v>
      </c>
      <c r="G395">
        <v>7</v>
      </c>
      <c r="H395">
        <v>0.01</v>
      </c>
    </row>
    <row r="396" spans="1:8" x14ac:dyDescent="0.25">
      <c r="A396">
        <v>200002555</v>
      </c>
      <c r="B396" t="s">
        <v>1761</v>
      </c>
      <c r="C396" s="2">
        <v>41883</v>
      </c>
      <c r="D396" t="s">
        <v>1760</v>
      </c>
      <c r="E396">
        <v>45.16</v>
      </c>
      <c r="F396">
        <v>162</v>
      </c>
      <c r="G396">
        <v>7</v>
      </c>
      <c r="H396">
        <v>0.01</v>
      </c>
    </row>
    <row r="397" spans="1:8" x14ac:dyDescent="0.25">
      <c r="A397">
        <v>200001692</v>
      </c>
      <c r="B397" t="s">
        <v>1762</v>
      </c>
      <c r="C397" s="2">
        <v>42130</v>
      </c>
      <c r="D397" t="s">
        <v>1229</v>
      </c>
      <c r="E397">
        <v>4.5</v>
      </c>
      <c r="F397">
        <v>21</v>
      </c>
      <c r="G397">
        <v>30</v>
      </c>
      <c r="H397">
        <v>0.08</v>
      </c>
    </row>
    <row r="398" spans="1:8" x14ac:dyDescent="0.25">
      <c r="A398">
        <v>200001824</v>
      </c>
      <c r="B398" t="s">
        <v>1763</v>
      </c>
      <c r="C398" s="2">
        <v>42122</v>
      </c>
      <c r="D398" t="s">
        <v>1159</v>
      </c>
      <c r="E398">
        <v>3</v>
      </c>
      <c r="F398">
        <v>954</v>
      </c>
      <c r="G398">
        <v>12</v>
      </c>
      <c r="H398">
        <v>0.03</v>
      </c>
    </row>
    <row r="399" spans="1:8" x14ac:dyDescent="0.25">
      <c r="A399">
        <v>200001823</v>
      </c>
      <c r="B399" t="s">
        <v>1764</v>
      </c>
      <c r="C399" s="2">
        <v>42122</v>
      </c>
      <c r="D399" t="s">
        <v>1159</v>
      </c>
      <c r="E399">
        <v>3</v>
      </c>
      <c r="F399">
        <v>905</v>
      </c>
      <c r="G399">
        <v>10</v>
      </c>
      <c r="H399">
        <v>0.02</v>
      </c>
    </row>
    <row r="400" spans="1:8" x14ac:dyDescent="0.25">
      <c r="A400">
        <v>200000752</v>
      </c>
      <c r="B400" t="s">
        <v>1765</v>
      </c>
      <c r="C400" s="2">
        <v>42122</v>
      </c>
      <c r="D400" t="s">
        <v>1159</v>
      </c>
      <c r="E400">
        <v>3.5</v>
      </c>
      <c r="F400">
        <v>736</v>
      </c>
      <c r="G400">
        <v>10</v>
      </c>
      <c r="H400">
        <v>0.02</v>
      </c>
    </row>
    <row r="401" spans="1:8" x14ac:dyDescent="0.25">
      <c r="A401">
        <v>200003598</v>
      </c>
      <c r="B401" t="s">
        <v>310</v>
      </c>
      <c r="C401" s="2">
        <v>42635</v>
      </c>
      <c r="D401" t="s">
        <v>1400</v>
      </c>
      <c r="E401">
        <v>3.31</v>
      </c>
      <c r="F401">
        <v>6</v>
      </c>
      <c r="G401">
        <v>2</v>
      </c>
      <c r="H401">
        <v>0</v>
      </c>
    </row>
    <row r="402" spans="1:8" x14ac:dyDescent="0.25">
      <c r="A402">
        <v>200002470</v>
      </c>
      <c r="B402" t="s">
        <v>312</v>
      </c>
      <c r="C402" s="2">
        <v>45114</v>
      </c>
      <c r="D402" t="s">
        <v>1482</v>
      </c>
      <c r="E402">
        <v>144.37</v>
      </c>
      <c r="F402">
        <v>30</v>
      </c>
      <c r="G402">
        <v>8</v>
      </c>
      <c r="H402">
        <v>0.02</v>
      </c>
    </row>
    <row r="403" spans="1:8" x14ac:dyDescent="0.25">
      <c r="A403">
        <v>200003679</v>
      </c>
      <c r="B403" t="s">
        <v>320</v>
      </c>
      <c r="C403" s="2">
        <v>44531</v>
      </c>
      <c r="D403" t="s">
        <v>1200</v>
      </c>
      <c r="E403">
        <v>16.25</v>
      </c>
      <c r="F403">
        <v>5</v>
      </c>
      <c r="G403">
        <v>1</v>
      </c>
      <c r="H403">
        <v>0</v>
      </c>
    </row>
    <row r="404" spans="1:8" x14ac:dyDescent="0.25">
      <c r="A404">
        <v>200002348</v>
      </c>
      <c r="B404" t="s">
        <v>322</v>
      </c>
      <c r="C404" s="2">
        <v>41975</v>
      </c>
      <c r="D404" t="s">
        <v>1556</v>
      </c>
      <c r="E404">
        <v>75</v>
      </c>
      <c r="F404">
        <v>5</v>
      </c>
      <c r="G404">
        <v>2</v>
      </c>
      <c r="H404">
        <v>0</v>
      </c>
    </row>
    <row r="405" spans="1:8" x14ac:dyDescent="0.25">
      <c r="A405">
        <v>200001943</v>
      </c>
      <c r="B405" t="s">
        <v>323</v>
      </c>
      <c r="C405" s="2">
        <v>43867</v>
      </c>
      <c r="D405" t="s">
        <v>1630</v>
      </c>
      <c r="E405">
        <v>38.950000000000003</v>
      </c>
      <c r="F405">
        <v>0</v>
      </c>
      <c r="G405">
        <v>3</v>
      </c>
      <c r="H405">
        <v>0</v>
      </c>
    </row>
    <row r="406" spans="1:8" x14ac:dyDescent="0.25">
      <c r="A406">
        <v>200001942</v>
      </c>
      <c r="B406" t="s">
        <v>326</v>
      </c>
      <c r="C406" s="2">
        <v>41975</v>
      </c>
      <c r="D406" t="s">
        <v>1556</v>
      </c>
      <c r="E406">
        <v>17</v>
      </c>
      <c r="F406">
        <v>2</v>
      </c>
      <c r="G406">
        <v>2</v>
      </c>
      <c r="H406">
        <v>0</v>
      </c>
    </row>
    <row r="407" spans="1:8" x14ac:dyDescent="0.25">
      <c r="A407">
        <v>200001945</v>
      </c>
      <c r="B407" t="s">
        <v>328</v>
      </c>
      <c r="C407" s="2">
        <v>44531</v>
      </c>
      <c r="D407" t="s">
        <v>1200</v>
      </c>
      <c r="E407">
        <v>3.98</v>
      </c>
      <c r="F407">
        <v>0</v>
      </c>
      <c r="G407">
        <v>10</v>
      </c>
      <c r="H407">
        <v>0.02</v>
      </c>
    </row>
    <row r="408" spans="1:8" x14ac:dyDescent="0.25">
      <c r="A408">
        <v>200001946</v>
      </c>
      <c r="B408" t="s">
        <v>329</v>
      </c>
      <c r="C408" s="2">
        <v>44055</v>
      </c>
      <c r="D408" t="s">
        <v>1338</v>
      </c>
      <c r="E408">
        <v>4.2</v>
      </c>
      <c r="F408">
        <v>22</v>
      </c>
      <c r="G408">
        <v>8</v>
      </c>
      <c r="H408">
        <v>0.02</v>
      </c>
    </row>
    <row r="409" spans="1:8" x14ac:dyDescent="0.25">
      <c r="A409">
        <v>200001020</v>
      </c>
      <c r="B409" t="s">
        <v>331</v>
      </c>
      <c r="C409" s="2">
        <v>44531</v>
      </c>
      <c r="D409" t="s">
        <v>1200</v>
      </c>
      <c r="E409">
        <v>15.55</v>
      </c>
      <c r="F409">
        <v>36</v>
      </c>
      <c r="G409">
        <v>8</v>
      </c>
      <c r="H409">
        <v>0.02</v>
      </c>
    </row>
    <row r="410" spans="1:8" x14ac:dyDescent="0.25">
      <c r="A410">
        <v>200000258</v>
      </c>
      <c r="B410" t="s">
        <v>333</v>
      </c>
      <c r="C410" s="2">
        <v>43893</v>
      </c>
      <c r="D410" t="s">
        <v>1338</v>
      </c>
      <c r="E410">
        <v>15</v>
      </c>
      <c r="F410">
        <v>9</v>
      </c>
      <c r="G410">
        <v>7</v>
      </c>
      <c r="H410">
        <v>0.01</v>
      </c>
    </row>
    <row r="411" spans="1:8" x14ac:dyDescent="0.25">
      <c r="A411">
        <v>200002067</v>
      </c>
      <c r="B411" t="s">
        <v>1766</v>
      </c>
      <c r="C411" s="2">
        <v>44593</v>
      </c>
      <c r="D411" t="s">
        <v>1441</v>
      </c>
      <c r="E411">
        <v>8.9</v>
      </c>
      <c r="F411">
        <v>77</v>
      </c>
      <c r="G411">
        <v>69</v>
      </c>
      <c r="H411">
        <v>0.18</v>
      </c>
    </row>
    <row r="412" spans="1:8" x14ac:dyDescent="0.25">
      <c r="A412">
        <v>200002080</v>
      </c>
      <c r="B412" t="s">
        <v>1767</v>
      </c>
      <c r="C412" s="2">
        <v>44593</v>
      </c>
      <c r="D412" t="s">
        <v>1441</v>
      </c>
      <c r="E412">
        <v>26</v>
      </c>
      <c r="F412">
        <v>74</v>
      </c>
      <c r="G412">
        <v>20</v>
      </c>
      <c r="H412">
        <v>0.05</v>
      </c>
    </row>
    <row r="413" spans="1:8" x14ac:dyDescent="0.25">
      <c r="A413">
        <v>200002081</v>
      </c>
      <c r="B413" t="s">
        <v>1768</v>
      </c>
      <c r="C413" s="2">
        <v>44593</v>
      </c>
      <c r="D413" t="s">
        <v>1441</v>
      </c>
      <c r="E413">
        <v>35.6</v>
      </c>
      <c r="F413">
        <v>50</v>
      </c>
      <c r="G413">
        <v>135</v>
      </c>
      <c r="H413">
        <v>0.36</v>
      </c>
    </row>
    <row r="414" spans="1:8" x14ac:dyDescent="0.25">
      <c r="A414">
        <v>200002066</v>
      </c>
      <c r="B414" t="s">
        <v>1769</v>
      </c>
      <c r="C414" s="2">
        <v>44593</v>
      </c>
      <c r="D414" t="s">
        <v>1441</v>
      </c>
      <c r="E414">
        <v>5.65</v>
      </c>
      <c r="F414">
        <v>174</v>
      </c>
      <c r="G414">
        <v>5</v>
      </c>
      <c r="H414">
        <v>0.01</v>
      </c>
    </row>
    <row r="415" spans="1:8" x14ac:dyDescent="0.25">
      <c r="A415">
        <v>200005058</v>
      </c>
      <c r="B415" t="s">
        <v>1770</v>
      </c>
      <c r="C415" s="2">
        <v>44489</v>
      </c>
      <c r="D415" t="s">
        <v>1180</v>
      </c>
      <c r="E415">
        <v>12</v>
      </c>
      <c r="F415">
        <v>140</v>
      </c>
      <c r="G415">
        <v>30</v>
      </c>
      <c r="H415">
        <v>0.08</v>
      </c>
    </row>
    <row r="416" spans="1:8" x14ac:dyDescent="0.25">
      <c r="A416">
        <v>200005062</v>
      </c>
      <c r="B416" t="s">
        <v>1771</v>
      </c>
      <c r="C416" s="2">
        <v>44489</v>
      </c>
      <c r="D416" t="s">
        <v>1180</v>
      </c>
      <c r="E416">
        <v>13.5</v>
      </c>
      <c r="F416">
        <v>10</v>
      </c>
      <c r="G416">
        <v>32</v>
      </c>
      <c r="H416">
        <v>0.08</v>
      </c>
    </row>
    <row r="417" spans="1:8" x14ac:dyDescent="0.25">
      <c r="A417">
        <v>200002779</v>
      </c>
      <c r="B417" t="s">
        <v>1772</v>
      </c>
      <c r="C417" s="2">
        <v>44571</v>
      </c>
      <c r="D417" t="s">
        <v>1205</v>
      </c>
      <c r="E417">
        <v>35</v>
      </c>
      <c r="F417">
        <v>5</v>
      </c>
      <c r="G417">
        <v>3</v>
      </c>
      <c r="H417">
        <v>0</v>
      </c>
    </row>
    <row r="418" spans="1:8" x14ac:dyDescent="0.25">
      <c r="A418">
        <v>200003114</v>
      </c>
      <c r="B418" t="s">
        <v>1773</v>
      </c>
      <c r="C418" s="2">
        <v>42122</v>
      </c>
      <c r="D418" t="s">
        <v>1159</v>
      </c>
      <c r="E418">
        <v>12</v>
      </c>
      <c r="F418">
        <v>249</v>
      </c>
      <c r="G418">
        <v>10</v>
      </c>
      <c r="H418">
        <v>0.02</v>
      </c>
    </row>
    <row r="419" spans="1:8" x14ac:dyDescent="0.25">
      <c r="A419">
        <v>200000955</v>
      </c>
      <c r="B419" t="s">
        <v>1774</v>
      </c>
      <c r="C419" s="2">
        <v>42122</v>
      </c>
      <c r="D419" t="s">
        <v>1159</v>
      </c>
      <c r="E419">
        <v>3.5</v>
      </c>
      <c r="F419">
        <v>1057</v>
      </c>
      <c r="G419">
        <v>10</v>
      </c>
      <c r="H419">
        <v>0.02</v>
      </c>
    </row>
    <row r="420" spans="1:8" x14ac:dyDescent="0.25">
      <c r="A420">
        <v>200002319</v>
      </c>
      <c r="B420" t="s">
        <v>1775</v>
      </c>
      <c r="C420" s="2">
        <v>44519</v>
      </c>
      <c r="D420" t="s">
        <v>1776</v>
      </c>
      <c r="E420">
        <v>74</v>
      </c>
      <c r="F420">
        <v>6</v>
      </c>
      <c r="G420">
        <v>1</v>
      </c>
      <c r="H420">
        <v>0</v>
      </c>
    </row>
    <row r="421" spans="1:8" x14ac:dyDescent="0.25">
      <c r="A421">
        <v>200000262</v>
      </c>
      <c r="B421" t="s">
        <v>1264</v>
      </c>
      <c r="C421" s="2">
        <v>44851</v>
      </c>
      <c r="D421" t="s">
        <v>1180</v>
      </c>
      <c r="E421">
        <v>9</v>
      </c>
      <c r="F421">
        <v>0</v>
      </c>
      <c r="G421">
        <v>706</v>
      </c>
      <c r="H421">
        <v>1.93</v>
      </c>
    </row>
    <row r="422" spans="1:8" x14ac:dyDescent="0.25">
      <c r="A422">
        <v>200000264</v>
      </c>
      <c r="B422" t="s">
        <v>1265</v>
      </c>
      <c r="C422" s="2">
        <v>45267</v>
      </c>
      <c r="D422" t="s">
        <v>1777</v>
      </c>
      <c r="E422">
        <v>1.75</v>
      </c>
      <c r="F422">
        <v>3366</v>
      </c>
      <c r="G422">
        <v>7884</v>
      </c>
      <c r="H422">
        <v>21.6</v>
      </c>
    </row>
    <row r="423" spans="1:8" x14ac:dyDescent="0.25">
      <c r="A423">
        <v>200004312</v>
      </c>
      <c r="B423" t="s">
        <v>1778</v>
      </c>
      <c r="C423" s="2">
        <v>44720</v>
      </c>
      <c r="D423" t="s">
        <v>1180</v>
      </c>
      <c r="E423">
        <v>289.14999999999998</v>
      </c>
      <c r="F423">
        <v>15</v>
      </c>
      <c r="G423">
        <v>1</v>
      </c>
      <c r="H423">
        <v>0</v>
      </c>
    </row>
    <row r="424" spans="1:8" x14ac:dyDescent="0.25">
      <c r="A424">
        <v>200003170</v>
      </c>
      <c r="B424" t="s">
        <v>1779</v>
      </c>
      <c r="C424" s="2">
        <v>43854</v>
      </c>
      <c r="D424" t="s">
        <v>1549</v>
      </c>
      <c r="E424">
        <v>199.1</v>
      </c>
      <c r="F424">
        <v>6</v>
      </c>
      <c r="G424">
        <v>4</v>
      </c>
      <c r="H424">
        <v>0.01</v>
      </c>
    </row>
    <row r="425" spans="1:8" x14ac:dyDescent="0.25">
      <c r="A425">
        <v>200006339</v>
      </c>
      <c r="B425" t="s">
        <v>1780</v>
      </c>
      <c r="C425" s="2">
        <v>45092</v>
      </c>
      <c r="D425" t="s">
        <v>1581</v>
      </c>
      <c r="E425">
        <v>1345</v>
      </c>
      <c r="F425">
        <v>0</v>
      </c>
      <c r="G425">
        <v>6</v>
      </c>
      <c r="H425">
        <v>0.01</v>
      </c>
    </row>
    <row r="426" spans="1:8" x14ac:dyDescent="0.25">
      <c r="A426">
        <v>200005402</v>
      </c>
      <c r="B426" t="s">
        <v>1781</v>
      </c>
      <c r="C426" s="2">
        <v>44656</v>
      </c>
      <c r="D426" t="s">
        <v>1549</v>
      </c>
      <c r="E426">
        <v>5.6</v>
      </c>
      <c r="F426">
        <v>0</v>
      </c>
      <c r="G426">
        <v>100</v>
      </c>
      <c r="H426">
        <v>0.27</v>
      </c>
    </row>
    <row r="427" spans="1:8" x14ac:dyDescent="0.25">
      <c r="A427">
        <v>200006355</v>
      </c>
      <c r="B427" t="s">
        <v>1782</v>
      </c>
      <c r="C427" s="2">
        <v>45156</v>
      </c>
      <c r="D427" t="s">
        <v>1783</v>
      </c>
      <c r="E427">
        <v>3009.94</v>
      </c>
      <c r="F427">
        <v>0</v>
      </c>
      <c r="G427">
        <v>1</v>
      </c>
      <c r="H427">
        <v>0</v>
      </c>
    </row>
    <row r="428" spans="1:8" x14ac:dyDescent="0.25">
      <c r="A428">
        <v>200000279</v>
      </c>
      <c r="B428" t="s">
        <v>1784</v>
      </c>
      <c r="C428" s="2">
        <v>39933</v>
      </c>
      <c r="D428" t="s">
        <v>1444</v>
      </c>
      <c r="E428">
        <v>7.77</v>
      </c>
      <c r="F428">
        <v>6</v>
      </c>
      <c r="G428">
        <v>1</v>
      </c>
      <c r="H428">
        <v>0</v>
      </c>
    </row>
    <row r="429" spans="1:8" x14ac:dyDescent="0.25">
      <c r="A429">
        <v>200006354</v>
      </c>
      <c r="B429" t="s">
        <v>1785</v>
      </c>
      <c r="C429" s="2">
        <v>45156</v>
      </c>
      <c r="D429" t="s">
        <v>1783</v>
      </c>
      <c r="E429">
        <v>15789.05</v>
      </c>
      <c r="F429">
        <v>0</v>
      </c>
      <c r="G429">
        <v>1</v>
      </c>
      <c r="H429">
        <v>0</v>
      </c>
    </row>
    <row r="430" spans="1:8" x14ac:dyDescent="0.25">
      <c r="A430">
        <v>200005743</v>
      </c>
      <c r="B430" t="s">
        <v>1786</v>
      </c>
      <c r="C430" s="2">
        <v>44988</v>
      </c>
      <c r="D430" t="s">
        <v>1572</v>
      </c>
      <c r="E430">
        <v>3899.77</v>
      </c>
      <c r="F430">
        <v>0</v>
      </c>
      <c r="G430">
        <v>6</v>
      </c>
      <c r="H430">
        <v>0.01</v>
      </c>
    </row>
    <row r="431" spans="1:8" x14ac:dyDescent="0.25">
      <c r="A431">
        <v>200005744</v>
      </c>
      <c r="B431" t="s">
        <v>1787</v>
      </c>
      <c r="C431" s="2">
        <v>45058</v>
      </c>
      <c r="D431" t="s">
        <v>1572</v>
      </c>
      <c r="E431">
        <v>2185.75</v>
      </c>
      <c r="F431">
        <v>0</v>
      </c>
      <c r="G431">
        <v>10</v>
      </c>
      <c r="H431">
        <v>0.02</v>
      </c>
    </row>
    <row r="432" spans="1:8" x14ac:dyDescent="0.25">
      <c r="A432">
        <v>200001564</v>
      </c>
      <c r="B432" t="s">
        <v>1267</v>
      </c>
      <c r="C432" s="2">
        <v>44571</v>
      </c>
      <c r="D432" t="s">
        <v>1205</v>
      </c>
      <c r="E432">
        <v>38</v>
      </c>
      <c r="F432">
        <v>2</v>
      </c>
      <c r="G432">
        <v>25</v>
      </c>
      <c r="H432">
        <v>0.06</v>
      </c>
    </row>
    <row r="433" spans="1:8" x14ac:dyDescent="0.25">
      <c r="A433">
        <v>200002082</v>
      </c>
      <c r="B433" t="s">
        <v>1268</v>
      </c>
      <c r="C433" s="2">
        <v>44571</v>
      </c>
      <c r="D433" t="s">
        <v>1205</v>
      </c>
      <c r="E433">
        <v>38</v>
      </c>
      <c r="F433">
        <v>38</v>
      </c>
      <c r="G433">
        <v>15</v>
      </c>
      <c r="H433">
        <v>0.04</v>
      </c>
    </row>
    <row r="434" spans="1:8" x14ac:dyDescent="0.25">
      <c r="A434">
        <v>200002083</v>
      </c>
      <c r="B434" t="s">
        <v>1788</v>
      </c>
      <c r="C434" s="2">
        <v>44571</v>
      </c>
      <c r="D434" t="s">
        <v>1205</v>
      </c>
      <c r="E434">
        <v>75</v>
      </c>
      <c r="F434">
        <v>9</v>
      </c>
      <c r="G434">
        <v>12</v>
      </c>
      <c r="H434">
        <v>0.03</v>
      </c>
    </row>
    <row r="435" spans="1:8" x14ac:dyDescent="0.25">
      <c r="A435">
        <v>200004021</v>
      </c>
      <c r="B435" t="s">
        <v>1269</v>
      </c>
      <c r="C435" s="2">
        <v>44571</v>
      </c>
      <c r="D435" t="s">
        <v>1205</v>
      </c>
      <c r="E435">
        <v>38</v>
      </c>
      <c r="F435">
        <v>0</v>
      </c>
      <c r="G435">
        <v>46</v>
      </c>
      <c r="H435">
        <v>0.12</v>
      </c>
    </row>
    <row r="436" spans="1:8" x14ac:dyDescent="0.25">
      <c r="A436">
        <v>200002068</v>
      </c>
      <c r="B436" t="s">
        <v>1789</v>
      </c>
      <c r="C436" s="2">
        <v>44571</v>
      </c>
      <c r="D436" t="s">
        <v>1205</v>
      </c>
      <c r="E436">
        <v>75</v>
      </c>
      <c r="F436">
        <v>11</v>
      </c>
      <c r="G436">
        <v>20</v>
      </c>
      <c r="H436">
        <v>0.05</v>
      </c>
    </row>
    <row r="437" spans="1:8" x14ac:dyDescent="0.25">
      <c r="A437">
        <v>200001562</v>
      </c>
      <c r="B437" t="s">
        <v>1270</v>
      </c>
      <c r="C437" s="2">
        <v>41920</v>
      </c>
      <c r="D437" t="s">
        <v>1260</v>
      </c>
      <c r="E437">
        <v>21</v>
      </c>
      <c r="F437">
        <v>0</v>
      </c>
      <c r="G437">
        <v>5</v>
      </c>
      <c r="H437">
        <v>0.01</v>
      </c>
    </row>
    <row r="438" spans="1:8" x14ac:dyDescent="0.25">
      <c r="A438">
        <v>200002069</v>
      </c>
      <c r="B438" t="s">
        <v>1790</v>
      </c>
      <c r="C438" s="2">
        <v>44571</v>
      </c>
      <c r="D438" t="s">
        <v>1205</v>
      </c>
      <c r="E438">
        <v>20</v>
      </c>
      <c r="F438">
        <v>7</v>
      </c>
      <c r="G438">
        <v>39</v>
      </c>
      <c r="H438">
        <v>0.1</v>
      </c>
    </row>
    <row r="439" spans="1:8" x14ac:dyDescent="0.25">
      <c r="A439">
        <v>200001563</v>
      </c>
      <c r="B439" t="s">
        <v>1271</v>
      </c>
      <c r="C439" s="2">
        <v>44571</v>
      </c>
      <c r="D439" t="s">
        <v>1205</v>
      </c>
      <c r="E439">
        <v>11</v>
      </c>
      <c r="F439">
        <v>121</v>
      </c>
      <c r="G439">
        <v>5</v>
      </c>
      <c r="H439">
        <v>0.01</v>
      </c>
    </row>
    <row r="440" spans="1:8" x14ac:dyDescent="0.25">
      <c r="A440">
        <v>200002070</v>
      </c>
      <c r="B440" t="s">
        <v>1791</v>
      </c>
      <c r="C440" s="2">
        <v>44571</v>
      </c>
      <c r="D440" t="s">
        <v>1205</v>
      </c>
      <c r="E440">
        <v>20</v>
      </c>
      <c r="F440">
        <v>146</v>
      </c>
      <c r="G440">
        <v>66</v>
      </c>
      <c r="H440">
        <v>0.18</v>
      </c>
    </row>
    <row r="441" spans="1:8" x14ac:dyDescent="0.25">
      <c r="A441">
        <v>200000274</v>
      </c>
      <c r="B441" t="s">
        <v>1792</v>
      </c>
      <c r="C441" s="2">
        <v>44571</v>
      </c>
      <c r="D441" t="s">
        <v>1205</v>
      </c>
      <c r="E441">
        <v>11</v>
      </c>
      <c r="F441">
        <v>0</v>
      </c>
      <c r="G441">
        <v>90</v>
      </c>
      <c r="H441">
        <v>0.24</v>
      </c>
    </row>
    <row r="442" spans="1:8" x14ac:dyDescent="0.25">
      <c r="A442">
        <v>200002071</v>
      </c>
      <c r="B442" t="s">
        <v>1793</v>
      </c>
      <c r="C442" s="2">
        <v>41404</v>
      </c>
      <c r="D442" t="s">
        <v>1229</v>
      </c>
      <c r="E442">
        <v>4.4400000000000004</v>
      </c>
      <c r="F442">
        <v>12</v>
      </c>
      <c r="G442">
        <v>10</v>
      </c>
      <c r="H442">
        <v>0.02</v>
      </c>
    </row>
    <row r="443" spans="1:8" x14ac:dyDescent="0.25">
      <c r="A443">
        <v>200000276</v>
      </c>
      <c r="B443" t="s">
        <v>1794</v>
      </c>
      <c r="C443" s="2">
        <v>44571</v>
      </c>
      <c r="D443" t="s">
        <v>1205</v>
      </c>
      <c r="E443">
        <v>11</v>
      </c>
      <c r="F443">
        <v>20</v>
      </c>
      <c r="G443">
        <v>7</v>
      </c>
      <c r="H443">
        <v>0.01</v>
      </c>
    </row>
    <row r="444" spans="1:8" x14ac:dyDescent="0.25">
      <c r="A444">
        <v>200002086</v>
      </c>
      <c r="B444" t="s">
        <v>1795</v>
      </c>
      <c r="C444" s="2">
        <v>42179</v>
      </c>
      <c r="D444" t="s">
        <v>1796</v>
      </c>
      <c r="E444">
        <v>89.34</v>
      </c>
      <c r="F444">
        <v>3</v>
      </c>
      <c r="G444">
        <v>2</v>
      </c>
      <c r="H444">
        <v>0</v>
      </c>
    </row>
    <row r="445" spans="1:8" x14ac:dyDescent="0.25">
      <c r="A445">
        <v>200001106</v>
      </c>
      <c r="B445" t="s">
        <v>1797</v>
      </c>
      <c r="C445" s="2">
        <v>42179</v>
      </c>
      <c r="D445" t="s">
        <v>1796</v>
      </c>
      <c r="E445">
        <v>205.33</v>
      </c>
      <c r="F445">
        <v>8</v>
      </c>
      <c r="G445">
        <v>1</v>
      </c>
      <c r="H445">
        <v>0</v>
      </c>
    </row>
    <row r="446" spans="1:8" x14ac:dyDescent="0.25">
      <c r="A446">
        <v>200003071</v>
      </c>
      <c r="B446" t="s">
        <v>1798</v>
      </c>
      <c r="C446" s="2">
        <v>41920</v>
      </c>
      <c r="D446" t="s">
        <v>1260</v>
      </c>
      <c r="E446">
        <v>165</v>
      </c>
      <c r="F446">
        <v>0</v>
      </c>
      <c r="G446">
        <v>1</v>
      </c>
      <c r="H446">
        <v>0</v>
      </c>
    </row>
    <row r="447" spans="1:8" x14ac:dyDescent="0.25">
      <c r="A447">
        <v>200001108</v>
      </c>
      <c r="B447" t="s">
        <v>1799</v>
      </c>
      <c r="C447" s="2">
        <v>42179</v>
      </c>
      <c r="D447" t="s">
        <v>1796</v>
      </c>
      <c r="E447">
        <v>306.67</v>
      </c>
      <c r="F447">
        <v>7</v>
      </c>
      <c r="G447">
        <v>1</v>
      </c>
      <c r="H447">
        <v>0</v>
      </c>
    </row>
    <row r="448" spans="1:8" x14ac:dyDescent="0.25">
      <c r="A448">
        <v>200003236</v>
      </c>
      <c r="B448" t="s">
        <v>1800</v>
      </c>
      <c r="C448" s="2">
        <v>42179</v>
      </c>
      <c r="D448" t="s">
        <v>1796</v>
      </c>
      <c r="E448">
        <v>37.020000000000003</v>
      </c>
      <c r="F448">
        <v>13</v>
      </c>
      <c r="G448">
        <v>6</v>
      </c>
      <c r="H448">
        <v>0.01</v>
      </c>
    </row>
    <row r="449" spans="1:8" x14ac:dyDescent="0.25">
      <c r="A449">
        <v>200003237</v>
      </c>
      <c r="B449" t="s">
        <v>1801</v>
      </c>
      <c r="C449" s="2">
        <v>42179</v>
      </c>
      <c r="D449" t="s">
        <v>1796</v>
      </c>
      <c r="E449">
        <v>38.020000000000003</v>
      </c>
      <c r="F449">
        <v>0</v>
      </c>
      <c r="G449">
        <v>5</v>
      </c>
      <c r="H449">
        <v>0.01</v>
      </c>
    </row>
    <row r="450" spans="1:8" x14ac:dyDescent="0.25">
      <c r="A450">
        <v>200003073</v>
      </c>
      <c r="B450" t="s">
        <v>1802</v>
      </c>
      <c r="C450" s="2">
        <v>41663</v>
      </c>
      <c r="D450" t="s">
        <v>1260</v>
      </c>
      <c r="E450">
        <v>590</v>
      </c>
      <c r="F450">
        <v>2</v>
      </c>
      <c r="G450">
        <v>1</v>
      </c>
      <c r="H450">
        <v>0</v>
      </c>
    </row>
    <row r="451" spans="1:8" x14ac:dyDescent="0.25">
      <c r="A451">
        <v>200003239</v>
      </c>
      <c r="B451" t="s">
        <v>1803</v>
      </c>
      <c r="C451" s="2">
        <v>42179</v>
      </c>
      <c r="D451" t="s">
        <v>1796</v>
      </c>
      <c r="E451">
        <v>38.020000000000003</v>
      </c>
      <c r="F451">
        <v>0</v>
      </c>
      <c r="G451">
        <v>2</v>
      </c>
      <c r="H451">
        <v>0</v>
      </c>
    </row>
    <row r="452" spans="1:8" x14ac:dyDescent="0.25">
      <c r="A452">
        <v>200001495</v>
      </c>
      <c r="B452" t="s">
        <v>1804</v>
      </c>
      <c r="C452" s="2">
        <v>43322</v>
      </c>
      <c r="D452" t="s">
        <v>1805</v>
      </c>
      <c r="E452">
        <v>1222.26</v>
      </c>
      <c r="F452">
        <v>0</v>
      </c>
      <c r="G452">
        <v>2</v>
      </c>
      <c r="H452">
        <v>0</v>
      </c>
    </row>
    <row r="453" spans="1:8" x14ac:dyDescent="0.25">
      <c r="A453">
        <v>200003241</v>
      </c>
      <c r="B453" t="s">
        <v>1806</v>
      </c>
      <c r="C453" s="2">
        <v>44571</v>
      </c>
      <c r="D453" t="s">
        <v>1205</v>
      </c>
      <c r="E453">
        <v>60</v>
      </c>
      <c r="F453">
        <v>0</v>
      </c>
      <c r="G453">
        <v>3</v>
      </c>
      <c r="H453">
        <v>0</v>
      </c>
    </row>
    <row r="454" spans="1:8" x14ac:dyDescent="0.25">
      <c r="A454">
        <v>200002085</v>
      </c>
      <c r="B454" t="s">
        <v>1807</v>
      </c>
      <c r="C454" s="2">
        <v>44571</v>
      </c>
      <c r="D454" t="s">
        <v>1205</v>
      </c>
      <c r="E454">
        <v>100</v>
      </c>
      <c r="F454">
        <v>19</v>
      </c>
      <c r="G454">
        <v>6</v>
      </c>
      <c r="H454">
        <v>0.01</v>
      </c>
    </row>
    <row r="455" spans="1:8" x14ac:dyDescent="0.25">
      <c r="A455">
        <v>200000278</v>
      </c>
      <c r="B455" t="s">
        <v>1808</v>
      </c>
      <c r="C455" s="2">
        <v>44571</v>
      </c>
      <c r="D455" t="s">
        <v>1205</v>
      </c>
      <c r="E455">
        <v>80</v>
      </c>
      <c r="F455">
        <v>8</v>
      </c>
      <c r="G455">
        <v>2</v>
      </c>
      <c r="H455">
        <v>0</v>
      </c>
    </row>
    <row r="456" spans="1:8" x14ac:dyDescent="0.25">
      <c r="A456">
        <v>200006289</v>
      </c>
      <c r="B456" t="s">
        <v>1809</v>
      </c>
      <c r="C456" s="2">
        <v>45240</v>
      </c>
      <c r="D456" t="s">
        <v>1205</v>
      </c>
      <c r="E456">
        <v>161.99</v>
      </c>
      <c r="F456">
        <v>0</v>
      </c>
      <c r="G456">
        <v>1</v>
      </c>
      <c r="H456">
        <v>0</v>
      </c>
    </row>
    <row r="457" spans="1:8" x14ac:dyDescent="0.25">
      <c r="A457">
        <v>200003107</v>
      </c>
      <c r="B457" t="s">
        <v>1810</v>
      </c>
      <c r="C457" s="2">
        <v>42068</v>
      </c>
      <c r="D457" t="s">
        <v>1570</v>
      </c>
      <c r="E457">
        <v>9</v>
      </c>
      <c r="F457">
        <v>99</v>
      </c>
      <c r="G457">
        <v>3</v>
      </c>
      <c r="H457">
        <v>0</v>
      </c>
    </row>
    <row r="458" spans="1:8" x14ac:dyDescent="0.25">
      <c r="A458">
        <v>200003108</v>
      </c>
      <c r="B458" t="s">
        <v>1811</v>
      </c>
      <c r="C458" s="2">
        <v>43073</v>
      </c>
      <c r="D458" t="s">
        <v>1812</v>
      </c>
      <c r="E458">
        <v>28</v>
      </c>
      <c r="F458">
        <v>81</v>
      </c>
      <c r="G458">
        <v>3</v>
      </c>
      <c r="H458">
        <v>0</v>
      </c>
    </row>
    <row r="459" spans="1:8" x14ac:dyDescent="0.25">
      <c r="A459">
        <v>200005289</v>
      </c>
      <c r="B459" t="s">
        <v>1274</v>
      </c>
      <c r="C459" s="2">
        <v>44509</v>
      </c>
      <c r="D459" t="s">
        <v>1275</v>
      </c>
      <c r="E459">
        <v>179.48</v>
      </c>
      <c r="F459">
        <v>67</v>
      </c>
      <c r="G459">
        <v>4</v>
      </c>
      <c r="H459">
        <v>0.01</v>
      </c>
    </row>
    <row r="460" spans="1:8" x14ac:dyDescent="0.25">
      <c r="A460">
        <v>200005812</v>
      </c>
      <c r="B460" t="s">
        <v>344</v>
      </c>
      <c r="C460" s="2">
        <v>44981</v>
      </c>
      <c r="D460" t="s">
        <v>1813</v>
      </c>
      <c r="E460">
        <v>7.9</v>
      </c>
      <c r="F460">
        <v>2613</v>
      </c>
      <c r="G460">
        <v>270</v>
      </c>
      <c r="H460">
        <v>0.73</v>
      </c>
    </row>
    <row r="461" spans="1:8" x14ac:dyDescent="0.25">
      <c r="A461">
        <v>200000287</v>
      </c>
      <c r="B461" t="s">
        <v>345</v>
      </c>
      <c r="C461" s="2">
        <v>43515</v>
      </c>
      <c r="D461" t="s">
        <v>1276</v>
      </c>
      <c r="E461">
        <v>4</v>
      </c>
      <c r="F461">
        <v>110</v>
      </c>
      <c r="G461">
        <v>112</v>
      </c>
      <c r="H461">
        <v>0.3</v>
      </c>
    </row>
    <row r="462" spans="1:8" x14ac:dyDescent="0.25">
      <c r="A462">
        <v>200005320</v>
      </c>
      <c r="B462" t="s">
        <v>1814</v>
      </c>
      <c r="C462" s="2">
        <v>44727</v>
      </c>
      <c r="D462" t="s">
        <v>1199</v>
      </c>
      <c r="E462">
        <v>10</v>
      </c>
      <c r="F462">
        <v>310</v>
      </c>
      <c r="G462">
        <v>69</v>
      </c>
      <c r="H462">
        <v>0.18</v>
      </c>
    </row>
    <row r="463" spans="1:8" x14ac:dyDescent="0.25">
      <c r="A463">
        <v>200003440</v>
      </c>
      <c r="B463" t="s">
        <v>1815</v>
      </c>
      <c r="C463" s="2">
        <v>42283</v>
      </c>
      <c r="D463" t="s">
        <v>1556</v>
      </c>
      <c r="E463">
        <v>2.2000000000000002</v>
      </c>
      <c r="F463">
        <v>0</v>
      </c>
      <c r="G463">
        <v>19</v>
      </c>
      <c r="H463">
        <v>0.05</v>
      </c>
    </row>
    <row r="464" spans="1:8" x14ac:dyDescent="0.25">
      <c r="A464">
        <v>200006220</v>
      </c>
      <c r="B464" t="s">
        <v>1816</v>
      </c>
      <c r="C464" s="2">
        <v>44952</v>
      </c>
      <c r="D464" t="s">
        <v>1509</v>
      </c>
      <c r="E464">
        <v>100</v>
      </c>
      <c r="F464">
        <v>102</v>
      </c>
      <c r="G464">
        <v>3</v>
      </c>
      <c r="H464">
        <v>0</v>
      </c>
    </row>
    <row r="465" spans="1:8" x14ac:dyDescent="0.25">
      <c r="A465">
        <v>200000286</v>
      </c>
      <c r="B465" t="s">
        <v>1817</v>
      </c>
      <c r="C465" s="2">
        <v>44727</v>
      </c>
      <c r="D465" t="s">
        <v>1199</v>
      </c>
      <c r="E465">
        <v>131</v>
      </c>
      <c r="F465">
        <v>0</v>
      </c>
      <c r="G465">
        <v>87</v>
      </c>
      <c r="H465">
        <v>0.23</v>
      </c>
    </row>
    <row r="466" spans="1:8" x14ac:dyDescent="0.25">
      <c r="A466">
        <v>200000289</v>
      </c>
      <c r="B466" t="s">
        <v>1277</v>
      </c>
      <c r="C466" s="2">
        <v>44686</v>
      </c>
      <c r="D466" t="s">
        <v>1199</v>
      </c>
      <c r="E466">
        <v>12.47</v>
      </c>
      <c r="F466">
        <v>75</v>
      </c>
      <c r="G466">
        <v>39</v>
      </c>
      <c r="H466">
        <v>0.1</v>
      </c>
    </row>
    <row r="467" spans="1:8" x14ac:dyDescent="0.25">
      <c r="A467">
        <v>200000288</v>
      </c>
      <c r="B467" t="s">
        <v>354</v>
      </c>
      <c r="C467" s="2">
        <v>45209</v>
      </c>
      <c r="D467" t="s">
        <v>1813</v>
      </c>
      <c r="E467">
        <v>8</v>
      </c>
      <c r="F467">
        <v>780</v>
      </c>
      <c r="G467">
        <v>70</v>
      </c>
      <c r="H467">
        <v>0.19</v>
      </c>
    </row>
    <row r="468" spans="1:8" x14ac:dyDescent="0.25">
      <c r="A468">
        <v>200000292</v>
      </c>
      <c r="B468" t="s">
        <v>1818</v>
      </c>
      <c r="C468" s="2">
        <v>44077</v>
      </c>
      <c r="D468" t="s">
        <v>1163</v>
      </c>
      <c r="E468">
        <v>80.45</v>
      </c>
      <c r="F468">
        <v>19</v>
      </c>
      <c r="G468">
        <v>6</v>
      </c>
      <c r="H468">
        <v>0.01</v>
      </c>
    </row>
    <row r="469" spans="1:8" x14ac:dyDescent="0.25">
      <c r="A469">
        <v>200001021</v>
      </c>
      <c r="B469" t="s">
        <v>356</v>
      </c>
      <c r="C469" s="2">
        <v>44820</v>
      </c>
      <c r="D469" t="s">
        <v>1229</v>
      </c>
      <c r="E469">
        <v>192.84</v>
      </c>
      <c r="F469">
        <v>183</v>
      </c>
      <c r="G469">
        <v>335</v>
      </c>
      <c r="H469">
        <v>0.91</v>
      </c>
    </row>
    <row r="470" spans="1:8" x14ac:dyDescent="0.25">
      <c r="A470">
        <v>200005763</v>
      </c>
      <c r="B470" t="s">
        <v>1819</v>
      </c>
      <c r="C470" s="2">
        <v>44571</v>
      </c>
      <c r="D470" t="s">
        <v>1180</v>
      </c>
      <c r="E470">
        <v>109.4</v>
      </c>
      <c r="F470">
        <v>5</v>
      </c>
      <c r="G470">
        <v>5</v>
      </c>
      <c r="H470">
        <v>0.01</v>
      </c>
    </row>
    <row r="471" spans="1:8" x14ac:dyDescent="0.25">
      <c r="A471">
        <v>200005762</v>
      </c>
      <c r="B471" t="s">
        <v>1820</v>
      </c>
      <c r="C471" s="2">
        <v>44571</v>
      </c>
      <c r="D471" t="s">
        <v>1180</v>
      </c>
      <c r="E471">
        <v>192.45</v>
      </c>
      <c r="F471">
        <v>8</v>
      </c>
      <c r="G471">
        <v>4</v>
      </c>
      <c r="H471">
        <v>0.01</v>
      </c>
    </row>
    <row r="472" spans="1:8" x14ac:dyDescent="0.25">
      <c r="A472">
        <v>200003172</v>
      </c>
      <c r="B472" t="s">
        <v>1821</v>
      </c>
      <c r="C472" s="2">
        <v>44720</v>
      </c>
      <c r="D472" t="s">
        <v>1180</v>
      </c>
      <c r="E472">
        <v>241.25</v>
      </c>
      <c r="F472">
        <v>14</v>
      </c>
      <c r="G472">
        <v>3</v>
      </c>
      <c r="H472">
        <v>0</v>
      </c>
    </row>
    <row r="473" spans="1:8" x14ac:dyDescent="0.25">
      <c r="A473">
        <v>200000298</v>
      </c>
      <c r="B473" t="s">
        <v>1822</v>
      </c>
      <c r="C473" s="2">
        <v>44882</v>
      </c>
      <c r="D473" t="s">
        <v>1247</v>
      </c>
      <c r="E473">
        <v>1.05</v>
      </c>
      <c r="F473">
        <v>53</v>
      </c>
      <c r="G473">
        <v>62</v>
      </c>
      <c r="H473">
        <v>0.16</v>
      </c>
    </row>
    <row r="474" spans="1:8" x14ac:dyDescent="0.25">
      <c r="A474">
        <v>200000299</v>
      </c>
      <c r="B474" t="s">
        <v>1278</v>
      </c>
      <c r="C474" s="2">
        <v>45266</v>
      </c>
      <c r="D474" t="s">
        <v>1247</v>
      </c>
      <c r="E474">
        <v>5</v>
      </c>
      <c r="F474">
        <v>1082</v>
      </c>
      <c r="G474">
        <v>1825</v>
      </c>
      <c r="H474">
        <v>5</v>
      </c>
    </row>
    <row r="475" spans="1:8" x14ac:dyDescent="0.25">
      <c r="A475">
        <v>200000297</v>
      </c>
      <c r="B475" t="s">
        <v>1279</v>
      </c>
      <c r="C475" s="2">
        <v>45266</v>
      </c>
      <c r="D475" t="s">
        <v>1247</v>
      </c>
      <c r="E475">
        <v>4.5</v>
      </c>
      <c r="F475">
        <v>680</v>
      </c>
      <c r="G475">
        <v>1199</v>
      </c>
      <c r="H475">
        <v>3.28</v>
      </c>
    </row>
    <row r="476" spans="1:8" x14ac:dyDescent="0.25">
      <c r="A476">
        <v>200004751</v>
      </c>
      <c r="B476" t="s">
        <v>1280</v>
      </c>
      <c r="C476" s="2">
        <v>44840</v>
      </c>
      <c r="D476" t="s">
        <v>1823</v>
      </c>
      <c r="E476">
        <v>30.18</v>
      </c>
      <c r="F476">
        <v>0</v>
      </c>
      <c r="G476">
        <v>9</v>
      </c>
      <c r="H476">
        <v>0.02</v>
      </c>
    </row>
    <row r="477" spans="1:8" x14ac:dyDescent="0.25">
      <c r="A477">
        <v>200005798</v>
      </c>
      <c r="B477" t="s">
        <v>357</v>
      </c>
      <c r="C477" s="2">
        <v>44657</v>
      </c>
      <c r="D477" t="s">
        <v>1302</v>
      </c>
      <c r="E477">
        <v>76.02</v>
      </c>
      <c r="F477">
        <v>15</v>
      </c>
      <c r="G477">
        <v>16</v>
      </c>
      <c r="H477">
        <v>0.04</v>
      </c>
    </row>
    <row r="478" spans="1:8" x14ac:dyDescent="0.25">
      <c r="A478">
        <v>200002088</v>
      </c>
      <c r="B478" t="s">
        <v>1824</v>
      </c>
      <c r="C478" s="2">
        <v>44593</v>
      </c>
      <c r="D478" t="s">
        <v>1441</v>
      </c>
      <c r="E478">
        <v>31.69</v>
      </c>
      <c r="F478">
        <v>0</v>
      </c>
      <c r="G478">
        <v>142</v>
      </c>
      <c r="H478">
        <v>0.38</v>
      </c>
    </row>
    <row r="479" spans="1:8" x14ac:dyDescent="0.25">
      <c r="A479">
        <v>200002089</v>
      </c>
      <c r="B479" t="s">
        <v>1825</v>
      </c>
      <c r="C479" s="2">
        <v>44593</v>
      </c>
      <c r="D479" t="s">
        <v>1441</v>
      </c>
      <c r="E479">
        <v>76.45</v>
      </c>
      <c r="F479">
        <v>0</v>
      </c>
      <c r="G479">
        <v>76</v>
      </c>
      <c r="H479">
        <v>0.2</v>
      </c>
    </row>
    <row r="480" spans="1:8" x14ac:dyDescent="0.25">
      <c r="A480">
        <v>200002090</v>
      </c>
      <c r="B480" t="s">
        <v>1282</v>
      </c>
      <c r="C480" s="2">
        <v>44593</v>
      </c>
      <c r="D480" t="s">
        <v>1441</v>
      </c>
      <c r="E480">
        <v>64.650000000000006</v>
      </c>
      <c r="F480">
        <v>288</v>
      </c>
      <c r="G480">
        <v>278</v>
      </c>
      <c r="H480">
        <v>0.76</v>
      </c>
    </row>
    <row r="481" spans="1:8" x14ac:dyDescent="0.25">
      <c r="A481">
        <v>200002087</v>
      </c>
      <c r="B481" t="s">
        <v>1826</v>
      </c>
      <c r="C481" s="2">
        <v>44593</v>
      </c>
      <c r="D481" t="s">
        <v>1441</v>
      </c>
      <c r="E481">
        <v>25.58</v>
      </c>
      <c r="F481">
        <v>359</v>
      </c>
      <c r="G481">
        <v>6</v>
      </c>
      <c r="H481">
        <v>0.01</v>
      </c>
    </row>
    <row r="482" spans="1:8" x14ac:dyDescent="0.25">
      <c r="A482">
        <v>200000301</v>
      </c>
      <c r="B482" t="s">
        <v>1283</v>
      </c>
      <c r="C482" s="2">
        <v>45280</v>
      </c>
      <c r="D482" t="s">
        <v>1196</v>
      </c>
      <c r="E482">
        <v>1.2</v>
      </c>
      <c r="F482">
        <v>770</v>
      </c>
      <c r="G482">
        <v>1287</v>
      </c>
      <c r="H482">
        <v>3.52</v>
      </c>
    </row>
    <row r="483" spans="1:8" x14ac:dyDescent="0.25">
      <c r="A483">
        <v>200000302</v>
      </c>
      <c r="B483" t="s">
        <v>1827</v>
      </c>
      <c r="C483" s="2">
        <v>44601</v>
      </c>
      <c r="D483" t="s">
        <v>1247</v>
      </c>
      <c r="E483">
        <v>4.45</v>
      </c>
      <c r="F483">
        <v>24</v>
      </c>
      <c r="G483">
        <v>12</v>
      </c>
      <c r="H483">
        <v>0.03</v>
      </c>
    </row>
    <row r="484" spans="1:8" x14ac:dyDescent="0.25">
      <c r="A484">
        <v>200000303</v>
      </c>
      <c r="B484" t="s">
        <v>1284</v>
      </c>
      <c r="C484" s="2">
        <v>44908</v>
      </c>
      <c r="D484" t="s">
        <v>1828</v>
      </c>
      <c r="E484">
        <v>4.08</v>
      </c>
      <c r="F484">
        <v>3064</v>
      </c>
      <c r="G484">
        <v>1862</v>
      </c>
      <c r="H484">
        <v>5.0999999999999996</v>
      </c>
    </row>
    <row r="485" spans="1:8" x14ac:dyDescent="0.25">
      <c r="A485">
        <v>200004271</v>
      </c>
      <c r="B485" t="s">
        <v>1829</v>
      </c>
      <c r="C485" s="2">
        <v>44565</v>
      </c>
      <c r="D485" t="s">
        <v>1247</v>
      </c>
      <c r="E485">
        <v>0.24</v>
      </c>
      <c r="F485">
        <v>2927</v>
      </c>
      <c r="G485">
        <v>2781</v>
      </c>
      <c r="H485">
        <v>7.61</v>
      </c>
    </row>
    <row r="486" spans="1:8" x14ac:dyDescent="0.25">
      <c r="A486">
        <v>200001762</v>
      </c>
      <c r="B486" t="s">
        <v>1830</v>
      </c>
      <c r="C486" s="2">
        <v>43536</v>
      </c>
      <c r="D486" t="s">
        <v>1596</v>
      </c>
      <c r="E486">
        <v>3.23</v>
      </c>
      <c r="F486">
        <v>142</v>
      </c>
      <c r="G486">
        <v>2</v>
      </c>
      <c r="H486">
        <v>0</v>
      </c>
    </row>
    <row r="487" spans="1:8" x14ac:dyDescent="0.25">
      <c r="A487">
        <v>200000309</v>
      </c>
      <c r="B487" t="s">
        <v>358</v>
      </c>
      <c r="C487" s="2">
        <v>44890</v>
      </c>
      <c r="D487" t="s">
        <v>1229</v>
      </c>
      <c r="E487">
        <v>34.46</v>
      </c>
      <c r="F487">
        <v>40</v>
      </c>
      <c r="G487">
        <v>52</v>
      </c>
      <c r="H487">
        <v>0.14000000000000001</v>
      </c>
    </row>
    <row r="488" spans="1:8" x14ac:dyDescent="0.25">
      <c r="A488">
        <v>200000310</v>
      </c>
      <c r="B488" t="s">
        <v>359</v>
      </c>
      <c r="C488" s="2">
        <v>44890</v>
      </c>
      <c r="D488" t="s">
        <v>1229</v>
      </c>
      <c r="E488">
        <v>41.9</v>
      </c>
      <c r="F488">
        <v>23</v>
      </c>
      <c r="G488">
        <v>102</v>
      </c>
      <c r="H488">
        <v>0.27</v>
      </c>
    </row>
    <row r="489" spans="1:8" x14ac:dyDescent="0.25">
      <c r="A489">
        <v>200000308</v>
      </c>
      <c r="B489" t="s">
        <v>360</v>
      </c>
      <c r="C489" s="2">
        <v>44890</v>
      </c>
      <c r="D489" t="s">
        <v>1229</v>
      </c>
      <c r="E489">
        <v>6.03</v>
      </c>
      <c r="F489">
        <v>11</v>
      </c>
      <c r="G489">
        <v>32</v>
      </c>
      <c r="H489">
        <v>0.08</v>
      </c>
    </row>
    <row r="490" spans="1:8" x14ac:dyDescent="0.25">
      <c r="A490">
        <v>200001338</v>
      </c>
      <c r="B490" t="s">
        <v>361</v>
      </c>
      <c r="C490" s="2">
        <v>44890</v>
      </c>
      <c r="D490" t="s">
        <v>1229</v>
      </c>
      <c r="E490">
        <v>7.19</v>
      </c>
      <c r="F490">
        <v>32</v>
      </c>
      <c r="G490">
        <v>53</v>
      </c>
      <c r="H490">
        <v>0.14000000000000001</v>
      </c>
    </row>
    <row r="491" spans="1:8" x14ac:dyDescent="0.25">
      <c r="A491">
        <v>200006358</v>
      </c>
      <c r="B491" t="s">
        <v>1831</v>
      </c>
      <c r="C491" s="2">
        <v>45166</v>
      </c>
      <c r="D491" t="s">
        <v>1632</v>
      </c>
      <c r="E491">
        <v>1.08</v>
      </c>
      <c r="F491">
        <v>0</v>
      </c>
      <c r="G491">
        <v>12000</v>
      </c>
      <c r="H491">
        <v>32.869999999999997</v>
      </c>
    </row>
    <row r="492" spans="1:8" x14ac:dyDescent="0.25">
      <c r="A492">
        <v>200004513</v>
      </c>
      <c r="B492" t="s">
        <v>1832</v>
      </c>
      <c r="C492" s="2">
        <v>45070</v>
      </c>
      <c r="D492" t="s">
        <v>1833</v>
      </c>
      <c r="E492">
        <v>196.12</v>
      </c>
      <c r="F492">
        <v>5</v>
      </c>
      <c r="G492">
        <v>9</v>
      </c>
      <c r="H492">
        <v>0.02</v>
      </c>
    </row>
    <row r="493" spans="1:8" x14ac:dyDescent="0.25">
      <c r="A493">
        <v>200000710</v>
      </c>
      <c r="B493" t="s">
        <v>1834</v>
      </c>
      <c r="C493" s="2">
        <v>44790</v>
      </c>
      <c r="D493" t="s">
        <v>1835</v>
      </c>
      <c r="E493">
        <v>16.91</v>
      </c>
      <c r="F493">
        <v>51</v>
      </c>
      <c r="G493">
        <v>114</v>
      </c>
      <c r="H493">
        <v>0.31</v>
      </c>
    </row>
    <row r="494" spans="1:8" x14ac:dyDescent="0.25">
      <c r="A494">
        <v>200000315</v>
      </c>
      <c r="B494" t="s">
        <v>1836</v>
      </c>
      <c r="C494" s="2">
        <v>42787</v>
      </c>
      <c r="D494" t="s">
        <v>1837</v>
      </c>
      <c r="E494">
        <v>0.11</v>
      </c>
      <c r="F494">
        <v>8744</v>
      </c>
      <c r="G494">
        <v>40</v>
      </c>
      <c r="H494">
        <v>0.1</v>
      </c>
    </row>
    <row r="495" spans="1:8" x14ac:dyDescent="0.25">
      <c r="A495">
        <v>200004149</v>
      </c>
      <c r="B495" t="s">
        <v>1286</v>
      </c>
      <c r="C495" s="2">
        <v>45188</v>
      </c>
      <c r="D495" t="s">
        <v>1632</v>
      </c>
      <c r="E495">
        <v>1.4</v>
      </c>
      <c r="F495">
        <v>10736</v>
      </c>
      <c r="G495">
        <v>31606</v>
      </c>
      <c r="H495">
        <v>86.59</v>
      </c>
    </row>
    <row r="496" spans="1:8" x14ac:dyDescent="0.25">
      <c r="A496">
        <v>200004411</v>
      </c>
      <c r="B496" t="s">
        <v>1838</v>
      </c>
      <c r="C496" s="2">
        <v>43992</v>
      </c>
      <c r="D496" t="s">
        <v>1287</v>
      </c>
      <c r="E496">
        <v>1.36</v>
      </c>
      <c r="F496">
        <v>731</v>
      </c>
      <c r="G496">
        <v>120</v>
      </c>
      <c r="H496">
        <v>0.32</v>
      </c>
    </row>
    <row r="497" spans="1:8" x14ac:dyDescent="0.25">
      <c r="A497">
        <v>200000317</v>
      </c>
      <c r="B497" t="s">
        <v>1288</v>
      </c>
      <c r="C497" s="2">
        <v>45188</v>
      </c>
      <c r="D497" t="s">
        <v>1632</v>
      </c>
      <c r="E497">
        <v>1.4</v>
      </c>
      <c r="F497">
        <v>3033</v>
      </c>
      <c r="G497">
        <v>5475</v>
      </c>
      <c r="H497">
        <v>15</v>
      </c>
    </row>
    <row r="498" spans="1:8" x14ac:dyDescent="0.25">
      <c r="A498">
        <v>200004410</v>
      </c>
      <c r="B498" t="s">
        <v>1289</v>
      </c>
      <c r="C498" s="2">
        <v>45188</v>
      </c>
      <c r="D498" t="s">
        <v>1632</v>
      </c>
      <c r="E498">
        <v>1.4</v>
      </c>
      <c r="F498">
        <v>2909</v>
      </c>
      <c r="G498">
        <v>6377</v>
      </c>
      <c r="H498">
        <v>17.47</v>
      </c>
    </row>
    <row r="499" spans="1:8" x14ac:dyDescent="0.25">
      <c r="A499">
        <v>200004451</v>
      </c>
      <c r="B499" t="s">
        <v>1290</v>
      </c>
      <c r="C499" s="2">
        <v>45065</v>
      </c>
      <c r="D499" t="s">
        <v>1632</v>
      </c>
      <c r="E499">
        <v>4.1399999999999997</v>
      </c>
      <c r="F499">
        <v>1786</v>
      </c>
      <c r="G499">
        <v>1309</v>
      </c>
      <c r="H499">
        <v>3.58</v>
      </c>
    </row>
    <row r="500" spans="1:8" x14ac:dyDescent="0.25">
      <c r="A500">
        <v>200000316</v>
      </c>
      <c r="B500" t="s">
        <v>1839</v>
      </c>
      <c r="C500" s="2">
        <v>42842</v>
      </c>
      <c r="D500" t="s">
        <v>1837</v>
      </c>
      <c r="E500">
        <v>0.4</v>
      </c>
      <c r="F500">
        <v>3833</v>
      </c>
      <c r="G500">
        <v>56</v>
      </c>
      <c r="H500">
        <v>0.15</v>
      </c>
    </row>
    <row r="501" spans="1:8" x14ac:dyDescent="0.25">
      <c r="A501">
        <v>200004165</v>
      </c>
      <c r="B501" t="s">
        <v>1292</v>
      </c>
      <c r="C501" s="2">
        <v>45188</v>
      </c>
      <c r="D501" t="s">
        <v>1632</v>
      </c>
      <c r="E501">
        <v>1.29</v>
      </c>
      <c r="F501">
        <v>2430</v>
      </c>
      <c r="G501">
        <v>5095</v>
      </c>
      <c r="H501">
        <v>13.95</v>
      </c>
    </row>
    <row r="502" spans="1:8" x14ac:dyDescent="0.25">
      <c r="A502">
        <v>200000312</v>
      </c>
      <c r="B502" t="s">
        <v>1840</v>
      </c>
      <c r="C502" s="2">
        <v>41927</v>
      </c>
      <c r="D502" t="s">
        <v>1841</v>
      </c>
      <c r="E502">
        <v>0.28000000000000003</v>
      </c>
      <c r="F502">
        <v>162</v>
      </c>
      <c r="G502">
        <v>20</v>
      </c>
      <c r="H502">
        <v>0.05</v>
      </c>
    </row>
    <row r="503" spans="1:8" x14ac:dyDescent="0.25">
      <c r="A503">
        <v>200000314</v>
      </c>
      <c r="B503" t="s">
        <v>1842</v>
      </c>
      <c r="C503" s="2">
        <v>44790</v>
      </c>
      <c r="D503" t="s">
        <v>1835</v>
      </c>
      <c r="E503">
        <v>6.95</v>
      </c>
      <c r="F503">
        <v>112</v>
      </c>
      <c r="G503">
        <v>20</v>
      </c>
      <c r="H503">
        <v>0.05</v>
      </c>
    </row>
    <row r="504" spans="1:8" x14ac:dyDescent="0.25">
      <c r="A504">
        <v>200006352</v>
      </c>
      <c r="B504" t="s">
        <v>362</v>
      </c>
      <c r="C504" s="2">
        <v>45148</v>
      </c>
      <c r="D504" t="s">
        <v>1843</v>
      </c>
      <c r="E504">
        <v>7500</v>
      </c>
      <c r="F504">
        <v>0</v>
      </c>
      <c r="G504">
        <v>1</v>
      </c>
      <c r="H504">
        <v>0</v>
      </c>
    </row>
    <row r="505" spans="1:8" x14ac:dyDescent="0.25">
      <c r="A505">
        <v>200006343</v>
      </c>
      <c r="B505" t="s">
        <v>363</v>
      </c>
      <c r="C505" s="2">
        <v>45096</v>
      </c>
      <c r="D505" t="s">
        <v>1844</v>
      </c>
      <c r="E505">
        <v>11838.9</v>
      </c>
      <c r="F505">
        <v>0</v>
      </c>
      <c r="G505">
        <v>1</v>
      </c>
      <c r="H505">
        <v>0</v>
      </c>
    </row>
    <row r="506" spans="1:8" x14ac:dyDescent="0.25">
      <c r="A506">
        <v>200001404</v>
      </c>
      <c r="B506" t="s">
        <v>1845</v>
      </c>
      <c r="C506" s="2">
        <v>42430</v>
      </c>
      <c r="D506" t="s">
        <v>1493</v>
      </c>
      <c r="E506">
        <v>109.36</v>
      </c>
      <c r="F506">
        <v>23</v>
      </c>
      <c r="G506">
        <v>5</v>
      </c>
      <c r="H506">
        <v>0.01</v>
      </c>
    </row>
    <row r="507" spans="1:8" x14ac:dyDescent="0.25">
      <c r="A507">
        <v>200003177</v>
      </c>
      <c r="B507" t="s">
        <v>364</v>
      </c>
      <c r="C507" s="2">
        <v>45068</v>
      </c>
      <c r="D507" t="s">
        <v>1229</v>
      </c>
      <c r="E507">
        <v>12.16</v>
      </c>
      <c r="F507">
        <v>26</v>
      </c>
      <c r="G507">
        <v>40</v>
      </c>
      <c r="H507">
        <v>0.1</v>
      </c>
    </row>
    <row r="508" spans="1:8" x14ac:dyDescent="0.25">
      <c r="A508">
        <v>200005053</v>
      </c>
      <c r="B508" t="s">
        <v>1846</v>
      </c>
      <c r="C508" s="2">
        <v>44470</v>
      </c>
      <c r="D508" t="s">
        <v>1459</v>
      </c>
      <c r="E508">
        <v>80</v>
      </c>
      <c r="F508">
        <v>0</v>
      </c>
      <c r="G508">
        <v>5</v>
      </c>
      <c r="H508">
        <v>0.01</v>
      </c>
    </row>
    <row r="509" spans="1:8" x14ac:dyDescent="0.25">
      <c r="A509">
        <v>200004225</v>
      </c>
      <c r="B509" t="s">
        <v>1847</v>
      </c>
      <c r="C509" s="2">
        <v>44238</v>
      </c>
      <c r="D509" t="s">
        <v>1516</v>
      </c>
      <c r="E509">
        <v>146.15</v>
      </c>
      <c r="F509">
        <v>51</v>
      </c>
      <c r="G509">
        <v>28</v>
      </c>
      <c r="H509">
        <v>7.0000000000000007E-2</v>
      </c>
    </row>
    <row r="510" spans="1:8" x14ac:dyDescent="0.25">
      <c r="A510">
        <v>200000861</v>
      </c>
      <c r="B510" t="s">
        <v>1848</v>
      </c>
      <c r="C510" s="2">
        <v>42122</v>
      </c>
      <c r="D510" t="s">
        <v>1159</v>
      </c>
      <c r="E510">
        <v>5.18</v>
      </c>
      <c r="F510">
        <v>1793</v>
      </c>
      <c r="G510">
        <v>20</v>
      </c>
      <c r="H510">
        <v>0.05</v>
      </c>
    </row>
    <row r="511" spans="1:8" x14ac:dyDescent="0.25">
      <c r="A511">
        <v>200000862</v>
      </c>
      <c r="B511" t="s">
        <v>1294</v>
      </c>
      <c r="C511" s="2">
        <v>44838</v>
      </c>
      <c r="D511" t="s">
        <v>1163</v>
      </c>
      <c r="E511">
        <v>5.42</v>
      </c>
      <c r="F511">
        <v>1169</v>
      </c>
      <c r="G511">
        <v>290</v>
      </c>
      <c r="H511">
        <v>0.79</v>
      </c>
    </row>
    <row r="512" spans="1:8" x14ac:dyDescent="0.25">
      <c r="A512">
        <v>200002472</v>
      </c>
      <c r="B512" t="s">
        <v>1295</v>
      </c>
      <c r="C512" s="2">
        <v>45267</v>
      </c>
      <c r="D512" t="s">
        <v>1777</v>
      </c>
      <c r="E512">
        <v>1.1100000000000001</v>
      </c>
      <c r="F512">
        <v>2988</v>
      </c>
      <c r="G512">
        <v>6226</v>
      </c>
      <c r="H512">
        <v>17.05</v>
      </c>
    </row>
    <row r="513" spans="1:8" x14ac:dyDescent="0.25">
      <c r="A513">
        <v>200002174</v>
      </c>
      <c r="B513" t="s">
        <v>1849</v>
      </c>
      <c r="C513" s="2">
        <v>44851</v>
      </c>
      <c r="D513" t="s">
        <v>1180</v>
      </c>
      <c r="E513">
        <v>8</v>
      </c>
      <c r="F513">
        <v>0</v>
      </c>
      <c r="G513">
        <v>454</v>
      </c>
      <c r="H513">
        <v>1.24</v>
      </c>
    </row>
    <row r="514" spans="1:8" x14ac:dyDescent="0.25">
      <c r="A514">
        <v>200002298</v>
      </c>
      <c r="B514" t="s">
        <v>1850</v>
      </c>
      <c r="C514" s="2">
        <v>44453</v>
      </c>
      <c r="D514" t="s">
        <v>1196</v>
      </c>
      <c r="E514">
        <v>9</v>
      </c>
      <c r="F514">
        <v>35</v>
      </c>
      <c r="G514">
        <v>21</v>
      </c>
      <c r="H514">
        <v>0.05</v>
      </c>
    </row>
    <row r="515" spans="1:8" x14ac:dyDescent="0.25">
      <c r="A515">
        <v>200003686</v>
      </c>
      <c r="B515" t="s">
        <v>371</v>
      </c>
      <c r="C515" s="2">
        <v>45190</v>
      </c>
      <c r="D515" t="s">
        <v>1229</v>
      </c>
      <c r="E515">
        <v>17.21</v>
      </c>
      <c r="F515">
        <v>39</v>
      </c>
      <c r="G515">
        <v>90</v>
      </c>
      <c r="H515">
        <v>0.24</v>
      </c>
    </row>
    <row r="516" spans="1:8" x14ac:dyDescent="0.25">
      <c r="A516">
        <v>200006194</v>
      </c>
      <c r="B516" t="s">
        <v>1851</v>
      </c>
      <c r="C516" s="2">
        <v>45126</v>
      </c>
      <c r="D516" t="s">
        <v>1459</v>
      </c>
      <c r="E516">
        <v>15</v>
      </c>
      <c r="F516">
        <v>28</v>
      </c>
      <c r="G516">
        <v>12</v>
      </c>
      <c r="H516">
        <v>0.03</v>
      </c>
    </row>
    <row r="517" spans="1:8" x14ac:dyDescent="0.25">
      <c r="A517">
        <v>200000338</v>
      </c>
      <c r="B517" t="s">
        <v>1296</v>
      </c>
      <c r="C517" s="2">
        <v>45274</v>
      </c>
      <c r="D517" t="s">
        <v>1852</v>
      </c>
      <c r="E517">
        <v>15.88</v>
      </c>
      <c r="F517">
        <v>154</v>
      </c>
      <c r="G517">
        <v>340</v>
      </c>
      <c r="H517">
        <v>0.93</v>
      </c>
    </row>
    <row r="518" spans="1:8" x14ac:dyDescent="0.25">
      <c r="A518">
        <v>200000339</v>
      </c>
      <c r="B518" t="s">
        <v>1298</v>
      </c>
      <c r="C518" s="2">
        <v>45274</v>
      </c>
      <c r="D518" t="s">
        <v>1853</v>
      </c>
      <c r="E518">
        <v>27.9</v>
      </c>
      <c r="F518">
        <v>354</v>
      </c>
      <c r="G518">
        <v>614</v>
      </c>
      <c r="H518">
        <v>1.68</v>
      </c>
    </row>
    <row r="519" spans="1:8" x14ac:dyDescent="0.25">
      <c r="A519">
        <v>200000340</v>
      </c>
      <c r="B519" t="s">
        <v>1854</v>
      </c>
      <c r="C519" s="2">
        <v>43990</v>
      </c>
      <c r="D519" t="s">
        <v>1299</v>
      </c>
      <c r="E519">
        <v>3.92</v>
      </c>
      <c r="F519">
        <v>0</v>
      </c>
      <c r="G519">
        <v>10</v>
      </c>
      <c r="H519">
        <v>0.02</v>
      </c>
    </row>
    <row r="520" spans="1:8" x14ac:dyDescent="0.25">
      <c r="A520">
        <v>200002416</v>
      </c>
      <c r="B520" t="s">
        <v>1855</v>
      </c>
      <c r="C520" s="2">
        <v>45156</v>
      </c>
      <c r="D520" t="s">
        <v>1655</v>
      </c>
      <c r="E520">
        <v>4</v>
      </c>
      <c r="F520">
        <v>0</v>
      </c>
      <c r="G520">
        <v>640</v>
      </c>
      <c r="H520">
        <v>1.75</v>
      </c>
    </row>
    <row r="521" spans="1:8" x14ac:dyDescent="0.25">
      <c r="A521">
        <v>200003244</v>
      </c>
      <c r="B521" t="s">
        <v>1300</v>
      </c>
      <c r="C521" s="2">
        <v>44571</v>
      </c>
      <c r="D521" t="s">
        <v>1205</v>
      </c>
      <c r="E521">
        <v>320</v>
      </c>
      <c r="F521">
        <v>27</v>
      </c>
      <c r="G521">
        <v>27</v>
      </c>
      <c r="H521">
        <v>7.0000000000000007E-2</v>
      </c>
    </row>
    <row r="522" spans="1:8" x14ac:dyDescent="0.25">
      <c r="A522">
        <v>200000341</v>
      </c>
      <c r="B522" t="s">
        <v>1301</v>
      </c>
      <c r="C522" s="2">
        <v>45280</v>
      </c>
      <c r="D522" t="s">
        <v>1196</v>
      </c>
      <c r="E522">
        <v>4</v>
      </c>
      <c r="F522">
        <v>59</v>
      </c>
      <c r="G522">
        <v>73</v>
      </c>
      <c r="H522">
        <v>0.2</v>
      </c>
    </row>
    <row r="523" spans="1:8" x14ac:dyDescent="0.25">
      <c r="A523">
        <v>200003394</v>
      </c>
      <c r="B523" t="s">
        <v>379</v>
      </c>
      <c r="C523" s="2">
        <v>44042</v>
      </c>
      <c r="D523" t="s">
        <v>1163</v>
      </c>
      <c r="E523">
        <v>17.2</v>
      </c>
      <c r="F523">
        <v>10</v>
      </c>
      <c r="G523">
        <v>1</v>
      </c>
      <c r="H523">
        <v>0</v>
      </c>
    </row>
    <row r="524" spans="1:8" x14ac:dyDescent="0.25">
      <c r="A524">
        <v>200003396</v>
      </c>
      <c r="B524" t="s">
        <v>381</v>
      </c>
      <c r="C524" s="2">
        <v>44083</v>
      </c>
      <c r="D524" t="s">
        <v>1163</v>
      </c>
      <c r="E524">
        <v>76.75</v>
      </c>
      <c r="F524">
        <v>18</v>
      </c>
      <c r="G524">
        <v>2</v>
      </c>
      <c r="H524">
        <v>0</v>
      </c>
    </row>
    <row r="525" spans="1:8" x14ac:dyDescent="0.25">
      <c r="A525">
        <v>200005813</v>
      </c>
      <c r="B525" t="s">
        <v>382</v>
      </c>
      <c r="C525" s="2">
        <v>44981</v>
      </c>
      <c r="D525" t="s">
        <v>1813</v>
      </c>
      <c r="E525">
        <v>99</v>
      </c>
      <c r="F525">
        <v>836</v>
      </c>
      <c r="G525">
        <v>89</v>
      </c>
      <c r="H525">
        <v>0.24</v>
      </c>
    </row>
    <row r="526" spans="1:8" x14ac:dyDescent="0.25">
      <c r="A526">
        <v>200001206</v>
      </c>
      <c r="B526" t="s">
        <v>383</v>
      </c>
      <c r="C526" s="2">
        <v>45209</v>
      </c>
      <c r="D526" t="s">
        <v>1813</v>
      </c>
      <c r="E526">
        <v>99</v>
      </c>
      <c r="F526">
        <v>218</v>
      </c>
      <c r="G526">
        <v>94</v>
      </c>
      <c r="H526">
        <v>0.25</v>
      </c>
    </row>
    <row r="527" spans="1:8" x14ac:dyDescent="0.25">
      <c r="A527">
        <v>200001205</v>
      </c>
      <c r="B527" t="s">
        <v>385</v>
      </c>
      <c r="C527" s="2">
        <v>43515</v>
      </c>
      <c r="D527" t="s">
        <v>1276</v>
      </c>
      <c r="E527">
        <v>34</v>
      </c>
      <c r="F527">
        <v>0</v>
      </c>
      <c r="G527">
        <v>3</v>
      </c>
      <c r="H527">
        <v>0</v>
      </c>
    </row>
    <row r="528" spans="1:8" x14ac:dyDescent="0.25">
      <c r="A528">
        <v>200005988</v>
      </c>
      <c r="B528" t="s">
        <v>386</v>
      </c>
      <c r="C528" s="2">
        <v>44537</v>
      </c>
      <c r="D528" t="s">
        <v>1302</v>
      </c>
      <c r="E528">
        <v>40.15</v>
      </c>
      <c r="F528">
        <v>12</v>
      </c>
      <c r="G528">
        <v>1</v>
      </c>
      <c r="H528">
        <v>0</v>
      </c>
    </row>
    <row r="529" spans="1:8" x14ac:dyDescent="0.25">
      <c r="A529">
        <v>200003397</v>
      </c>
      <c r="B529" t="s">
        <v>387</v>
      </c>
      <c r="C529" s="2">
        <v>44034</v>
      </c>
      <c r="D529" t="s">
        <v>1163</v>
      </c>
      <c r="E529">
        <v>13.12</v>
      </c>
      <c r="F529">
        <v>2</v>
      </c>
      <c r="G529">
        <v>4</v>
      </c>
      <c r="H529">
        <v>0.01</v>
      </c>
    </row>
    <row r="530" spans="1:8" x14ac:dyDescent="0.25">
      <c r="A530">
        <v>200005989</v>
      </c>
      <c r="B530" t="s">
        <v>388</v>
      </c>
      <c r="C530" s="2">
        <v>44537</v>
      </c>
      <c r="D530" t="s">
        <v>1302</v>
      </c>
      <c r="E530">
        <v>42.77</v>
      </c>
      <c r="F530">
        <v>1</v>
      </c>
      <c r="G530">
        <v>3</v>
      </c>
      <c r="H530">
        <v>0</v>
      </c>
    </row>
    <row r="531" spans="1:8" x14ac:dyDescent="0.25">
      <c r="A531">
        <v>200002129</v>
      </c>
      <c r="B531" t="s">
        <v>390</v>
      </c>
      <c r="C531" s="2">
        <v>44537</v>
      </c>
      <c r="D531" t="s">
        <v>1302</v>
      </c>
      <c r="E531">
        <v>84.67</v>
      </c>
      <c r="F531">
        <v>0</v>
      </c>
      <c r="G531">
        <v>57</v>
      </c>
      <c r="H531">
        <v>0.15</v>
      </c>
    </row>
    <row r="532" spans="1:8" x14ac:dyDescent="0.25">
      <c r="A532">
        <v>200003398</v>
      </c>
      <c r="B532" t="s">
        <v>391</v>
      </c>
      <c r="C532" s="2">
        <v>44537</v>
      </c>
      <c r="D532" t="s">
        <v>1302</v>
      </c>
      <c r="E532">
        <v>95.93</v>
      </c>
      <c r="F532">
        <v>0</v>
      </c>
      <c r="G532">
        <v>6</v>
      </c>
      <c r="H532">
        <v>0.01</v>
      </c>
    </row>
    <row r="533" spans="1:8" x14ac:dyDescent="0.25">
      <c r="A533">
        <v>200003399</v>
      </c>
      <c r="B533" t="s">
        <v>1856</v>
      </c>
      <c r="C533" s="2">
        <v>44537</v>
      </c>
      <c r="D533" t="s">
        <v>1302</v>
      </c>
      <c r="E533">
        <v>98.04</v>
      </c>
      <c r="F533">
        <v>0</v>
      </c>
      <c r="G533">
        <v>21</v>
      </c>
      <c r="H533">
        <v>0.05</v>
      </c>
    </row>
    <row r="534" spans="1:8" x14ac:dyDescent="0.25">
      <c r="A534">
        <v>200006183</v>
      </c>
      <c r="B534" t="s">
        <v>393</v>
      </c>
      <c r="C534" s="2">
        <v>44890</v>
      </c>
      <c r="D534" t="s">
        <v>1318</v>
      </c>
      <c r="E534">
        <v>185.75</v>
      </c>
      <c r="F534">
        <v>352</v>
      </c>
      <c r="G534">
        <v>6</v>
      </c>
      <c r="H534">
        <v>0.01</v>
      </c>
    </row>
    <row r="535" spans="1:8" x14ac:dyDescent="0.25">
      <c r="A535">
        <v>200005990</v>
      </c>
      <c r="B535" t="s">
        <v>395</v>
      </c>
      <c r="C535" s="2">
        <v>44537</v>
      </c>
      <c r="D535" t="s">
        <v>1302</v>
      </c>
      <c r="E535">
        <v>208.37</v>
      </c>
      <c r="F535">
        <v>0</v>
      </c>
      <c r="G535">
        <v>23</v>
      </c>
      <c r="H535">
        <v>0.06</v>
      </c>
    </row>
    <row r="536" spans="1:8" x14ac:dyDescent="0.25">
      <c r="A536">
        <v>200000349</v>
      </c>
      <c r="B536" t="s">
        <v>396</v>
      </c>
      <c r="C536" s="2">
        <v>44537</v>
      </c>
      <c r="D536" t="s">
        <v>1302</v>
      </c>
      <c r="E536">
        <v>100</v>
      </c>
      <c r="F536">
        <v>0</v>
      </c>
      <c r="G536">
        <v>4</v>
      </c>
      <c r="H536">
        <v>0.01</v>
      </c>
    </row>
    <row r="537" spans="1:8" x14ac:dyDescent="0.25">
      <c r="A537">
        <v>200003446</v>
      </c>
      <c r="B537" t="s">
        <v>1857</v>
      </c>
      <c r="C537" s="2">
        <v>44693</v>
      </c>
      <c r="D537" t="s">
        <v>1396</v>
      </c>
      <c r="E537">
        <v>18.38</v>
      </c>
      <c r="F537">
        <v>0</v>
      </c>
      <c r="G537">
        <v>54</v>
      </c>
      <c r="H537">
        <v>0.14000000000000001</v>
      </c>
    </row>
    <row r="538" spans="1:8" x14ac:dyDescent="0.25">
      <c r="A538">
        <v>200003079</v>
      </c>
      <c r="B538" t="s">
        <v>400</v>
      </c>
      <c r="C538" s="2">
        <v>44537</v>
      </c>
      <c r="D538" t="s">
        <v>1302</v>
      </c>
      <c r="E538">
        <v>200.24</v>
      </c>
      <c r="F538">
        <v>11</v>
      </c>
      <c r="G538">
        <v>88</v>
      </c>
      <c r="H538">
        <v>0.24</v>
      </c>
    </row>
    <row r="539" spans="1:8" x14ac:dyDescent="0.25">
      <c r="A539">
        <v>200004807</v>
      </c>
      <c r="B539" t="s">
        <v>1858</v>
      </c>
      <c r="C539" s="2">
        <v>44032</v>
      </c>
      <c r="D539" t="s">
        <v>1163</v>
      </c>
      <c r="E539">
        <v>5.79</v>
      </c>
      <c r="F539">
        <v>0</v>
      </c>
      <c r="G539">
        <v>4</v>
      </c>
      <c r="H539">
        <v>0.01</v>
      </c>
    </row>
    <row r="540" spans="1:8" x14ac:dyDescent="0.25">
      <c r="A540">
        <v>200002708</v>
      </c>
      <c r="B540" t="s">
        <v>1859</v>
      </c>
      <c r="C540" s="2">
        <v>45252</v>
      </c>
      <c r="D540" t="s">
        <v>1456</v>
      </c>
      <c r="E540">
        <v>1.75</v>
      </c>
      <c r="F540">
        <v>0</v>
      </c>
      <c r="G540">
        <v>6000</v>
      </c>
      <c r="H540">
        <v>16.43</v>
      </c>
    </row>
    <row r="541" spans="1:8" x14ac:dyDescent="0.25">
      <c r="A541">
        <v>200004834</v>
      </c>
      <c r="B541" t="s">
        <v>1303</v>
      </c>
      <c r="C541" s="2">
        <v>44378</v>
      </c>
      <c r="D541" t="s">
        <v>1157</v>
      </c>
      <c r="E541">
        <v>17</v>
      </c>
      <c r="F541">
        <v>874</v>
      </c>
      <c r="G541">
        <v>629</v>
      </c>
      <c r="H541">
        <v>1.72</v>
      </c>
    </row>
    <row r="542" spans="1:8" x14ac:dyDescent="0.25">
      <c r="A542">
        <v>200000355</v>
      </c>
      <c r="B542" t="s">
        <v>1860</v>
      </c>
      <c r="C542" s="2">
        <v>45258</v>
      </c>
      <c r="D542" t="s">
        <v>1600</v>
      </c>
      <c r="E542">
        <v>3.17</v>
      </c>
      <c r="F542">
        <v>42</v>
      </c>
      <c r="G542">
        <v>52</v>
      </c>
      <c r="H542">
        <v>0.14000000000000001</v>
      </c>
    </row>
    <row r="543" spans="1:8" x14ac:dyDescent="0.25">
      <c r="A543">
        <v>200000356</v>
      </c>
      <c r="B543" t="s">
        <v>1304</v>
      </c>
      <c r="C543" s="2">
        <v>45268</v>
      </c>
      <c r="D543" t="s">
        <v>1600</v>
      </c>
      <c r="E543">
        <v>3.46</v>
      </c>
      <c r="F543">
        <v>509</v>
      </c>
      <c r="G543">
        <v>938</v>
      </c>
      <c r="H543">
        <v>2.56</v>
      </c>
    </row>
    <row r="544" spans="1:8" x14ac:dyDescent="0.25">
      <c r="A544">
        <v>200000357</v>
      </c>
      <c r="B544" t="s">
        <v>1861</v>
      </c>
      <c r="C544" s="2">
        <v>44851</v>
      </c>
      <c r="D544" t="s">
        <v>1180</v>
      </c>
      <c r="E544">
        <v>8</v>
      </c>
      <c r="F544">
        <v>778</v>
      </c>
      <c r="G544">
        <v>80</v>
      </c>
      <c r="H544">
        <v>0.21</v>
      </c>
    </row>
    <row r="545" spans="1:8" x14ac:dyDescent="0.25">
      <c r="A545">
        <v>200002577</v>
      </c>
      <c r="B545" t="s">
        <v>1862</v>
      </c>
      <c r="C545" s="2">
        <v>41977</v>
      </c>
      <c r="D545" t="s">
        <v>1863</v>
      </c>
      <c r="E545">
        <v>21.74</v>
      </c>
      <c r="F545">
        <v>5</v>
      </c>
      <c r="G545">
        <v>3</v>
      </c>
      <c r="H545">
        <v>0</v>
      </c>
    </row>
    <row r="546" spans="1:8" x14ac:dyDescent="0.25">
      <c r="A546">
        <v>200000366</v>
      </c>
      <c r="B546" t="s">
        <v>404</v>
      </c>
      <c r="C546" s="2">
        <v>44972</v>
      </c>
      <c r="D546" t="s">
        <v>1478</v>
      </c>
      <c r="E546">
        <v>16.78</v>
      </c>
      <c r="F546">
        <v>3</v>
      </c>
      <c r="G546">
        <v>3</v>
      </c>
      <c r="H546">
        <v>0</v>
      </c>
    </row>
    <row r="547" spans="1:8" x14ac:dyDescent="0.25">
      <c r="A547">
        <v>200005399</v>
      </c>
      <c r="B547" t="s">
        <v>1864</v>
      </c>
      <c r="C547" s="2">
        <v>44701</v>
      </c>
      <c r="D547" t="s">
        <v>1549</v>
      </c>
      <c r="E547">
        <v>160</v>
      </c>
      <c r="F547">
        <v>0</v>
      </c>
      <c r="G547">
        <v>2</v>
      </c>
      <c r="H547">
        <v>0</v>
      </c>
    </row>
    <row r="548" spans="1:8" x14ac:dyDescent="0.25">
      <c r="A548">
        <v>200001852</v>
      </c>
      <c r="B548" t="s">
        <v>1865</v>
      </c>
      <c r="C548" s="2">
        <v>44355</v>
      </c>
      <c r="D548" t="s">
        <v>1221</v>
      </c>
      <c r="E548">
        <v>177.32</v>
      </c>
      <c r="F548">
        <v>14</v>
      </c>
      <c r="G548">
        <v>2</v>
      </c>
      <c r="H548">
        <v>0</v>
      </c>
    </row>
    <row r="549" spans="1:8" x14ac:dyDescent="0.25">
      <c r="A549">
        <v>200005469</v>
      </c>
      <c r="B549" t="s">
        <v>1866</v>
      </c>
      <c r="C549" s="2">
        <v>44418</v>
      </c>
      <c r="D549" t="s">
        <v>1247</v>
      </c>
      <c r="E549">
        <v>39.92</v>
      </c>
      <c r="F549">
        <v>3</v>
      </c>
      <c r="G549">
        <v>4</v>
      </c>
      <c r="H549">
        <v>0.01</v>
      </c>
    </row>
    <row r="550" spans="1:8" x14ac:dyDescent="0.25">
      <c r="A550">
        <v>200005473</v>
      </c>
      <c r="B550" t="s">
        <v>1867</v>
      </c>
      <c r="C550" s="2">
        <v>44543</v>
      </c>
      <c r="D550" t="s">
        <v>1163</v>
      </c>
      <c r="E550">
        <v>41.39</v>
      </c>
      <c r="F550">
        <v>0</v>
      </c>
      <c r="G550">
        <v>94</v>
      </c>
      <c r="H550">
        <v>0.25</v>
      </c>
    </row>
    <row r="551" spans="1:8" x14ac:dyDescent="0.25">
      <c r="A551">
        <v>200000360</v>
      </c>
      <c r="B551" t="s">
        <v>1305</v>
      </c>
      <c r="C551" s="2">
        <v>45280</v>
      </c>
      <c r="D551" t="s">
        <v>1196</v>
      </c>
      <c r="E551">
        <v>3.8</v>
      </c>
      <c r="F551">
        <v>1522</v>
      </c>
      <c r="G551">
        <v>3200</v>
      </c>
      <c r="H551">
        <v>8.76</v>
      </c>
    </row>
    <row r="552" spans="1:8" x14ac:dyDescent="0.25">
      <c r="A552">
        <v>200004971</v>
      </c>
      <c r="B552" t="s">
        <v>1306</v>
      </c>
      <c r="C552" s="2">
        <v>45273</v>
      </c>
      <c r="D552" t="s">
        <v>1180</v>
      </c>
      <c r="E552">
        <v>6.91</v>
      </c>
      <c r="F552">
        <v>0</v>
      </c>
      <c r="G552">
        <v>61</v>
      </c>
      <c r="H552">
        <v>0.16</v>
      </c>
    </row>
    <row r="553" spans="1:8" x14ac:dyDescent="0.25">
      <c r="A553">
        <v>200005232</v>
      </c>
      <c r="B553" t="s">
        <v>406</v>
      </c>
      <c r="C553" s="2">
        <v>44972</v>
      </c>
      <c r="D553" t="s">
        <v>1478</v>
      </c>
      <c r="E553">
        <v>431.06</v>
      </c>
      <c r="F553">
        <v>5</v>
      </c>
      <c r="G553">
        <v>19</v>
      </c>
      <c r="H553">
        <v>0.05</v>
      </c>
    </row>
    <row r="554" spans="1:8" x14ac:dyDescent="0.25">
      <c r="A554">
        <v>200001087</v>
      </c>
      <c r="B554" t="s">
        <v>1309</v>
      </c>
      <c r="C554" s="2">
        <v>44624</v>
      </c>
      <c r="D554" t="s">
        <v>1196</v>
      </c>
      <c r="E554">
        <v>5.17</v>
      </c>
      <c r="F554">
        <v>122</v>
      </c>
      <c r="G554">
        <v>178</v>
      </c>
      <c r="H554">
        <v>0.48</v>
      </c>
    </row>
    <row r="555" spans="1:8" x14ac:dyDescent="0.25">
      <c r="A555">
        <v>200001085</v>
      </c>
      <c r="B555" t="s">
        <v>1311</v>
      </c>
      <c r="C555" s="2">
        <v>44624</v>
      </c>
      <c r="D555" t="s">
        <v>1196</v>
      </c>
      <c r="E555">
        <v>10.89</v>
      </c>
      <c r="F555">
        <v>42</v>
      </c>
      <c r="G555">
        <v>188</v>
      </c>
      <c r="H555">
        <v>0.51</v>
      </c>
    </row>
    <row r="556" spans="1:8" x14ac:dyDescent="0.25">
      <c r="A556">
        <v>200006002</v>
      </c>
      <c r="B556" t="s">
        <v>409</v>
      </c>
      <c r="C556" s="2">
        <v>45068</v>
      </c>
      <c r="D556" t="s">
        <v>1229</v>
      </c>
      <c r="E556">
        <v>7.96</v>
      </c>
      <c r="F556">
        <v>162</v>
      </c>
      <c r="G556">
        <v>750</v>
      </c>
      <c r="H556">
        <v>2.0499999999999998</v>
      </c>
    </row>
    <row r="557" spans="1:8" x14ac:dyDescent="0.25">
      <c r="A557">
        <v>200006003</v>
      </c>
      <c r="B557" t="s">
        <v>410</v>
      </c>
      <c r="C557" s="2">
        <v>45202</v>
      </c>
      <c r="D557" t="s">
        <v>1229</v>
      </c>
      <c r="E557">
        <v>14.43</v>
      </c>
      <c r="F557">
        <v>90</v>
      </c>
      <c r="G557">
        <v>390</v>
      </c>
      <c r="H557">
        <v>1.06</v>
      </c>
    </row>
    <row r="558" spans="1:8" x14ac:dyDescent="0.25">
      <c r="A558">
        <v>200004119</v>
      </c>
      <c r="B558" t="s">
        <v>411</v>
      </c>
      <c r="C558" s="2">
        <v>44629</v>
      </c>
      <c r="D558" t="s">
        <v>1167</v>
      </c>
      <c r="E558">
        <v>23.77</v>
      </c>
      <c r="F558">
        <v>18</v>
      </c>
      <c r="G558">
        <v>74</v>
      </c>
      <c r="H558">
        <v>0.2</v>
      </c>
    </row>
    <row r="559" spans="1:8" x14ac:dyDescent="0.25">
      <c r="A559">
        <v>200002110</v>
      </c>
      <c r="B559" t="s">
        <v>414</v>
      </c>
      <c r="C559" s="2">
        <v>44896</v>
      </c>
      <c r="D559" t="s">
        <v>1509</v>
      </c>
      <c r="E559">
        <v>41.68</v>
      </c>
      <c r="F559">
        <v>33</v>
      </c>
      <c r="G559">
        <v>10</v>
      </c>
      <c r="H559">
        <v>0.02</v>
      </c>
    </row>
    <row r="560" spans="1:8" x14ac:dyDescent="0.25">
      <c r="A560">
        <v>200003794</v>
      </c>
      <c r="B560" t="s">
        <v>415</v>
      </c>
      <c r="C560" s="2">
        <v>44658</v>
      </c>
      <c r="D560" t="s">
        <v>1302</v>
      </c>
      <c r="E560">
        <v>84.86</v>
      </c>
      <c r="F560">
        <v>1</v>
      </c>
      <c r="G560">
        <v>3</v>
      </c>
      <c r="H560">
        <v>0</v>
      </c>
    </row>
    <row r="561" spans="1:8" x14ac:dyDescent="0.25">
      <c r="A561">
        <v>200002111</v>
      </c>
      <c r="B561" t="s">
        <v>416</v>
      </c>
      <c r="C561" s="2">
        <v>41717</v>
      </c>
      <c r="D561" t="s">
        <v>1556</v>
      </c>
      <c r="E561">
        <v>44.5</v>
      </c>
      <c r="F561">
        <v>32</v>
      </c>
      <c r="G561">
        <v>9</v>
      </c>
      <c r="H561">
        <v>0.02</v>
      </c>
    </row>
    <row r="562" spans="1:8" x14ac:dyDescent="0.25">
      <c r="A562">
        <v>200002112</v>
      </c>
      <c r="B562" t="s">
        <v>418</v>
      </c>
      <c r="C562" s="2">
        <v>45251</v>
      </c>
      <c r="D562" t="s">
        <v>1229</v>
      </c>
      <c r="E562">
        <v>58.1</v>
      </c>
      <c r="F562">
        <v>1</v>
      </c>
      <c r="G562">
        <v>127</v>
      </c>
      <c r="H562">
        <v>0.34</v>
      </c>
    </row>
    <row r="563" spans="1:8" x14ac:dyDescent="0.25">
      <c r="A563">
        <v>200001111</v>
      </c>
      <c r="B563" t="s">
        <v>1312</v>
      </c>
      <c r="C563" s="2">
        <v>44854</v>
      </c>
      <c r="D563" t="s">
        <v>1157</v>
      </c>
      <c r="E563">
        <v>13.14</v>
      </c>
      <c r="F563">
        <v>571</v>
      </c>
      <c r="G563">
        <v>941</v>
      </c>
      <c r="H563">
        <v>2.57</v>
      </c>
    </row>
    <row r="564" spans="1:8" x14ac:dyDescent="0.25">
      <c r="A564">
        <v>200005481</v>
      </c>
      <c r="B564" t="s">
        <v>1868</v>
      </c>
      <c r="C564" s="2">
        <v>44578</v>
      </c>
      <c r="D564" t="s">
        <v>1207</v>
      </c>
      <c r="E564">
        <v>33</v>
      </c>
      <c r="F564">
        <v>18</v>
      </c>
      <c r="G564">
        <v>16</v>
      </c>
      <c r="H564">
        <v>0.04</v>
      </c>
    </row>
    <row r="565" spans="1:8" x14ac:dyDescent="0.25">
      <c r="A565">
        <v>200006305</v>
      </c>
      <c r="B565" t="s">
        <v>1869</v>
      </c>
      <c r="C565" s="2">
        <v>45014</v>
      </c>
      <c r="D565" t="s">
        <v>1870</v>
      </c>
      <c r="E565">
        <v>21.5</v>
      </c>
      <c r="F565">
        <v>1089</v>
      </c>
      <c r="G565">
        <v>33</v>
      </c>
      <c r="H565">
        <v>0.09</v>
      </c>
    </row>
    <row r="566" spans="1:8" x14ac:dyDescent="0.25">
      <c r="A566">
        <v>200005758</v>
      </c>
      <c r="B566" t="s">
        <v>1871</v>
      </c>
      <c r="C566" s="2">
        <v>45264</v>
      </c>
      <c r="D566" t="s">
        <v>1532</v>
      </c>
      <c r="E566">
        <v>10.87</v>
      </c>
      <c r="F566">
        <v>20</v>
      </c>
      <c r="G566">
        <v>23</v>
      </c>
      <c r="H566">
        <v>0.06</v>
      </c>
    </row>
    <row r="567" spans="1:8" x14ac:dyDescent="0.25">
      <c r="A567">
        <v>200000359</v>
      </c>
      <c r="B567" t="s">
        <v>1313</v>
      </c>
      <c r="C567" s="2">
        <v>45280</v>
      </c>
      <c r="D567" t="s">
        <v>1196</v>
      </c>
      <c r="E567">
        <v>1.2</v>
      </c>
      <c r="F567">
        <v>366</v>
      </c>
      <c r="G567">
        <v>655</v>
      </c>
      <c r="H567">
        <v>1.79</v>
      </c>
    </row>
    <row r="568" spans="1:8" x14ac:dyDescent="0.25">
      <c r="A568">
        <v>200002366</v>
      </c>
      <c r="B568" t="s">
        <v>1872</v>
      </c>
      <c r="C568" s="2">
        <v>43410</v>
      </c>
      <c r="D568" t="s">
        <v>1873</v>
      </c>
      <c r="E568">
        <v>7.73</v>
      </c>
      <c r="F568">
        <v>143</v>
      </c>
      <c r="G568">
        <v>9</v>
      </c>
      <c r="H568">
        <v>0.02</v>
      </c>
    </row>
    <row r="569" spans="1:8" x14ac:dyDescent="0.25">
      <c r="A569">
        <v>200003359</v>
      </c>
      <c r="B569" t="s">
        <v>1314</v>
      </c>
      <c r="C569" s="2">
        <v>45273</v>
      </c>
      <c r="D569" t="s">
        <v>1180</v>
      </c>
      <c r="E569">
        <v>5.09</v>
      </c>
      <c r="F569">
        <v>1313</v>
      </c>
      <c r="G569">
        <v>301</v>
      </c>
      <c r="H569">
        <v>0.82</v>
      </c>
    </row>
    <row r="570" spans="1:8" x14ac:dyDescent="0.25">
      <c r="A570">
        <v>200004650</v>
      </c>
      <c r="B570" t="s">
        <v>1874</v>
      </c>
      <c r="C570" s="2">
        <v>45104</v>
      </c>
      <c r="D570" t="s">
        <v>1875</v>
      </c>
      <c r="E570">
        <v>44.4</v>
      </c>
      <c r="F570">
        <v>0</v>
      </c>
      <c r="G570">
        <v>20</v>
      </c>
      <c r="H570">
        <v>0.05</v>
      </c>
    </row>
    <row r="571" spans="1:8" x14ac:dyDescent="0.25">
      <c r="A571">
        <v>200000376</v>
      </c>
      <c r="B571" t="s">
        <v>419</v>
      </c>
      <c r="C571" s="2">
        <v>44890</v>
      </c>
      <c r="D571" t="s">
        <v>1229</v>
      </c>
      <c r="E571">
        <v>11</v>
      </c>
      <c r="F571">
        <v>42</v>
      </c>
      <c r="G571">
        <v>43</v>
      </c>
      <c r="H571">
        <v>0.11</v>
      </c>
    </row>
    <row r="572" spans="1:8" x14ac:dyDescent="0.25">
      <c r="A572">
        <v>200003060</v>
      </c>
      <c r="B572" t="s">
        <v>1315</v>
      </c>
      <c r="C572" s="2">
        <v>42522</v>
      </c>
      <c r="D572" t="s">
        <v>1229</v>
      </c>
      <c r="E572">
        <v>6.88</v>
      </c>
      <c r="F572">
        <v>736</v>
      </c>
      <c r="G572">
        <v>20</v>
      </c>
      <c r="H572">
        <v>0.05</v>
      </c>
    </row>
    <row r="573" spans="1:8" x14ac:dyDescent="0.25">
      <c r="A573">
        <v>200001515</v>
      </c>
      <c r="B573" t="s">
        <v>1316</v>
      </c>
      <c r="C573" s="2">
        <v>44355</v>
      </c>
      <c r="D573" t="s">
        <v>1221</v>
      </c>
      <c r="E573">
        <v>16.489999999999998</v>
      </c>
      <c r="F573">
        <v>69</v>
      </c>
      <c r="G573">
        <v>142</v>
      </c>
      <c r="H573">
        <v>0.38</v>
      </c>
    </row>
    <row r="574" spans="1:8" x14ac:dyDescent="0.25">
      <c r="A574">
        <v>200000377</v>
      </c>
      <c r="B574" t="s">
        <v>1317</v>
      </c>
      <c r="C574" s="2">
        <v>45280</v>
      </c>
      <c r="D574" t="s">
        <v>1196</v>
      </c>
      <c r="E574">
        <v>18</v>
      </c>
      <c r="F574">
        <v>402</v>
      </c>
      <c r="G574">
        <v>655</v>
      </c>
      <c r="H574">
        <v>1.79</v>
      </c>
    </row>
    <row r="575" spans="1:8" x14ac:dyDescent="0.25">
      <c r="A575">
        <v>200003401</v>
      </c>
      <c r="B575" t="s">
        <v>420</v>
      </c>
      <c r="C575" s="2">
        <v>44952</v>
      </c>
      <c r="D575" t="s">
        <v>1509</v>
      </c>
      <c r="E575">
        <v>45</v>
      </c>
      <c r="F575">
        <v>0</v>
      </c>
      <c r="G575">
        <v>20</v>
      </c>
      <c r="H575">
        <v>0.05</v>
      </c>
    </row>
    <row r="576" spans="1:8" x14ac:dyDescent="0.25">
      <c r="A576">
        <v>200003402</v>
      </c>
      <c r="B576" t="s">
        <v>421</v>
      </c>
      <c r="C576" s="2">
        <v>44686</v>
      </c>
      <c r="D576" t="s">
        <v>1199</v>
      </c>
      <c r="E576">
        <v>31</v>
      </c>
      <c r="F576">
        <v>0</v>
      </c>
      <c r="G576">
        <v>12</v>
      </c>
      <c r="H576">
        <v>0.03</v>
      </c>
    </row>
    <row r="577" spans="1:8" x14ac:dyDescent="0.25">
      <c r="A577">
        <v>200005175</v>
      </c>
      <c r="B577" t="s">
        <v>1876</v>
      </c>
      <c r="C577" s="2">
        <v>45261</v>
      </c>
      <c r="D577" t="s">
        <v>1456</v>
      </c>
      <c r="E577">
        <v>2.54</v>
      </c>
      <c r="F577">
        <v>0</v>
      </c>
      <c r="G577">
        <v>21300</v>
      </c>
      <c r="H577">
        <v>58.35</v>
      </c>
    </row>
    <row r="578" spans="1:8" x14ac:dyDescent="0.25">
      <c r="A578">
        <v>200002399</v>
      </c>
      <c r="B578" t="s">
        <v>1877</v>
      </c>
      <c r="C578" s="2">
        <v>45257</v>
      </c>
      <c r="D578" t="s">
        <v>1456</v>
      </c>
      <c r="E578">
        <v>2.54</v>
      </c>
      <c r="F578">
        <v>0</v>
      </c>
      <c r="G578">
        <v>800</v>
      </c>
      <c r="H578">
        <v>2.19</v>
      </c>
    </row>
    <row r="579" spans="1:8" x14ac:dyDescent="0.25">
      <c r="A579">
        <v>200005219</v>
      </c>
      <c r="B579" t="s">
        <v>1878</v>
      </c>
      <c r="C579" s="2">
        <v>45219</v>
      </c>
      <c r="D579" t="s">
        <v>1456</v>
      </c>
      <c r="E579">
        <v>3.44</v>
      </c>
      <c r="F579">
        <v>0</v>
      </c>
      <c r="G579">
        <v>800</v>
      </c>
      <c r="H579">
        <v>2.19</v>
      </c>
    </row>
    <row r="580" spans="1:8" x14ac:dyDescent="0.25">
      <c r="A580">
        <v>200000946</v>
      </c>
      <c r="B580" t="s">
        <v>1879</v>
      </c>
      <c r="C580" s="2">
        <v>45121</v>
      </c>
      <c r="D580" t="s">
        <v>1513</v>
      </c>
      <c r="E580">
        <v>1139</v>
      </c>
      <c r="F580">
        <v>0</v>
      </c>
      <c r="G580">
        <v>2</v>
      </c>
      <c r="H580">
        <v>0</v>
      </c>
    </row>
    <row r="581" spans="1:8" x14ac:dyDescent="0.25">
      <c r="A581">
        <v>200005735</v>
      </c>
      <c r="B581" t="s">
        <v>1880</v>
      </c>
      <c r="C581" s="2">
        <v>44988</v>
      </c>
      <c r="D581" t="s">
        <v>1572</v>
      </c>
      <c r="E581">
        <v>2303.3000000000002</v>
      </c>
      <c r="F581">
        <v>0</v>
      </c>
      <c r="G581">
        <v>19</v>
      </c>
      <c r="H581">
        <v>0.05</v>
      </c>
    </row>
    <row r="582" spans="1:8" x14ac:dyDescent="0.25">
      <c r="A582">
        <v>200006159</v>
      </c>
      <c r="B582" t="s">
        <v>422</v>
      </c>
      <c r="C582" s="2">
        <v>44896</v>
      </c>
      <c r="D582" t="s">
        <v>1601</v>
      </c>
      <c r="E582">
        <v>23</v>
      </c>
      <c r="F582">
        <v>0</v>
      </c>
      <c r="G582">
        <v>223</v>
      </c>
      <c r="H582">
        <v>0.61</v>
      </c>
    </row>
    <row r="583" spans="1:8" x14ac:dyDescent="0.25">
      <c r="A583">
        <v>200006187</v>
      </c>
      <c r="B583" t="s">
        <v>1881</v>
      </c>
      <c r="C583" s="2">
        <v>44980</v>
      </c>
      <c r="D583" t="s">
        <v>1167</v>
      </c>
      <c r="E583">
        <v>545</v>
      </c>
      <c r="F583">
        <v>0</v>
      </c>
      <c r="G583">
        <v>94</v>
      </c>
      <c r="H583">
        <v>0.25</v>
      </c>
    </row>
    <row r="584" spans="1:8" x14ac:dyDescent="0.25">
      <c r="A584">
        <v>200006281</v>
      </c>
      <c r="B584" t="s">
        <v>427</v>
      </c>
      <c r="C584" s="2">
        <v>45119</v>
      </c>
      <c r="D584" t="s">
        <v>1457</v>
      </c>
      <c r="E584">
        <v>4.67</v>
      </c>
      <c r="F584">
        <v>0</v>
      </c>
      <c r="G584">
        <v>7</v>
      </c>
      <c r="H584">
        <v>0.01</v>
      </c>
    </row>
    <row r="585" spans="1:8" x14ac:dyDescent="0.25">
      <c r="A585">
        <v>200005286</v>
      </c>
      <c r="B585" t="s">
        <v>1320</v>
      </c>
      <c r="C585" s="2">
        <v>44032</v>
      </c>
      <c r="D585" t="s">
        <v>1321</v>
      </c>
      <c r="E585">
        <v>18.21</v>
      </c>
      <c r="F585">
        <v>318</v>
      </c>
      <c r="G585">
        <v>217</v>
      </c>
      <c r="H585">
        <v>0.59</v>
      </c>
    </row>
    <row r="586" spans="1:8" x14ac:dyDescent="0.25">
      <c r="A586">
        <v>200002413</v>
      </c>
      <c r="B586" t="s">
        <v>1882</v>
      </c>
      <c r="C586" s="2">
        <v>42510</v>
      </c>
      <c r="D586" t="s">
        <v>1883</v>
      </c>
      <c r="E586">
        <v>73.05</v>
      </c>
      <c r="F586">
        <v>45</v>
      </c>
      <c r="G586">
        <v>11</v>
      </c>
      <c r="H586">
        <v>0.03</v>
      </c>
    </row>
    <row r="587" spans="1:8" x14ac:dyDescent="0.25">
      <c r="A587">
        <v>200000390</v>
      </c>
      <c r="B587" t="s">
        <v>428</v>
      </c>
      <c r="C587" s="2">
        <v>45273</v>
      </c>
      <c r="D587" t="s">
        <v>1625</v>
      </c>
      <c r="E587">
        <v>2.6</v>
      </c>
      <c r="F587">
        <v>1</v>
      </c>
      <c r="G587">
        <v>528</v>
      </c>
      <c r="H587">
        <v>1.44</v>
      </c>
    </row>
    <row r="588" spans="1:8" x14ac:dyDescent="0.25">
      <c r="A588">
        <v>200004631</v>
      </c>
      <c r="B588" t="s">
        <v>1884</v>
      </c>
      <c r="C588" s="2">
        <v>44462</v>
      </c>
      <c r="D588" t="s">
        <v>1601</v>
      </c>
      <c r="E588">
        <v>7.64</v>
      </c>
      <c r="F588">
        <v>8</v>
      </c>
      <c r="G588">
        <v>6</v>
      </c>
      <c r="H588">
        <v>0.01</v>
      </c>
    </row>
    <row r="589" spans="1:8" x14ac:dyDescent="0.25">
      <c r="A589">
        <v>200004609</v>
      </c>
      <c r="B589" t="s">
        <v>1885</v>
      </c>
      <c r="C589" s="2">
        <v>44657</v>
      </c>
      <c r="D589" t="s">
        <v>1302</v>
      </c>
      <c r="E589">
        <v>6.93</v>
      </c>
      <c r="F589">
        <v>70</v>
      </c>
      <c r="G589">
        <v>11</v>
      </c>
      <c r="H589">
        <v>0.03</v>
      </c>
    </row>
    <row r="590" spans="1:8" x14ac:dyDescent="0.25">
      <c r="A590">
        <v>200006213</v>
      </c>
      <c r="B590" t="s">
        <v>1886</v>
      </c>
      <c r="C590" s="2">
        <v>44929</v>
      </c>
      <c r="D590" t="s">
        <v>1887</v>
      </c>
      <c r="E590">
        <v>430</v>
      </c>
      <c r="F590">
        <v>0</v>
      </c>
      <c r="G590">
        <v>64</v>
      </c>
      <c r="H590">
        <v>0.17</v>
      </c>
    </row>
    <row r="591" spans="1:8" x14ac:dyDescent="0.25">
      <c r="A591">
        <v>200000395</v>
      </c>
      <c r="B591" t="s">
        <v>1322</v>
      </c>
      <c r="C591" s="2">
        <v>44911</v>
      </c>
      <c r="D591" t="s">
        <v>1196</v>
      </c>
      <c r="E591">
        <v>70.12</v>
      </c>
      <c r="F591">
        <v>88</v>
      </c>
      <c r="G591">
        <v>115</v>
      </c>
      <c r="H591">
        <v>0.31</v>
      </c>
    </row>
    <row r="592" spans="1:8" x14ac:dyDescent="0.25">
      <c r="A592">
        <v>200004311</v>
      </c>
      <c r="B592" t="s">
        <v>1888</v>
      </c>
      <c r="C592" s="2">
        <v>43264</v>
      </c>
      <c r="D592" t="s">
        <v>1481</v>
      </c>
      <c r="E592">
        <v>60.96</v>
      </c>
      <c r="F592">
        <v>3</v>
      </c>
      <c r="G592">
        <v>1</v>
      </c>
      <c r="H592">
        <v>0</v>
      </c>
    </row>
    <row r="593" spans="1:8" x14ac:dyDescent="0.25">
      <c r="A593">
        <v>200004317</v>
      </c>
      <c r="B593" t="s">
        <v>1889</v>
      </c>
      <c r="C593" s="2">
        <v>43214</v>
      </c>
      <c r="D593" t="s">
        <v>1481</v>
      </c>
      <c r="E593">
        <v>9.92</v>
      </c>
      <c r="F593">
        <v>3</v>
      </c>
      <c r="G593">
        <v>2</v>
      </c>
      <c r="H593">
        <v>0</v>
      </c>
    </row>
    <row r="594" spans="1:8" x14ac:dyDescent="0.25">
      <c r="A594">
        <v>200000396</v>
      </c>
      <c r="B594" t="s">
        <v>1323</v>
      </c>
      <c r="C594" s="2">
        <v>45280</v>
      </c>
      <c r="D594" t="s">
        <v>1196</v>
      </c>
      <c r="E594">
        <v>1.4</v>
      </c>
      <c r="F594">
        <v>805</v>
      </c>
      <c r="G594">
        <v>1538</v>
      </c>
      <c r="H594">
        <v>4.21</v>
      </c>
    </row>
    <row r="595" spans="1:8" x14ac:dyDescent="0.25">
      <c r="A595">
        <v>200000884</v>
      </c>
      <c r="B595" t="s">
        <v>1324</v>
      </c>
      <c r="C595" s="2">
        <v>45273</v>
      </c>
      <c r="D595" t="s">
        <v>1603</v>
      </c>
      <c r="E595">
        <v>5.84</v>
      </c>
      <c r="F595">
        <v>13</v>
      </c>
      <c r="G595">
        <v>57</v>
      </c>
      <c r="H595">
        <v>0.15</v>
      </c>
    </row>
    <row r="596" spans="1:8" x14ac:dyDescent="0.25">
      <c r="A596">
        <v>200006191</v>
      </c>
      <c r="B596" t="s">
        <v>1890</v>
      </c>
      <c r="C596" s="2">
        <v>45093</v>
      </c>
      <c r="D596" t="s">
        <v>1891</v>
      </c>
      <c r="E596">
        <v>699.2</v>
      </c>
      <c r="F596">
        <v>0</v>
      </c>
      <c r="G596">
        <v>15</v>
      </c>
      <c r="H596">
        <v>0.04</v>
      </c>
    </row>
    <row r="597" spans="1:8" x14ac:dyDescent="0.25">
      <c r="A597">
        <v>200002287</v>
      </c>
      <c r="B597" t="s">
        <v>434</v>
      </c>
      <c r="C597" s="2">
        <v>45251</v>
      </c>
      <c r="D597" t="s">
        <v>1229</v>
      </c>
      <c r="E597">
        <v>28.27</v>
      </c>
      <c r="F597">
        <v>3</v>
      </c>
      <c r="G597">
        <v>8</v>
      </c>
      <c r="H597">
        <v>0.02</v>
      </c>
    </row>
    <row r="598" spans="1:8" x14ac:dyDescent="0.25">
      <c r="A598">
        <v>200003174</v>
      </c>
      <c r="B598" t="s">
        <v>1892</v>
      </c>
      <c r="C598" s="2">
        <v>44720</v>
      </c>
      <c r="D598" t="s">
        <v>1180</v>
      </c>
      <c r="E598">
        <v>153.4</v>
      </c>
      <c r="F598">
        <v>12</v>
      </c>
      <c r="G598">
        <v>10</v>
      </c>
      <c r="H598">
        <v>0.02</v>
      </c>
    </row>
    <row r="599" spans="1:8" x14ac:dyDescent="0.25">
      <c r="A599">
        <v>200002208</v>
      </c>
      <c r="B599" t="s">
        <v>436</v>
      </c>
      <c r="C599" s="2">
        <v>44890</v>
      </c>
      <c r="D599" t="s">
        <v>1229</v>
      </c>
      <c r="E599">
        <v>14.76</v>
      </c>
      <c r="F599">
        <v>19</v>
      </c>
      <c r="G599">
        <v>28</v>
      </c>
      <c r="H599">
        <v>7.0000000000000007E-2</v>
      </c>
    </row>
    <row r="600" spans="1:8" x14ac:dyDescent="0.25">
      <c r="A600">
        <v>200002209</v>
      </c>
      <c r="B600" t="s">
        <v>437</v>
      </c>
      <c r="C600" s="2">
        <v>44890</v>
      </c>
      <c r="D600" t="s">
        <v>1229</v>
      </c>
      <c r="E600">
        <v>25.66</v>
      </c>
      <c r="F600">
        <v>20</v>
      </c>
      <c r="G600">
        <v>32</v>
      </c>
      <c r="H600">
        <v>0.08</v>
      </c>
    </row>
    <row r="601" spans="1:8" x14ac:dyDescent="0.25">
      <c r="A601">
        <v>200002210</v>
      </c>
      <c r="B601" t="s">
        <v>438</v>
      </c>
      <c r="C601" s="2">
        <v>41487</v>
      </c>
      <c r="D601" t="s">
        <v>1356</v>
      </c>
      <c r="E601">
        <v>7.97</v>
      </c>
      <c r="F601">
        <v>4</v>
      </c>
      <c r="G601">
        <v>1</v>
      </c>
      <c r="H601">
        <v>0</v>
      </c>
    </row>
    <row r="602" spans="1:8" x14ac:dyDescent="0.25">
      <c r="A602">
        <v>200003426</v>
      </c>
      <c r="B602" t="s">
        <v>1325</v>
      </c>
      <c r="C602" s="2">
        <v>45082</v>
      </c>
      <c r="D602" t="s">
        <v>1326</v>
      </c>
      <c r="E602">
        <v>220</v>
      </c>
      <c r="F602">
        <v>0</v>
      </c>
      <c r="G602">
        <v>4</v>
      </c>
      <c r="H602">
        <v>0.01</v>
      </c>
    </row>
    <row r="603" spans="1:8" x14ac:dyDescent="0.25">
      <c r="A603">
        <v>200002581</v>
      </c>
      <c r="B603" t="s">
        <v>1893</v>
      </c>
      <c r="C603" s="2">
        <v>45247</v>
      </c>
      <c r="D603" t="s">
        <v>1326</v>
      </c>
      <c r="E603">
        <v>220</v>
      </c>
      <c r="F603">
        <v>0</v>
      </c>
      <c r="G603">
        <v>4</v>
      </c>
      <c r="H603">
        <v>0.01</v>
      </c>
    </row>
    <row r="604" spans="1:8" x14ac:dyDescent="0.25">
      <c r="A604">
        <v>200003429</v>
      </c>
      <c r="B604" t="s">
        <v>1327</v>
      </c>
      <c r="C604" s="2">
        <v>45267</v>
      </c>
      <c r="D604" t="s">
        <v>1326</v>
      </c>
      <c r="E604">
        <v>80</v>
      </c>
      <c r="F604">
        <v>0</v>
      </c>
      <c r="G604">
        <v>6</v>
      </c>
      <c r="H604">
        <v>0.01</v>
      </c>
    </row>
    <row r="605" spans="1:8" x14ac:dyDescent="0.25">
      <c r="A605">
        <v>200002582</v>
      </c>
      <c r="B605" t="s">
        <v>1894</v>
      </c>
      <c r="C605" s="2">
        <v>45247</v>
      </c>
      <c r="D605" t="s">
        <v>1326</v>
      </c>
      <c r="E605">
        <v>80</v>
      </c>
      <c r="F605">
        <v>0</v>
      </c>
      <c r="G605">
        <v>4</v>
      </c>
      <c r="H605">
        <v>0.01</v>
      </c>
    </row>
    <row r="606" spans="1:8" x14ac:dyDescent="0.25">
      <c r="A606">
        <v>200002169</v>
      </c>
      <c r="B606" t="s">
        <v>1328</v>
      </c>
      <c r="C606" s="2">
        <v>45098</v>
      </c>
      <c r="D606" t="s">
        <v>1724</v>
      </c>
      <c r="E606">
        <v>545.35</v>
      </c>
      <c r="F606">
        <v>46</v>
      </c>
      <c r="G606">
        <v>14</v>
      </c>
      <c r="H606">
        <v>0.03</v>
      </c>
    </row>
    <row r="607" spans="1:8" x14ac:dyDescent="0.25">
      <c r="A607">
        <v>200002520</v>
      </c>
      <c r="B607" t="s">
        <v>1330</v>
      </c>
      <c r="C607" s="2">
        <v>45098</v>
      </c>
      <c r="D607" t="s">
        <v>1724</v>
      </c>
      <c r="E607">
        <v>585.74</v>
      </c>
      <c r="F607">
        <v>9</v>
      </c>
      <c r="G607">
        <v>40</v>
      </c>
      <c r="H607">
        <v>0.1</v>
      </c>
    </row>
    <row r="608" spans="1:8" x14ac:dyDescent="0.25">
      <c r="A608">
        <v>200000400</v>
      </c>
      <c r="B608" t="s">
        <v>1895</v>
      </c>
      <c r="C608" s="2">
        <v>41920</v>
      </c>
      <c r="D608" t="s">
        <v>1260</v>
      </c>
      <c r="E608">
        <v>25</v>
      </c>
      <c r="F608">
        <v>6</v>
      </c>
      <c r="G608">
        <v>6</v>
      </c>
      <c r="H608">
        <v>0.01</v>
      </c>
    </row>
    <row r="609" spans="1:8" x14ac:dyDescent="0.25">
      <c r="A609">
        <v>200005092</v>
      </c>
      <c r="B609" t="s">
        <v>1896</v>
      </c>
      <c r="C609" s="2">
        <v>45112</v>
      </c>
      <c r="D609" t="s">
        <v>1897</v>
      </c>
      <c r="E609">
        <v>1895.15</v>
      </c>
      <c r="F609">
        <v>0</v>
      </c>
      <c r="G609">
        <v>36</v>
      </c>
      <c r="H609">
        <v>0.09</v>
      </c>
    </row>
    <row r="610" spans="1:8" x14ac:dyDescent="0.25">
      <c r="A610">
        <v>200005461</v>
      </c>
      <c r="B610" t="s">
        <v>1898</v>
      </c>
      <c r="C610" s="2">
        <v>45118</v>
      </c>
      <c r="D610" t="s">
        <v>1899</v>
      </c>
      <c r="E610">
        <v>329.9</v>
      </c>
      <c r="F610">
        <v>0</v>
      </c>
      <c r="G610">
        <v>357</v>
      </c>
      <c r="H610">
        <v>0.97</v>
      </c>
    </row>
    <row r="611" spans="1:8" x14ac:dyDescent="0.25">
      <c r="A611">
        <v>200004984</v>
      </c>
      <c r="B611" t="s">
        <v>1900</v>
      </c>
      <c r="C611" s="2">
        <v>45112</v>
      </c>
      <c r="D611" t="s">
        <v>1897</v>
      </c>
      <c r="E611">
        <v>451.1</v>
      </c>
      <c r="F611">
        <v>0</v>
      </c>
      <c r="G611">
        <v>495</v>
      </c>
      <c r="H611">
        <v>1.35</v>
      </c>
    </row>
    <row r="612" spans="1:8" x14ac:dyDescent="0.25">
      <c r="A612">
        <v>200006186</v>
      </c>
      <c r="B612" t="s">
        <v>1901</v>
      </c>
      <c r="C612" s="2">
        <v>45112</v>
      </c>
      <c r="D612" t="s">
        <v>1897</v>
      </c>
      <c r="E612">
        <v>239.2</v>
      </c>
      <c r="F612">
        <v>0</v>
      </c>
      <c r="G612">
        <v>250</v>
      </c>
      <c r="H612">
        <v>0.68</v>
      </c>
    </row>
    <row r="613" spans="1:8" x14ac:dyDescent="0.25">
      <c r="A613">
        <v>200006283</v>
      </c>
      <c r="B613" t="s">
        <v>1902</v>
      </c>
      <c r="C613" s="2">
        <v>44999</v>
      </c>
      <c r="D613" t="s">
        <v>1903</v>
      </c>
      <c r="E613">
        <v>415</v>
      </c>
      <c r="F613">
        <v>0</v>
      </c>
      <c r="G613">
        <v>1</v>
      </c>
      <c r="H613">
        <v>0</v>
      </c>
    </row>
    <row r="614" spans="1:8" x14ac:dyDescent="0.25">
      <c r="A614">
        <v>200006284</v>
      </c>
      <c r="B614" t="s">
        <v>1904</v>
      </c>
      <c r="C614" s="2">
        <v>44999</v>
      </c>
      <c r="D614" t="s">
        <v>1903</v>
      </c>
      <c r="E614">
        <v>415</v>
      </c>
      <c r="F614">
        <v>0</v>
      </c>
      <c r="G614">
        <v>1</v>
      </c>
      <c r="H614">
        <v>0</v>
      </c>
    </row>
    <row r="615" spans="1:8" x14ac:dyDescent="0.25">
      <c r="A615">
        <v>200005054</v>
      </c>
      <c r="B615" t="s">
        <v>444</v>
      </c>
      <c r="C615" s="2">
        <v>45119</v>
      </c>
      <c r="D615" t="s">
        <v>1457</v>
      </c>
      <c r="E615">
        <v>181.62</v>
      </c>
      <c r="F615">
        <v>13</v>
      </c>
      <c r="G615">
        <v>177</v>
      </c>
      <c r="H615">
        <v>0.48</v>
      </c>
    </row>
    <row r="616" spans="1:8" x14ac:dyDescent="0.25">
      <c r="A616">
        <v>200004082</v>
      </c>
      <c r="B616" t="s">
        <v>446</v>
      </c>
      <c r="C616" s="2">
        <v>45119</v>
      </c>
      <c r="D616" t="s">
        <v>1457</v>
      </c>
      <c r="E616">
        <v>67.599999999999994</v>
      </c>
      <c r="F616">
        <v>49</v>
      </c>
      <c r="G616">
        <v>176</v>
      </c>
      <c r="H616">
        <v>0.48</v>
      </c>
    </row>
    <row r="617" spans="1:8" x14ac:dyDescent="0.25">
      <c r="A617">
        <v>200005742</v>
      </c>
      <c r="B617" t="s">
        <v>1905</v>
      </c>
      <c r="C617" s="2">
        <v>45058</v>
      </c>
      <c r="D617" t="s">
        <v>1572</v>
      </c>
      <c r="E617">
        <v>11318.63</v>
      </c>
      <c r="F617">
        <v>0</v>
      </c>
      <c r="G617">
        <v>1</v>
      </c>
      <c r="H617">
        <v>0</v>
      </c>
    </row>
    <row r="618" spans="1:8" x14ac:dyDescent="0.25">
      <c r="A618">
        <v>200002195</v>
      </c>
      <c r="B618" t="s">
        <v>1906</v>
      </c>
      <c r="C618" s="2">
        <v>44579</v>
      </c>
      <c r="D618" t="s">
        <v>1207</v>
      </c>
      <c r="E618">
        <v>9.1300000000000008</v>
      </c>
      <c r="F618">
        <v>97</v>
      </c>
      <c r="G618">
        <v>3</v>
      </c>
      <c r="H618">
        <v>0</v>
      </c>
    </row>
    <row r="619" spans="1:8" x14ac:dyDescent="0.25">
      <c r="A619">
        <v>200002196</v>
      </c>
      <c r="B619" t="s">
        <v>1907</v>
      </c>
      <c r="C619" s="2">
        <v>44579</v>
      </c>
      <c r="D619" t="s">
        <v>1207</v>
      </c>
      <c r="E619">
        <v>11.32</v>
      </c>
      <c r="F619">
        <v>0</v>
      </c>
      <c r="G619">
        <v>13</v>
      </c>
      <c r="H619">
        <v>0.03</v>
      </c>
    </row>
    <row r="620" spans="1:8" x14ac:dyDescent="0.25">
      <c r="A620">
        <v>200002093</v>
      </c>
      <c r="B620" t="s">
        <v>1908</v>
      </c>
      <c r="C620" s="2">
        <v>44579</v>
      </c>
      <c r="D620" t="s">
        <v>1207</v>
      </c>
      <c r="E620">
        <v>7</v>
      </c>
      <c r="F620">
        <v>9</v>
      </c>
      <c r="G620">
        <v>36</v>
      </c>
      <c r="H620">
        <v>0.09</v>
      </c>
    </row>
    <row r="621" spans="1:8" x14ac:dyDescent="0.25">
      <c r="A621">
        <v>200002193</v>
      </c>
      <c r="B621" t="s">
        <v>1909</v>
      </c>
      <c r="C621" s="2">
        <v>44579</v>
      </c>
      <c r="D621" t="s">
        <v>1207</v>
      </c>
      <c r="E621">
        <v>8.58</v>
      </c>
      <c r="F621">
        <v>116</v>
      </c>
      <c r="G621">
        <v>21</v>
      </c>
      <c r="H621">
        <v>0.05</v>
      </c>
    </row>
    <row r="622" spans="1:8" x14ac:dyDescent="0.25">
      <c r="A622">
        <v>200002094</v>
      </c>
      <c r="B622" t="s">
        <v>1910</v>
      </c>
      <c r="C622" s="2">
        <v>44579</v>
      </c>
      <c r="D622" t="s">
        <v>1207</v>
      </c>
      <c r="E622">
        <v>9.93</v>
      </c>
      <c r="F622">
        <v>27</v>
      </c>
      <c r="G622">
        <v>26</v>
      </c>
      <c r="H622">
        <v>7.0000000000000007E-2</v>
      </c>
    </row>
    <row r="623" spans="1:8" x14ac:dyDescent="0.25">
      <c r="A623">
        <v>200002194</v>
      </c>
      <c r="B623" t="s">
        <v>1911</v>
      </c>
      <c r="C623" s="2">
        <v>42502</v>
      </c>
      <c r="D623" t="s">
        <v>1796</v>
      </c>
      <c r="E623">
        <v>11.51</v>
      </c>
      <c r="F623">
        <v>11</v>
      </c>
      <c r="G623">
        <v>6</v>
      </c>
      <c r="H623">
        <v>0.01</v>
      </c>
    </row>
    <row r="624" spans="1:8" x14ac:dyDescent="0.25">
      <c r="A624">
        <v>200002091</v>
      </c>
      <c r="B624" t="s">
        <v>1912</v>
      </c>
      <c r="C624" s="2">
        <v>44854</v>
      </c>
      <c r="D624" t="s">
        <v>1157</v>
      </c>
      <c r="E624">
        <v>3.61</v>
      </c>
      <c r="F624">
        <v>139</v>
      </c>
      <c r="G624">
        <v>181</v>
      </c>
      <c r="H624">
        <v>0.49</v>
      </c>
    </row>
    <row r="625" spans="1:8" x14ac:dyDescent="0.25">
      <c r="A625">
        <v>200002092</v>
      </c>
      <c r="B625" t="s">
        <v>1913</v>
      </c>
      <c r="C625" s="2">
        <v>44854</v>
      </c>
      <c r="D625" t="s">
        <v>1157</v>
      </c>
      <c r="E625">
        <v>5.46</v>
      </c>
      <c r="F625">
        <v>52</v>
      </c>
      <c r="G625">
        <v>89</v>
      </c>
      <c r="H625">
        <v>0.24</v>
      </c>
    </row>
    <row r="626" spans="1:8" x14ac:dyDescent="0.25">
      <c r="A626">
        <v>200005739</v>
      </c>
      <c r="B626" t="s">
        <v>1914</v>
      </c>
      <c r="C626" s="2">
        <v>45160</v>
      </c>
      <c r="D626" t="s">
        <v>1572</v>
      </c>
      <c r="E626">
        <v>14375.51</v>
      </c>
      <c r="F626">
        <v>0</v>
      </c>
      <c r="G626">
        <v>5</v>
      </c>
      <c r="H626">
        <v>0.01</v>
      </c>
    </row>
    <row r="627" spans="1:8" x14ac:dyDescent="0.25">
      <c r="A627">
        <v>200005740</v>
      </c>
      <c r="B627" t="s">
        <v>1915</v>
      </c>
      <c r="C627" s="2">
        <v>45152</v>
      </c>
      <c r="D627" t="s">
        <v>1572</v>
      </c>
      <c r="E627">
        <v>13403.61</v>
      </c>
      <c r="F627">
        <v>0</v>
      </c>
      <c r="G627">
        <v>4</v>
      </c>
      <c r="H627">
        <v>0.01</v>
      </c>
    </row>
    <row r="628" spans="1:8" x14ac:dyDescent="0.25">
      <c r="A628">
        <v>200005741</v>
      </c>
      <c r="B628" t="s">
        <v>1916</v>
      </c>
      <c r="C628" s="2">
        <v>45265</v>
      </c>
      <c r="D628" t="s">
        <v>1572</v>
      </c>
      <c r="E628">
        <v>20937.18</v>
      </c>
      <c r="F628">
        <v>0</v>
      </c>
      <c r="G628">
        <v>2</v>
      </c>
      <c r="H628">
        <v>0</v>
      </c>
    </row>
    <row r="629" spans="1:8" x14ac:dyDescent="0.25">
      <c r="A629">
        <v>200005738</v>
      </c>
      <c r="B629" t="s">
        <v>1917</v>
      </c>
      <c r="C629" s="2">
        <v>45058</v>
      </c>
      <c r="D629" t="s">
        <v>1572</v>
      </c>
      <c r="E629">
        <v>27067.34</v>
      </c>
      <c r="F629">
        <v>0</v>
      </c>
      <c r="G629">
        <v>4</v>
      </c>
      <c r="H629">
        <v>0.01</v>
      </c>
    </row>
    <row r="630" spans="1:8" x14ac:dyDescent="0.25">
      <c r="A630">
        <v>200005737</v>
      </c>
      <c r="B630" t="s">
        <v>1918</v>
      </c>
      <c r="C630" s="2">
        <v>45174</v>
      </c>
      <c r="D630" t="s">
        <v>1572</v>
      </c>
      <c r="E630">
        <v>31557.96</v>
      </c>
      <c r="F630">
        <v>0</v>
      </c>
      <c r="G630">
        <v>2</v>
      </c>
      <c r="H630">
        <v>0</v>
      </c>
    </row>
    <row r="631" spans="1:8" x14ac:dyDescent="0.25">
      <c r="A631">
        <v>200001953</v>
      </c>
      <c r="B631" t="s">
        <v>451</v>
      </c>
      <c r="C631" s="2">
        <v>41975</v>
      </c>
      <c r="D631" t="s">
        <v>1556</v>
      </c>
      <c r="E631">
        <v>4</v>
      </c>
      <c r="F631">
        <v>0</v>
      </c>
      <c r="G631">
        <v>7</v>
      </c>
      <c r="H631">
        <v>0.01</v>
      </c>
    </row>
    <row r="632" spans="1:8" x14ac:dyDescent="0.25">
      <c r="A632">
        <v>200000412</v>
      </c>
      <c r="B632" t="s">
        <v>462</v>
      </c>
      <c r="C632" s="2">
        <v>43893</v>
      </c>
      <c r="D632" t="s">
        <v>1338</v>
      </c>
      <c r="E632">
        <v>3.25</v>
      </c>
      <c r="F632">
        <v>0</v>
      </c>
      <c r="G632">
        <v>6</v>
      </c>
      <c r="H632">
        <v>0.01</v>
      </c>
    </row>
    <row r="633" spans="1:8" x14ac:dyDescent="0.25">
      <c r="A633">
        <v>200003600</v>
      </c>
      <c r="B633" t="s">
        <v>463</v>
      </c>
      <c r="C633" s="2">
        <v>44531</v>
      </c>
      <c r="D633" t="s">
        <v>1200</v>
      </c>
      <c r="E633">
        <v>8.3800000000000008</v>
      </c>
      <c r="F633">
        <v>6</v>
      </c>
      <c r="G633">
        <v>3</v>
      </c>
      <c r="H633">
        <v>0</v>
      </c>
    </row>
    <row r="634" spans="1:8" x14ac:dyDescent="0.25">
      <c r="A634">
        <v>200001573</v>
      </c>
      <c r="B634" t="s">
        <v>468</v>
      </c>
      <c r="C634" s="2">
        <v>44117</v>
      </c>
      <c r="D634" t="s">
        <v>1919</v>
      </c>
      <c r="E634">
        <v>6</v>
      </c>
      <c r="F634">
        <v>133</v>
      </c>
      <c r="G634">
        <v>4</v>
      </c>
      <c r="H634">
        <v>0.01</v>
      </c>
    </row>
    <row r="635" spans="1:8" x14ac:dyDescent="0.25">
      <c r="A635">
        <v>200001954</v>
      </c>
      <c r="B635" t="s">
        <v>472</v>
      </c>
      <c r="C635" s="2">
        <v>41621</v>
      </c>
      <c r="D635" t="s">
        <v>1356</v>
      </c>
      <c r="E635">
        <v>1.29</v>
      </c>
      <c r="F635">
        <v>5</v>
      </c>
      <c r="G635">
        <v>5</v>
      </c>
      <c r="H635">
        <v>0.01</v>
      </c>
    </row>
    <row r="636" spans="1:8" x14ac:dyDescent="0.25">
      <c r="A636">
        <v>200001957</v>
      </c>
      <c r="B636" t="s">
        <v>475</v>
      </c>
      <c r="C636" s="2">
        <v>40728</v>
      </c>
      <c r="D636" t="s">
        <v>1451</v>
      </c>
      <c r="E636">
        <v>1.32</v>
      </c>
      <c r="F636">
        <v>0</v>
      </c>
      <c r="G636">
        <v>9</v>
      </c>
      <c r="H636">
        <v>0.02</v>
      </c>
    </row>
    <row r="637" spans="1:8" x14ac:dyDescent="0.25">
      <c r="A637">
        <v>200001576</v>
      </c>
      <c r="B637" t="s">
        <v>478</v>
      </c>
      <c r="C637" s="2">
        <v>44055</v>
      </c>
      <c r="D637" t="s">
        <v>1338</v>
      </c>
      <c r="E637">
        <v>1.2</v>
      </c>
      <c r="F637">
        <v>0</v>
      </c>
      <c r="G637">
        <v>3</v>
      </c>
      <c r="H637">
        <v>0</v>
      </c>
    </row>
    <row r="638" spans="1:8" x14ac:dyDescent="0.25">
      <c r="A638">
        <v>200001577</v>
      </c>
      <c r="B638" t="s">
        <v>479</v>
      </c>
      <c r="C638" s="2">
        <v>43893</v>
      </c>
      <c r="D638" t="s">
        <v>1338</v>
      </c>
      <c r="E638">
        <v>2.5</v>
      </c>
      <c r="F638">
        <v>44</v>
      </c>
      <c r="G638">
        <v>31</v>
      </c>
      <c r="H638">
        <v>0.08</v>
      </c>
    </row>
    <row r="639" spans="1:8" x14ac:dyDescent="0.25">
      <c r="A639">
        <v>200001965</v>
      </c>
      <c r="B639" t="s">
        <v>480</v>
      </c>
      <c r="C639" s="2">
        <v>43893</v>
      </c>
      <c r="D639" t="s">
        <v>1338</v>
      </c>
      <c r="E639">
        <v>2</v>
      </c>
      <c r="F639">
        <v>10</v>
      </c>
      <c r="G639">
        <v>8</v>
      </c>
      <c r="H639">
        <v>0.02</v>
      </c>
    </row>
    <row r="640" spans="1:8" x14ac:dyDescent="0.25">
      <c r="A640">
        <v>200000413</v>
      </c>
      <c r="B640" t="s">
        <v>483</v>
      </c>
      <c r="C640" s="2">
        <v>43893</v>
      </c>
      <c r="D640" t="s">
        <v>1338</v>
      </c>
      <c r="E640">
        <v>3</v>
      </c>
      <c r="F640">
        <v>44</v>
      </c>
      <c r="G640">
        <v>4</v>
      </c>
      <c r="H640">
        <v>0.01</v>
      </c>
    </row>
    <row r="641" spans="1:8" x14ac:dyDescent="0.25">
      <c r="A641">
        <v>200001962</v>
      </c>
      <c r="B641" t="s">
        <v>484</v>
      </c>
      <c r="C641" s="2">
        <v>43893</v>
      </c>
      <c r="D641" t="s">
        <v>1338</v>
      </c>
      <c r="E641">
        <v>3</v>
      </c>
      <c r="F641">
        <v>143</v>
      </c>
      <c r="G641">
        <v>12</v>
      </c>
      <c r="H641">
        <v>0.03</v>
      </c>
    </row>
    <row r="642" spans="1:8" x14ac:dyDescent="0.25">
      <c r="A642">
        <v>200000415</v>
      </c>
      <c r="B642" t="s">
        <v>1920</v>
      </c>
      <c r="C642" s="2">
        <v>43893</v>
      </c>
      <c r="D642" t="s">
        <v>1338</v>
      </c>
      <c r="E642">
        <v>1.2</v>
      </c>
      <c r="F642">
        <v>0</v>
      </c>
      <c r="G642">
        <v>2</v>
      </c>
      <c r="H642">
        <v>0</v>
      </c>
    </row>
    <row r="643" spans="1:8" x14ac:dyDescent="0.25">
      <c r="A643">
        <v>200000416</v>
      </c>
      <c r="B643" t="s">
        <v>1921</v>
      </c>
      <c r="C643" s="2">
        <v>43893</v>
      </c>
      <c r="D643" t="s">
        <v>1338</v>
      </c>
      <c r="E643">
        <v>2</v>
      </c>
      <c r="F643">
        <v>101</v>
      </c>
      <c r="G643">
        <v>2</v>
      </c>
      <c r="H643">
        <v>0</v>
      </c>
    </row>
    <row r="644" spans="1:8" x14ac:dyDescent="0.25">
      <c r="A644">
        <v>200000420</v>
      </c>
      <c r="B644" t="s">
        <v>488</v>
      </c>
      <c r="C644" s="2">
        <v>40617</v>
      </c>
      <c r="D644" t="s">
        <v>1163</v>
      </c>
      <c r="E644">
        <v>3.77</v>
      </c>
      <c r="F644">
        <v>43</v>
      </c>
      <c r="G644">
        <v>3</v>
      </c>
      <c r="H644">
        <v>0</v>
      </c>
    </row>
    <row r="645" spans="1:8" x14ac:dyDescent="0.25">
      <c r="A645">
        <v>200001026</v>
      </c>
      <c r="B645" t="s">
        <v>491</v>
      </c>
      <c r="C645" s="2">
        <v>43867</v>
      </c>
      <c r="D645" t="s">
        <v>1630</v>
      </c>
      <c r="E645">
        <v>0.74</v>
      </c>
      <c r="F645">
        <v>0</v>
      </c>
      <c r="G645">
        <v>9</v>
      </c>
      <c r="H645">
        <v>0.02</v>
      </c>
    </row>
    <row r="646" spans="1:8" x14ac:dyDescent="0.25">
      <c r="A646">
        <v>200001027</v>
      </c>
      <c r="B646" t="s">
        <v>492</v>
      </c>
      <c r="C646" s="2">
        <v>44531</v>
      </c>
      <c r="D646" t="s">
        <v>1200</v>
      </c>
      <c r="E646">
        <v>3.86</v>
      </c>
      <c r="F646">
        <v>0</v>
      </c>
      <c r="G646">
        <v>7</v>
      </c>
      <c r="H646">
        <v>0.01</v>
      </c>
    </row>
    <row r="647" spans="1:8" x14ac:dyDescent="0.25">
      <c r="A647">
        <v>200001028</v>
      </c>
      <c r="B647" t="s">
        <v>493</v>
      </c>
      <c r="C647" s="2">
        <v>41621</v>
      </c>
      <c r="D647" t="s">
        <v>1356</v>
      </c>
      <c r="E647">
        <v>3.26</v>
      </c>
      <c r="F647">
        <v>0</v>
      </c>
      <c r="G647">
        <v>8</v>
      </c>
      <c r="H647">
        <v>0.02</v>
      </c>
    </row>
    <row r="648" spans="1:8" x14ac:dyDescent="0.25">
      <c r="A648">
        <v>200001963</v>
      </c>
      <c r="B648" t="s">
        <v>1922</v>
      </c>
      <c r="C648" s="2">
        <v>43893</v>
      </c>
      <c r="D648" t="s">
        <v>1338</v>
      </c>
      <c r="E648">
        <v>2.5</v>
      </c>
      <c r="F648">
        <v>0</v>
      </c>
      <c r="G648">
        <v>40</v>
      </c>
      <c r="H648">
        <v>0.1</v>
      </c>
    </row>
    <row r="649" spans="1:8" x14ac:dyDescent="0.25">
      <c r="A649">
        <v>200001964</v>
      </c>
      <c r="B649" t="s">
        <v>494</v>
      </c>
      <c r="C649" s="2">
        <v>41975</v>
      </c>
      <c r="D649" t="s">
        <v>1556</v>
      </c>
      <c r="E649">
        <v>9</v>
      </c>
      <c r="F649">
        <v>35</v>
      </c>
      <c r="G649">
        <v>5</v>
      </c>
      <c r="H649">
        <v>0.01</v>
      </c>
    </row>
    <row r="650" spans="1:8" x14ac:dyDescent="0.25">
      <c r="A650">
        <v>200001959</v>
      </c>
      <c r="B650" t="s">
        <v>497</v>
      </c>
      <c r="C650" s="2">
        <v>41975</v>
      </c>
      <c r="D650" t="s">
        <v>1556</v>
      </c>
      <c r="E650">
        <v>1.8</v>
      </c>
      <c r="F650">
        <v>25</v>
      </c>
      <c r="G650">
        <v>5</v>
      </c>
      <c r="H650">
        <v>0.01</v>
      </c>
    </row>
    <row r="651" spans="1:8" x14ac:dyDescent="0.25">
      <c r="A651">
        <v>200000229</v>
      </c>
      <c r="B651" t="s">
        <v>500</v>
      </c>
      <c r="C651" s="2">
        <v>43867</v>
      </c>
      <c r="D651" t="s">
        <v>1630</v>
      </c>
      <c r="E651">
        <v>15.64</v>
      </c>
      <c r="F651">
        <v>0</v>
      </c>
      <c r="G651">
        <v>2</v>
      </c>
      <c r="H651">
        <v>0</v>
      </c>
    </row>
    <row r="652" spans="1:8" x14ac:dyDescent="0.25">
      <c r="A652">
        <v>200000227</v>
      </c>
      <c r="B652" t="s">
        <v>502</v>
      </c>
      <c r="C652" s="2">
        <v>43867</v>
      </c>
      <c r="D652" t="s">
        <v>1630</v>
      </c>
      <c r="E652">
        <v>2.21</v>
      </c>
      <c r="F652">
        <v>0</v>
      </c>
      <c r="G652">
        <v>1</v>
      </c>
      <c r="H652">
        <v>0</v>
      </c>
    </row>
    <row r="653" spans="1:8" x14ac:dyDescent="0.25">
      <c r="A653">
        <v>200001591</v>
      </c>
      <c r="B653" t="s">
        <v>503</v>
      </c>
      <c r="C653" s="2">
        <v>41975</v>
      </c>
      <c r="D653" t="s">
        <v>1556</v>
      </c>
      <c r="E653">
        <v>5.7</v>
      </c>
      <c r="F653">
        <v>4</v>
      </c>
      <c r="G653">
        <v>4</v>
      </c>
      <c r="H653">
        <v>0.01</v>
      </c>
    </row>
    <row r="654" spans="1:8" x14ac:dyDescent="0.25">
      <c r="A654">
        <v>200000228</v>
      </c>
      <c r="B654" t="s">
        <v>504</v>
      </c>
      <c r="C654" s="2">
        <v>43867</v>
      </c>
      <c r="D654" t="s">
        <v>1630</v>
      </c>
      <c r="E654">
        <v>10.57</v>
      </c>
      <c r="F654">
        <v>0</v>
      </c>
      <c r="G654">
        <v>9</v>
      </c>
      <c r="H654">
        <v>0.02</v>
      </c>
    </row>
    <row r="655" spans="1:8" x14ac:dyDescent="0.25">
      <c r="A655">
        <v>200000172</v>
      </c>
      <c r="B655" t="s">
        <v>506</v>
      </c>
      <c r="C655" s="2">
        <v>41975</v>
      </c>
      <c r="D655" t="s">
        <v>1556</v>
      </c>
      <c r="E655">
        <v>16</v>
      </c>
      <c r="F655">
        <v>8</v>
      </c>
      <c r="G655">
        <v>2</v>
      </c>
      <c r="H655">
        <v>0</v>
      </c>
    </row>
    <row r="656" spans="1:8" x14ac:dyDescent="0.25">
      <c r="A656">
        <v>200000423</v>
      </c>
      <c r="B656" t="s">
        <v>1923</v>
      </c>
      <c r="C656" s="2">
        <v>44655</v>
      </c>
      <c r="D656" t="s">
        <v>1163</v>
      </c>
      <c r="E656">
        <v>66.31</v>
      </c>
      <c r="F656">
        <v>3</v>
      </c>
      <c r="G656">
        <v>5</v>
      </c>
      <c r="H656">
        <v>0.01</v>
      </c>
    </row>
    <row r="657" spans="1:8" x14ac:dyDescent="0.25">
      <c r="A657">
        <v>200000424</v>
      </c>
      <c r="B657" t="s">
        <v>1924</v>
      </c>
      <c r="C657" s="2">
        <v>44907</v>
      </c>
      <c r="D657" t="s">
        <v>1229</v>
      </c>
      <c r="E657">
        <v>67.39</v>
      </c>
      <c r="F657">
        <v>47</v>
      </c>
      <c r="G657">
        <v>3</v>
      </c>
      <c r="H657">
        <v>0</v>
      </c>
    </row>
    <row r="658" spans="1:8" x14ac:dyDescent="0.25">
      <c r="A658">
        <v>200006272</v>
      </c>
      <c r="B658" t="s">
        <v>519</v>
      </c>
      <c r="C658" s="2">
        <v>45243</v>
      </c>
      <c r="D658" t="s">
        <v>1925</v>
      </c>
      <c r="E658">
        <v>240</v>
      </c>
      <c r="F658">
        <v>0</v>
      </c>
      <c r="G658">
        <v>0</v>
      </c>
      <c r="H658">
        <v>0</v>
      </c>
    </row>
    <row r="659" spans="1:8" x14ac:dyDescent="0.25">
      <c r="A659">
        <v>200005238</v>
      </c>
      <c r="B659" t="s">
        <v>522</v>
      </c>
      <c r="C659" s="2">
        <v>44820</v>
      </c>
      <c r="D659" t="s">
        <v>1229</v>
      </c>
      <c r="E659">
        <v>150.44999999999999</v>
      </c>
      <c r="F659">
        <v>57</v>
      </c>
      <c r="G659">
        <v>2</v>
      </c>
      <c r="H659">
        <v>0</v>
      </c>
    </row>
    <row r="660" spans="1:8" x14ac:dyDescent="0.25">
      <c r="A660">
        <v>200001517</v>
      </c>
      <c r="B660" t="s">
        <v>1332</v>
      </c>
      <c r="C660" s="2">
        <v>44393</v>
      </c>
      <c r="D660" t="s">
        <v>1333</v>
      </c>
      <c r="E660">
        <v>1</v>
      </c>
      <c r="F660">
        <v>0</v>
      </c>
      <c r="G660">
        <v>57</v>
      </c>
      <c r="H660">
        <v>0.15</v>
      </c>
    </row>
    <row r="661" spans="1:8" x14ac:dyDescent="0.25">
      <c r="A661">
        <v>200004132</v>
      </c>
      <c r="B661" t="s">
        <v>1334</v>
      </c>
      <c r="C661" s="2">
        <v>44907</v>
      </c>
      <c r="D661" t="s">
        <v>1229</v>
      </c>
      <c r="E661">
        <v>58.46</v>
      </c>
      <c r="F661">
        <v>34</v>
      </c>
      <c r="G661">
        <v>1</v>
      </c>
      <c r="H661">
        <v>0</v>
      </c>
    </row>
    <row r="662" spans="1:8" x14ac:dyDescent="0.25">
      <c r="A662">
        <v>200006196</v>
      </c>
      <c r="B662" t="s">
        <v>1926</v>
      </c>
      <c r="C662" s="2">
        <v>44907</v>
      </c>
      <c r="D662" t="s">
        <v>1229</v>
      </c>
      <c r="E662">
        <v>68.73</v>
      </c>
      <c r="F662">
        <v>59</v>
      </c>
      <c r="G662">
        <v>5</v>
      </c>
      <c r="H662">
        <v>0.01</v>
      </c>
    </row>
    <row r="663" spans="1:8" x14ac:dyDescent="0.25">
      <c r="A663">
        <v>200000425</v>
      </c>
      <c r="B663" t="s">
        <v>526</v>
      </c>
      <c r="C663" s="2">
        <v>44890</v>
      </c>
      <c r="D663" t="s">
        <v>1229</v>
      </c>
      <c r="E663">
        <v>23.05</v>
      </c>
      <c r="F663">
        <v>65</v>
      </c>
      <c r="G663">
        <v>76</v>
      </c>
      <c r="H663">
        <v>0.2</v>
      </c>
    </row>
    <row r="664" spans="1:8" x14ac:dyDescent="0.25">
      <c r="A664">
        <v>200000426</v>
      </c>
      <c r="B664" t="s">
        <v>1927</v>
      </c>
      <c r="C664" s="2">
        <v>41621</v>
      </c>
      <c r="D664" t="s">
        <v>1356</v>
      </c>
      <c r="E664">
        <v>22.8</v>
      </c>
      <c r="F664">
        <v>48</v>
      </c>
      <c r="G664">
        <v>5</v>
      </c>
      <c r="H664">
        <v>0.01</v>
      </c>
    </row>
    <row r="665" spans="1:8" x14ac:dyDescent="0.25">
      <c r="A665">
        <v>200000427</v>
      </c>
      <c r="B665" t="s">
        <v>1928</v>
      </c>
      <c r="C665" s="2">
        <v>39933</v>
      </c>
      <c r="D665" t="s">
        <v>1444</v>
      </c>
      <c r="E665">
        <v>13</v>
      </c>
      <c r="F665">
        <v>48</v>
      </c>
      <c r="G665">
        <v>5</v>
      </c>
      <c r="H665">
        <v>0.01</v>
      </c>
    </row>
    <row r="666" spans="1:8" x14ac:dyDescent="0.25">
      <c r="A666">
        <v>200006179</v>
      </c>
      <c r="B666" t="s">
        <v>1929</v>
      </c>
      <c r="C666" s="2">
        <v>44882</v>
      </c>
      <c r="D666" t="s">
        <v>1666</v>
      </c>
      <c r="E666">
        <v>290</v>
      </c>
      <c r="F666">
        <v>0</v>
      </c>
      <c r="G666">
        <v>3</v>
      </c>
      <c r="H666">
        <v>0</v>
      </c>
    </row>
    <row r="667" spans="1:8" x14ac:dyDescent="0.25">
      <c r="A667">
        <v>200004995</v>
      </c>
      <c r="B667" t="s">
        <v>529</v>
      </c>
      <c r="C667" s="2">
        <v>45114</v>
      </c>
      <c r="D667" t="s">
        <v>1482</v>
      </c>
      <c r="E667">
        <v>243.98</v>
      </c>
      <c r="F667">
        <v>1</v>
      </c>
      <c r="G667">
        <v>4</v>
      </c>
      <c r="H667">
        <v>0.01</v>
      </c>
    </row>
    <row r="668" spans="1:8" x14ac:dyDescent="0.25">
      <c r="A668">
        <v>200000743</v>
      </c>
      <c r="B668" t="s">
        <v>1930</v>
      </c>
      <c r="C668" s="2">
        <v>42430</v>
      </c>
      <c r="D668" t="s">
        <v>1493</v>
      </c>
      <c r="E668">
        <v>31.38</v>
      </c>
      <c r="F668">
        <v>5</v>
      </c>
      <c r="G668">
        <v>2</v>
      </c>
      <c r="H668">
        <v>0</v>
      </c>
    </row>
    <row r="669" spans="1:8" x14ac:dyDescent="0.25">
      <c r="A669">
        <v>200002303</v>
      </c>
      <c r="B669" t="s">
        <v>1931</v>
      </c>
      <c r="C669" s="2">
        <v>45236</v>
      </c>
      <c r="D669" t="s">
        <v>1932</v>
      </c>
      <c r="E669">
        <v>4935</v>
      </c>
      <c r="F669">
        <v>0</v>
      </c>
      <c r="G669">
        <v>9</v>
      </c>
      <c r="H669">
        <v>0.02</v>
      </c>
    </row>
    <row r="670" spans="1:8" x14ac:dyDescent="0.25">
      <c r="A670">
        <v>200006356</v>
      </c>
      <c r="B670" t="s">
        <v>1933</v>
      </c>
      <c r="C670" s="2">
        <v>45160</v>
      </c>
      <c r="D670" t="s">
        <v>1653</v>
      </c>
      <c r="E670">
        <v>33.1</v>
      </c>
      <c r="F670">
        <v>0</v>
      </c>
      <c r="G670">
        <v>300</v>
      </c>
      <c r="H670">
        <v>0.82</v>
      </c>
    </row>
    <row r="671" spans="1:8" x14ac:dyDescent="0.25">
      <c r="A671">
        <v>200000454</v>
      </c>
      <c r="B671" t="s">
        <v>1335</v>
      </c>
      <c r="C671" s="2">
        <v>45280</v>
      </c>
      <c r="D671" t="s">
        <v>1196</v>
      </c>
      <c r="E671">
        <v>13.5</v>
      </c>
      <c r="F671">
        <v>143</v>
      </c>
      <c r="G671">
        <v>210</v>
      </c>
      <c r="H671">
        <v>0.56999999999999995</v>
      </c>
    </row>
    <row r="672" spans="1:8" x14ac:dyDescent="0.25">
      <c r="A672">
        <v>200000455</v>
      </c>
      <c r="B672" t="s">
        <v>1934</v>
      </c>
      <c r="C672" s="2">
        <v>42269</v>
      </c>
      <c r="D672" t="s">
        <v>1172</v>
      </c>
      <c r="E672">
        <v>3.47</v>
      </c>
      <c r="F672">
        <v>72</v>
      </c>
      <c r="G672">
        <v>5</v>
      </c>
      <c r="H672">
        <v>0.01</v>
      </c>
    </row>
    <row r="673" spans="1:8" x14ac:dyDescent="0.25">
      <c r="A673">
        <v>200003456</v>
      </c>
      <c r="B673" t="s">
        <v>1935</v>
      </c>
      <c r="C673" s="2">
        <v>43497</v>
      </c>
      <c r="D673" t="s">
        <v>1596</v>
      </c>
      <c r="E673">
        <v>1</v>
      </c>
      <c r="F673">
        <v>0</v>
      </c>
      <c r="G673">
        <v>169</v>
      </c>
      <c r="H673">
        <v>0.46</v>
      </c>
    </row>
    <row r="674" spans="1:8" x14ac:dyDescent="0.25">
      <c r="A674">
        <v>200003455</v>
      </c>
      <c r="B674" t="s">
        <v>1936</v>
      </c>
      <c r="C674" s="2">
        <v>43497</v>
      </c>
      <c r="D674" t="s">
        <v>1596</v>
      </c>
      <c r="E674">
        <v>1.1100000000000001</v>
      </c>
      <c r="F674">
        <v>0</v>
      </c>
      <c r="G674">
        <v>189</v>
      </c>
      <c r="H674">
        <v>0.51</v>
      </c>
    </row>
    <row r="675" spans="1:8" x14ac:dyDescent="0.25">
      <c r="A675">
        <v>200002716</v>
      </c>
      <c r="B675" t="s">
        <v>531</v>
      </c>
      <c r="C675" s="2">
        <v>45068</v>
      </c>
      <c r="D675" t="s">
        <v>1229</v>
      </c>
      <c r="E675">
        <v>1.76</v>
      </c>
      <c r="F675">
        <v>196</v>
      </c>
      <c r="G675">
        <v>691</v>
      </c>
      <c r="H675">
        <v>1.89</v>
      </c>
    </row>
    <row r="676" spans="1:8" x14ac:dyDescent="0.25">
      <c r="A676">
        <v>200002717</v>
      </c>
      <c r="B676" t="s">
        <v>532</v>
      </c>
      <c r="C676" s="2">
        <v>45202</v>
      </c>
      <c r="D676" t="s">
        <v>1229</v>
      </c>
      <c r="E676">
        <v>1.64</v>
      </c>
      <c r="F676">
        <v>297</v>
      </c>
      <c r="G676">
        <v>927</v>
      </c>
      <c r="H676">
        <v>2.5299999999999998</v>
      </c>
    </row>
    <row r="677" spans="1:8" x14ac:dyDescent="0.25">
      <c r="A677">
        <v>200005051</v>
      </c>
      <c r="B677" t="s">
        <v>1937</v>
      </c>
      <c r="C677" s="2">
        <v>44102</v>
      </c>
      <c r="D677" t="s">
        <v>1229</v>
      </c>
      <c r="E677">
        <v>2.39</v>
      </c>
      <c r="F677">
        <v>0</v>
      </c>
      <c r="G677">
        <v>100</v>
      </c>
      <c r="H677">
        <v>0.27</v>
      </c>
    </row>
    <row r="678" spans="1:8" x14ac:dyDescent="0.25">
      <c r="A678">
        <v>200000456</v>
      </c>
      <c r="B678" t="s">
        <v>534</v>
      </c>
      <c r="C678" s="2">
        <v>44903</v>
      </c>
      <c r="D678" t="s">
        <v>1229</v>
      </c>
      <c r="E678">
        <v>3.79</v>
      </c>
      <c r="F678">
        <v>46</v>
      </c>
      <c r="G678">
        <v>144</v>
      </c>
      <c r="H678">
        <v>0.39</v>
      </c>
    </row>
    <row r="679" spans="1:8" x14ac:dyDescent="0.25">
      <c r="A679">
        <v>200004288</v>
      </c>
      <c r="B679" t="s">
        <v>1938</v>
      </c>
      <c r="C679" s="2">
        <v>44102</v>
      </c>
      <c r="D679" t="s">
        <v>1229</v>
      </c>
      <c r="E679">
        <v>1.98</v>
      </c>
      <c r="F679">
        <v>0</v>
      </c>
      <c r="G679">
        <v>23</v>
      </c>
      <c r="H679">
        <v>0.06</v>
      </c>
    </row>
    <row r="680" spans="1:8" x14ac:dyDescent="0.25">
      <c r="A680">
        <v>200004290</v>
      </c>
      <c r="B680" t="s">
        <v>1939</v>
      </c>
      <c r="C680" s="2">
        <v>44102</v>
      </c>
      <c r="D680" t="s">
        <v>1229</v>
      </c>
      <c r="E680">
        <v>1.85</v>
      </c>
      <c r="F680">
        <v>0</v>
      </c>
      <c r="G680">
        <v>86</v>
      </c>
      <c r="H680">
        <v>0.23</v>
      </c>
    </row>
    <row r="681" spans="1:8" x14ac:dyDescent="0.25">
      <c r="A681">
        <v>200004291</v>
      </c>
      <c r="B681" t="s">
        <v>536</v>
      </c>
      <c r="C681" s="2">
        <v>43284</v>
      </c>
      <c r="D681" t="s">
        <v>1596</v>
      </c>
      <c r="E681">
        <v>2.0099999999999998</v>
      </c>
      <c r="F681">
        <v>0</v>
      </c>
      <c r="G681">
        <v>8</v>
      </c>
      <c r="H681">
        <v>0.02</v>
      </c>
    </row>
    <row r="682" spans="1:8" x14ac:dyDescent="0.25">
      <c r="A682">
        <v>200004287</v>
      </c>
      <c r="B682" t="s">
        <v>1940</v>
      </c>
      <c r="C682" s="2">
        <v>44102</v>
      </c>
      <c r="D682" t="s">
        <v>1229</v>
      </c>
      <c r="E682">
        <v>2.04</v>
      </c>
      <c r="F682">
        <v>0</v>
      </c>
      <c r="G682">
        <v>84</v>
      </c>
      <c r="H682">
        <v>0.23</v>
      </c>
    </row>
    <row r="683" spans="1:8" x14ac:dyDescent="0.25">
      <c r="A683">
        <v>200001615</v>
      </c>
      <c r="B683" t="s">
        <v>538</v>
      </c>
      <c r="C683" s="2">
        <v>44830</v>
      </c>
      <c r="D683" t="s">
        <v>1163</v>
      </c>
      <c r="E683">
        <v>4.2300000000000004</v>
      </c>
      <c r="F683">
        <v>81</v>
      </c>
      <c r="G683">
        <v>161</v>
      </c>
      <c r="H683">
        <v>0.44</v>
      </c>
    </row>
    <row r="684" spans="1:8" x14ac:dyDescent="0.25">
      <c r="A684">
        <v>200004603</v>
      </c>
      <c r="B684" t="s">
        <v>1941</v>
      </c>
      <c r="C684" s="2">
        <v>44102</v>
      </c>
      <c r="D684" t="s">
        <v>1229</v>
      </c>
      <c r="E684">
        <v>0.77</v>
      </c>
      <c r="F684">
        <v>0</v>
      </c>
      <c r="G684">
        <v>80</v>
      </c>
      <c r="H684">
        <v>0.21</v>
      </c>
    </row>
    <row r="685" spans="1:8" x14ac:dyDescent="0.25">
      <c r="A685">
        <v>200000460</v>
      </c>
      <c r="B685" t="s">
        <v>544</v>
      </c>
      <c r="C685" s="2">
        <v>45251</v>
      </c>
      <c r="D685" t="s">
        <v>1229</v>
      </c>
      <c r="E685">
        <v>250</v>
      </c>
      <c r="F685">
        <v>0</v>
      </c>
      <c r="G685">
        <v>157</v>
      </c>
      <c r="H685">
        <v>0.43</v>
      </c>
    </row>
    <row r="686" spans="1:8" x14ac:dyDescent="0.25">
      <c r="A686">
        <v>200001393</v>
      </c>
      <c r="B686" t="s">
        <v>1336</v>
      </c>
      <c r="C686" s="2">
        <v>44908</v>
      </c>
      <c r="D686" t="s">
        <v>1344</v>
      </c>
      <c r="E686">
        <v>155.25</v>
      </c>
      <c r="F686">
        <v>195</v>
      </c>
      <c r="G686">
        <v>17</v>
      </c>
      <c r="H686">
        <v>0.04</v>
      </c>
    </row>
    <row r="687" spans="1:8" x14ac:dyDescent="0.25">
      <c r="A687">
        <v>200000758</v>
      </c>
      <c r="B687" t="s">
        <v>1942</v>
      </c>
      <c r="C687" s="2">
        <v>44858</v>
      </c>
      <c r="D687" t="s">
        <v>1344</v>
      </c>
      <c r="E687">
        <v>33.75</v>
      </c>
      <c r="F687">
        <v>42</v>
      </c>
      <c r="G687">
        <v>67</v>
      </c>
      <c r="H687">
        <v>0.18</v>
      </c>
    </row>
    <row r="688" spans="1:8" x14ac:dyDescent="0.25">
      <c r="A688">
        <v>200001266</v>
      </c>
      <c r="B688" t="s">
        <v>1943</v>
      </c>
      <c r="C688" s="2">
        <v>44579</v>
      </c>
      <c r="D688" t="s">
        <v>1207</v>
      </c>
      <c r="E688">
        <v>19</v>
      </c>
      <c r="F688">
        <v>274</v>
      </c>
      <c r="G688">
        <v>170</v>
      </c>
      <c r="H688">
        <v>0.46</v>
      </c>
    </row>
    <row r="689" spans="1:8" x14ac:dyDescent="0.25">
      <c r="A689">
        <v>200005301</v>
      </c>
      <c r="B689" t="s">
        <v>1944</v>
      </c>
      <c r="C689" s="2">
        <v>44187</v>
      </c>
      <c r="D689" t="s">
        <v>1945</v>
      </c>
      <c r="E689">
        <v>57</v>
      </c>
      <c r="F689">
        <v>25</v>
      </c>
      <c r="G689">
        <v>40</v>
      </c>
      <c r="H689">
        <v>0.1</v>
      </c>
    </row>
    <row r="690" spans="1:8" x14ac:dyDescent="0.25">
      <c r="A690">
        <v>200001972</v>
      </c>
      <c r="B690" t="s">
        <v>552</v>
      </c>
      <c r="C690" s="2">
        <v>43867</v>
      </c>
      <c r="D690" t="s">
        <v>1630</v>
      </c>
      <c r="E690">
        <v>5.38</v>
      </c>
      <c r="F690">
        <v>26</v>
      </c>
      <c r="G690">
        <v>2</v>
      </c>
      <c r="H690">
        <v>0</v>
      </c>
    </row>
    <row r="691" spans="1:8" x14ac:dyDescent="0.25">
      <c r="A691">
        <v>200001973</v>
      </c>
      <c r="B691" t="s">
        <v>553</v>
      </c>
      <c r="C691" s="2">
        <v>41975</v>
      </c>
      <c r="D691" t="s">
        <v>1556</v>
      </c>
      <c r="E691">
        <v>5.7</v>
      </c>
      <c r="F691">
        <v>0</v>
      </c>
      <c r="G691">
        <v>8</v>
      </c>
      <c r="H691">
        <v>0.02</v>
      </c>
    </row>
    <row r="692" spans="1:8" x14ac:dyDescent="0.25">
      <c r="A692">
        <v>200001987</v>
      </c>
      <c r="B692" t="s">
        <v>562</v>
      </c>
      <c r="C692" s="2">
        <v>44055</v>
      </c>
      <c r="D692" t="s">
        <v>1338</v>
      </c>
      <c r="E692">
        <v>6</v>
      </c>
      <c r="F692">
        <v>0</v>
      </c>
      <c r="G692">
        <v>5</v>
      </c>
      <c r="H692">
        <v>0.01</v>
      </c>
    </row>
    <row r="693" spans="1:8" x14ac:dyDescent="0.25">
      <c r="A693">
        <v>200001988</v>
      </c>
      <c r="B693" t="s">
        <v>563</v>
      </c>
      <c r="C693" s="2">
        <v>44055</v>
      </c>
      <c r="D693" t="s">
        <v>1338</v>
      </c>
      <c r="E693">
        <v>12</v>
      </c>
      <c r="F693">
        <v>14</v>
      </c>
      <c r="G693">
        <v>4</v>
      </c>
      <c r="H693">
        <v>0.01</v>
      </c>
    </row>
    <row r="694" spans="1:8" x14ac:dyDescent="0.25">
      <c r="A694">
        <v>200001989</v>
      </c>
      <c r="B694" t="s">
        <v>564</v>
      </c>
      <c r="C694" s="2">
        <v>42635</v>
      </c>
      <c r="D694" t="s">
        <v>1400</v>
      </c>
      <c r="E694">
        <v>12.97</v>
      </c>
      <c r="F694">
        <v>16</v>
      </c>
      <c r="G694">
        <v>25</v>
      </c>
      <c r="H694">
        <v>0.06</v>
      </c>
    </row>
    <row r="695" spans="1:8" x14ac:dyDescent="0.25">
      <c r="A695">
        <v>200001991</v>
      </c>
      <c r="B695" t="s">
        <v>566</v>
      </c>
      <c r="C695" s="2">
        <v>41306</v>
      </c>
      <c r="D695" t="s">
        <v>1356</v>
      </c>
      <c r="E695">
        <v>20.99</v>
      </c>
      <c r="F695">
        <v>14</v>
      </c>
      <c r="G695">
        <v>1</v>
      </c>
      <c r="H695">
        <v>0</v>
      </c>
    </row>
    <row r="696" spans="1:8" x14ac:dyDescent="0.25">
      <c r="A696">
        <v>200000762</v>
      </c>
      <c r="B696" t="s">
        <v>1946</v>
      </c>
      <c r="C696" s="2">
        <v>44593</v>
      </c>
      <c r="D696" t="s">
        <v>1441</v>
      </c>
      <c r="E696">
        <v>5.01</v>
      </c>
      <c r="F696">
        <v>39</v>
      </c>
      <c r="G696">
        <v>52</v>
      </c>
      <c r="H696">
        <v>0.14000000000000001</v>
      </c>
    </row>
    <row r="697" spans="1:8" x14ac:dyDescent="0.25">
      <c r="A697">
        <v>200002098</v>
      </c>
      <c r="B697" t="s">
        <v>1947</v>
      </c>
      <c r="C697" s="2">
        <v>44593</v>
      </c>
      <c r="D697" t="s">
        <v>1441</v>
      </c>
      <c r="E697">
        <v>10.76</v>
      </c>
      <c r="F697">
        <v>54</v>
      </c>
      <c r="G697">
        <v>45</v>
      </c>
      <c r="H697">
        <v>0.12</v>
      </c>
    </row>
    <row r="698" spans="1:8" x14ac:dyDescent="0.25">
      <c r="A698">
        <v>200002074</v>
      </c>
      <c r="B698" t="s">
        <v>1337</v>
      </c>
      <c r="C698" s="2">
        <v>44593</v>
      </c>
      <c r="D698" t="s">
        <v>1441</v>
      </c>
      <c r="E698">
        <v>12.77</v>
      </c>
      <c r="F698">
        <v>370</v>
      </c>
      <c r="G698">
        <v>456</v>
      </c>
      <c r="H698">
        <v>1.24</v>
      </c>
    </row>
    <row r="699" spans="1:8" x14ac:dyDescent="0.25">
      <c r="A699">
        <v>200000763</v>
      </c>
      <c r="B699" t="s">
        <v>1948</v>
      </c>
      <c r="C699" s="2">
        <v>44593</v>
      </c>
      <c r="D699" t="s">
        <v>1441</v>
      </c>
      <c r="E699">
        <v>4.16</v>
      </c>
      <c r="F699">
        <v>308</v>
      </c>
      <c r="G699">
        <v>16</v>
      </c>
      <c r="H699">
        <v>0.04</v>
      </c>
    </row>
    <row r="700" spans="1:8" x14ac:dyDescent="0.25">
      <c r="A700">
        <v>200002002</v>
      </c>
      <c r="B700" t="s">
        <v>567</v>
      </c>
      <c r="C700" s="2">
        <v>43892</v>
      </c>
      <c r="D700" t="s">
        <v>1338</v>
      </c>
      <c r="E700">
        <v>2</v>
      </c>
      <c r="F700">
        <v>19</v>
      </c>
      <c r="G700">
        <v>1</v>
      </c>
      <c r="H700">
        <v>0</v>
      </c>
    </row>
    <row r="701" spans="1:8" x14ac:dyDescent="0.25">
      <c r="A701">
        <v>200001992</v>
      </c>
      <c r="B701" t="s">
        <v>569</v>
      </c>
      <c r="C701" s="2">
        <v>44055</v>
      </c>
      <c r="D701" t="s">
        <v>1338</v>
      </c>
      <c r="E701">
        <v>1</v>
      </c>
      <c r="F701">
        <v>9</v>
      </c>
      <c r="G701">
        <v>5</v>
      </c>
      <c r="H701">
        <v>0.01</v>
      </c>
    </row>
    <row r="702" spans="1:8" x14ac:dyDescent="0.25">
      <c r="A702">
        <v>200001993</v>
      </c>
      <c r="B702" t="s">
        <v>570</v>
      </c>
      <c r="C702" s="2">
        <v>44055</v>
      </c>
      <c r="D702" t="s">
        <v>1338</v>
      </c>
      <c r="E702">
        <v>2</v>
      </c>
      <c r="F702">
        <v>37</v>
      </c>
      <c r="G702">
        <v>9</v>
      </c>
      <c r="H702">
        <v>0.02</v>
      </c>
    </row>
    <row r="703" spans="1:8" x14ac:dyDescent="0.25">
      <c r="A703">
        <v>200001994</v>
      </c>
      <c r="B703" t="s">
        <v>571</v>
      </c>
      <c r="C703" s="2">
        <v>43893</v>
      </c>
      <c r="D703" t="s">
        <v>1338</v>
      </c>
      <c r="E703">
        <v>2</v>
      </c>
      <c r="F703">
        <v>22</v>
      </c>
      <c r="G703">
        <v>5</v>
      </c>
      <c r="H703">
        <v>0.01</v>
      </c>
    </row>
    <row r="704" spans="1:8" x14ac:dyDescent="0.25">
      <c r="A704">
        <v>200003603</v>
      </c>
      <c r="B704" t="s">
        <v>572</v>
      </c>
      <c r="C704" s="2">
        <v>42635</v>
      </c>
      <c r="D704" t="s">
        <v>1400</v>
      </c>
      <c r="E704">
        <v>2.93</v>
      </c>
      <c r="F704">
        <v>13</v>
      </c>
      <c r="G704">
        <v>2</v>
      </c>
      <c r="H704">
        <v>0</v>
      </c>
    </row>
    <row r="705" spans="1:8" x14ac:dyDescent="0.25">
      <c r="A705">
        <v>200001995</v>
      </c>
      <c r="B705" t="s">
        <v>573</v>
      </c>
      <c r="C705" s="2">
        <v>43893</v>
      </c>
      <c r="D705" t="s">
        <v>1338</v>
      </c>
      <c r="E705">
        <v>6.2</v>
      </c>
      <c r="F705">
        <v>18</v>
      </c>
      <c r="G705">
        <v>5</v>
      </c>
      <c r="H705">
        <v>0.01</v>
      </c>
    </row>
    <row r="706" spans="1:8" x14ac:dyDescent="0.25">
      <c r="A706">
        <v>200002560</v>
      </c>
      <c r="B706" t="s">
        <v>1949</v>
      </c>
      <c r="C706" s="2">
        <v>42130</v>
      </c>
      <c r="D706" t="s">
        <v>1229</v>
      </c>
      <c r="E706">
        <v>10</v>
      </c>
      <c r="F706">
        <v>316</v>
      </c>
      <c r="G706">
        <v>17</v>
      </c>
      <c r="H706">
        <v>0.04</v>
      </c>
    </row>
    <row r="707" spans="1:8" x14ac:dyDescent="0.25">
      <c r="A707">
        <v>200001693</v>
      </c>
      <c r="B707" t="s">
        <v>1950</v>
      </c>
      <c r="C707" s="2">
        <v>44838</v>
      </c>
      <c r="D707" t="s">
        <v>1163</v>
      </c>
      <c r="E707">
        <v>9.16</v>
      </c>
      <c r="F707">
        <v>509</v>
      </c>
      <c r="G707">
        <v>10</v>
      </c>
      <c r="H707">
        <v>0.02</v>
      </c>
    </row>
    <row r="708" spans="1:8" x14ac:dyDescent="0.25">
      <c r="A708">
        <v>200000479</v>
      </c>
      <c r="B708" t="s">
        <v>1951</v>
      </c>
      <c r="C708" s="2">
        <v>42122</v>
      </c>
      <c r="D708" t="s">
        <v>1159</v>
      </c>
      <c r="E708">
        <v>3</v>
      </c>
      <c r="F708">
        <v>689</v>
      </c>
      <c r="G708">
        <v>10</v>
      </c>
      <c r="H708">
        <v>0.02</v>
      </c>
    </row>
    <row r="709" spans="1:8" x14ac:dyDescent="0.25">
      <c r="A709">
        <v>200001996</v>
      </c>
      <c r="B709" t="s">
        <v>577</v>
      </c>
      <c r="C709" s="2">
        <v>41621</v>
      </c>
      <c r="D709" t="s">
        <v>1356</v>
      </c>
      <c r="E709">
        <v>0.65</v>
      </c>
      <c r="F709">
        <v>67</v>
      </c>
      <c r="G709">
        <v>26</v>
      </c>
      <c r="H709">
        <v>7.0000000000000007E-2</v>
      </c>
    </row>
    <row r="710" spans="1:8" x14ac:dyDescent="0.25">
      <c r="A710">
        <v>200003649</v>
      </c>
      <c r="B710" t="s">
        <v>1952</v>
      </c>
      <c r="C710" s="2">
        <v>42635</v>
      </c>
      <c r="D710" t="s">
        <v>1400</v>
      </c>
      <c r="E710">
        <v>7.17</v>
      </c>
      <c r="F710">
        <v>1</v>
      </c>
      <c r="G710">
        <v>1</v>
      </c>
      <c r="H710">
        <v>0</v>
      </c>
    </row>
    <row r="711" spans="1:8" x14ac:dyDescent="0.25">
      <c r="A711">
        <v>200001997</v>
      </c>
      <c r="B711" t="s">
        <v>580</v>
      </c>
      <c r="C711" s="2">
        <v>41621</v>
      </c>
      <c r="D711" t="s">
        <v>1356</v>
      </c>
      <c r="E711">
        <v>0.97</v>
      </c>
      <c r="F711">
        <v>55</v>
      </c>
      <c r="G711">
        <v>2</v>
      </c>
      <c r="H711">
        <v>0</v>
      </c>
    </row>
    <row r="712" spans="1:8" x14ac:dyDescent="0.25">
      <c r="A712">
        <v>200001976</v>
      </c>
      <c r="B712" t="s">
        <v>583</v>
      </c>
      <c r="C712" s="2">
        <v>43867</v>
      </c>
      <c r="D712" t="s">
        <v>1630</v>
      </c>
      <c r="E712">
        <v>0.9</v>
      </c>
      <c r="F712">
        <v>1</v>
      </c>
      <c r="G712">
        <v>17</v>
      </c>
      <c r="H712">
        <v>0.04</v>
      </c>
    </row>
    <row r="713" spans="1:8" x14ac:dyDescent="0.25">
      <c r="A713">
        <v>200001977</v>
      </c>
      <c r="B713" t="s">
        <v>584</v>
      </c>
      <c r="C713" s="2">
        <v>41306</v>
      </c>
      <c r="D713" t="s">
        <v>1356</v>
      </c>
      <c r="E713">
        <v>1.82</v>
      </c>
      <c r="F713">
        <v>23</v>
      </c>
      <c r="G713">
        <v>8</v>
      </c>
      <c r="H713">
        <v>0.02</v>
      </c>
    </row>
    <row r="714" spans="1:8" x14ac:dyDescent="0.25">
      <c r="A714">
        <v>200001978</v>
      </c>
      <c r="B714" t="s">
        <v>585</v>
      </c>
      <c r="C714" s="2">
        <v>43867</v>
      </c>
      <c r="D714" t="s">
        <v>1630</v>
      </c>
      <c r="E714">
        <v>3.37</v>
      </c>
      <c r="F714">
        <v>4</v>
      </c>
      <c r="G714">
        <v>16</v>
      </c>
      <c r="H714">
        <v>0.04</v>
      </c>
    </row>
    <row r="715" spans="1:8" x14ac:dyDescent="0.25">
      <c r="A715">
        <v>200001980</v>
      </c>
      <c r="B715" t="s">
        <v>586</v>
      </c>
      <c r="C715" s="2">
        <v>44055</v>
      </c>
      <c r="D715" t="s">
        <v>1338</v>
      </c>
      <c r="E715">
        <v>0.3</v>
      </c>
      <c r="F715">
        <v>0</v>
      </c>
      <c r="G715">
        <v>7</v>
      </c>
      <c r="H715">
        <v>0.01</v>
      </c>
    </row>
    <row r="716" spans="1:8" x14ac:dyDescent="0.25">
      <c r="A716">
        <v>200001981</v>
      </c>
      <c r="B716" t="s">
        <v>587</v>
      </c>
      <c r="C716" s="2">
        <v>44055</v>
      </c>
      <c r="D716" t="s">
        <v>1338</v>
      </c>
      <c r="E716">
        <v>0.4</v>
      </c>
      <c r="F716">
        <v>0</v>
      </c>
      <c r="G716">
        <v>20</v>
      </c>
      <c r="H716">
        <v>0.05</v>
      </c>
    </row>
    <row r="717" spans="1:8" x14ac:dyDescent="0.25">
      <c r="A717">
        <v>200001983</v>
      </c>
      <c r="B717" t="s">
        <v>589</v>
      </c>
      <c r="C717" s="2">
        <v>44531</v>
      </c>
      <c r="D717" t="s">
        <v>1200</v>
      </c>
      <c r="E717">
        <v>4.67</v>
      </c>
      <c r="F717">
        <v>0</v>
      </c>
      <c r="G717">
        <v>3</v>
      </c>
      <c r="H717">
        <v>0</v>
      </c>
    </row>
    <row r="718" spans="1:8" x14ac:dyDescent="0.25">
      <c r="A718">
        <v>200001985</v>
      </c>
      <c r="B718" t="s">
        <v>591</v>
      </c>
      <c r="C718" s="2">
        <v>43893</v>
      </c>
      <c r="D718" t="s">
        <v>1338</v>
      </c>
      <c r="E718">
        <v>6.2</v>
      </c>
      <c r="F718">
        <v>38</v>
      </c>
      <c r="G718">
        <v>11</v>
      </c>
      <c r="H718">
        <v>0.03</v>
      </c>
    </row>
    <row r="719" spans="1:8" x14ac:dyDescent="0.25">
      <c r="A719">
        <v>200004567</v>
      </c>
      <c r="B719" t="s">
        <v>593</v>
      </c>
      <c r="C719" s="2">
        <v>43893</v>
      </c>
      <c r="D719" t="s">
        <v>1338</v>
      </c>
      <c r="E719">
        <v>15</v>
      </c>
      <c r="F719">
        <v>21</v>
      </c>
      <c r="G719">
        <v>2</v>
      </c>
      <c r="H719">
        <v>0</v>
      </c>
    </row>
    <row r="720" spans="1:8" x14ac:dyDescent="0.25">
      <c r="A720">
        <v>200000471</v>
      </c>
      <c r="B720" t="s">
        <v>1953</v>
      </c>
      <c r="C720" s="2">
        <v>43893</v>
      </c>
      <c r="D720" t="s">
        <v>1338</v>
      </c>
      <c r="E720">
        <v>2</v>
      </c>
      <c r="F720">
        <v>39</v>
      </c>
      <c r="G720">
        <v>11</v>
      </c>
      <c r="H720">
        <v>0.03</v>
      </c>
    </row>
    <row r="721" spans="1:8" x14ac:dyDescent="0.25">
      <c r="A721">
        <v>200000472</v>
      </c>
      <c r="B721" t="s">
        <v>1954</v>
      </c>
      <c r="C721" s="2">
        <v>43893</v>
      </c>
      <c r="D721" t="s">
        <v>1338</v>
      </c>
      <c r="E721">
        <v>4</v>
      </c>
      <c r="F721">
        <v>51</v>
      </c>
      <c r="G721">
        <v>14</v>
      </c>
      <c r="H721">
        <v>0.03</v>
      </c>
    </row>
    <row r="722" spans="1:8" x14ac:dyDescent="0.25">
      <c r="A722">
        <v>200000473</v>
      </c>
      <c r="B722" t="s">
        <v>1955</v>
      </c>
      <c r="C722" s="2">
        <v>43893</v>
      </c>
      <c r="D722" t="s">
        <v>1338</v>
      </c>
      <c r="E722">
        <v>0.8</v>
      </c>
      <c r="F722">
        <v>33</v>
      </c>
      <c r="G722">
        <v>4</v>
      </c>
      <c r="H722">
        <v>0.01</v>
      </c>
    </row>
    <row r="723" spans="1:8" x14ac:dyDescent="0.25">
      <c r="A723">
        <v>200000474</v>
      </c>
      <c r="B723" t="s">
        <v>1956</v>
      </c>
      <c r="C723" s="2">
        <v>43893</v>
      </c>
      <c r="D723" t="s">
        <v>1338</v>
      </c>
      <c r="E723">
        <v>1</v>
      </c>
      <c r="F723">
        <v>7</v>
      </c>
      <c r="G723">
        <v>4</v>
      </c>
      <c r="H723">
        <v>0.01</v>
      </c>
    </row>
    <row r="724" spans="1:8" x14ac:dyDescent="0.25">
      <c r="A724">
        <v>200000447</v>
      </c>
      <c r="B724" t="s">
        <v>1339</v>
      </c>
      <c r="C724" s="2">
        <v>45280</v>
      </c>
      <c r="D724" t="s">
        <v>1196</v>
      </c>
      <c r="E724">
        <v>0.9</v>
      </c>
      <c r="F724">
        <v>1420</v>
      </c>
      <c r="G724">
        <v>1930</v>
      </c>
      <c r="H724">
        <v>5.28</v>
      </c>
    </row>
    <row r="725" spans="1:8" x14ac:dyDescent="0.25">
      <c r="A725">
        <v>200001526</v>
      </c>
      <c r="B725" t="s">
        <v>1341</v>
      </c>
      <c r="C725" s="2">
        <v>42122</v>
      </c>
      <c r="D725" t="s">
        <v>1159</v>
      </c>
      <c r="E725">
        <v>5.27</v>
      </c>
      <c r="F725">
        <v>41</v>
      </c>
      <c r="G725">
        <v>15</v>
      </c>
      <c r="H725">
        <v>0.04</v>
      </c>
    </row>
    <row r="726" spans="1:8" x14ac:dyDescent="0.25">
      <c r="A726">
        <v>200000430</v>
      </c>
      <c r="B726" t="s">
        <v>1957</v>
      </c>
      <c r="C726" s="2">
        <v>44117</v>
      </c>
      <c r="D726" t="s">
        <v>1958</v>
      </c>
      <c r="E726">
        <v>7.86</v>
      </c>
      <c r="F726">
        <v>27</v>
      </c>
      <c r="G726">
        <v>25</v>
      </c>
      <c r="H726">
        <v>0.06</v>
      </c>
    </row>
    <row r="727" spans="1:8" x14ac:dyDescent="0.25">
      <c r="A727">
        <v>200004815</v>
      </c>
      <c r="B727" t="s">
        <v>1959</v>
      </c>
      <c r="C727" s="2">
        <v>43521</v>
      </c>
      <c r="D727" t="s">
        <v>1481</v>
      </c>
      <c r="E727">
        <v>6.5</v>
      </c>
      <c r="F727">
        <v>10</v>
      </c>
      <c r="G727">
        <v>7</v>
      </c>
      <c r="H727">
        <v>0.01</v>
      </c>
    </row>
    <row r="728" spans="1:8" x14ac:dyDescent="0.25">
      <c r="A728">
        <v>200004814</v>
      </c>
      <c r="B728" t="s">
        <v>1960</v>
      </c>
      <c r="C728" s="2">
        <v>43521</v>
      </c>
      <c r="D728" t="s">
        <v>1481</v>
      </c>
      <c r="E728">
        <v>11.16</v>
      </c>
      <c r="F728">
        <v>10</v>
      </c>
      <c r="G728">
        <v>9</v>
      </c>
      <c r="H728">
        <v>0.02</v>
      </c>
    </row>
    <row r="729" spans="1:8" x14ac:dyDescent="0.25">
      <c r="A729">
        <v>200002410</v>
      </c>
      <c r="B729" t="s">
        <v>1961</v>
      </c>
      <c r="C729" s="2">
        <v>44453</v>
      </c>
      <c r="D729" t="s">
        <v>1196</v>
      </c>
      <c r="E729">
        <v>3.2</v>
      </c>
      <c r="F729">
        <v>385</v>
      </c>
      <c r="G729">
        <v>8</v>
      </c>
      <c r="H729">
        <v>0.02</v>
      </c>
    </row>
    <row r="730" spans="1:8" x14ac:dyDescent="0.25">
      <c r="A730">
        <v>200003246</v>
      </c>
      <c r="B730" t="s">
        <v>1345</v>
      </c>
      <c r="C730" s="2">
        <v>44858</v>
      </c>
      <c r="D730" t="s">
        <v>1344</v>
      </c>
      <c r="E730">
        <v>16.54</v>
      </c>
      <c r="F730">
        <v>559</v>
      </c>
      <c r="G730">
        <v>1026</v>
      </c>
      <c r="H730">
        <v>2.81</v>
      </c>
    </row>
    <row r="731" spans="1:8" x14ac:dyDescent="0.25">
      <c r="A731">
        <v>200003247</v>
      </c>
      <c r="B731" t="s">
        <v>1962</v>
      </c>
      <c r="C731" s="2">
        <v>44858</v>
      </c>
      <c r="D731" t="s">
        <v>1344</v>
      </c>
      <c r="E731">
        <v>20.9</v>
      </c>
      <c r="F731">
        <v>270</v>
      </c>
      <c r="G731">
        <v>122</v>
      </c>
      <c r="H731">
        <v>0.33</v>
      </c>
    </row>
    <row r="732" spans="1:8" x14ac:dyDescent="0.25">
      <c r="A732">
        <v>200000433</v>
      </c>
      <c r="B732" t="s">
        <v>1347</v>
      </c>
      <c r="C732" s="2">
        <v>44755</v>
      </c>
      <c r="D732" t="s">
        <v>1207</v>
      </c>
      <c r="E732">
        <v>8.6</v>
      </c>
      <c r="F732">
        <v>0</v>
      </c>
      <c r="G732">
        <v>118</v>
      </c>
      <c r="H732">
        <v>0.32</v>
      </c>
    </row>
    <row r="733" spans="1:8" x14ac:dyDescent="0.25">
      <c r="A733">
        <v>200002199</v>
      </c>
      <c r="B733" t="s">
        <v>1963</v>
      </c>
      <c r="C733" s="2">
        <v>41920</v>
      </c>
      <c r="D733" t="s">
        <v>1260</v>
      </c>
      <c r="E733">
        <v>19</v>
      </c>
      <c r="F733">
        <v>28</v>
      </c>
      <c r="G733">
        <v>2</v>
      </c>
      <c r="H733">
        <v>0</v>
      </c>
    </row>
    <row r="734" spans="1:8" x14ac:dyDescent="0.25">
      <c r="A734">
        <v>200000438</v>
      </c>
      <c r="B734" t="s">
        <v>1964</v>
      </c>
      <c r="C734" s="2">
        <v>41400</v>
      </c>
      <c r="D734" t="s">
        <v>1229</v>
      </c>
      <c r="E734">
        <v>1.6</v>
      </c>
      <c r="F734">
        <v>0</v>
      </c>
      <c r="G734">
        <v>24</v>
      </c>
      <c r="H734">
        <v>0.06</v>
      </c>
    </row>
    <row r="735" spans="1:8" x14ac:dyDescent="0.25">
      <c r="A735">
        <v>200005334</v>
      </c>
      <c r="B735" t="s">
        <v>1965</v>
      </c>
      <c r="C735" s="2">
        <v>44078</v>
      </c>
      <c r="D735" t="s">
        <v>1351</v>
      </c>
      <c r="E735">
        <v>9.69</v>
      </c>
      <c r="F735">
        <v>0</v>
      </c>
      <c r="G735">
        <v>140</v>
      </c>
      <c r="H735">
        <v>0.38</v>
      </c>
    </row>
    <row r="736" spans="1:8" x14ac:dyDescent="0.25">
      <c r="A736">
        <v>200006172</v>
      </c>
      <c r="B736" t="s">
        <v>1966</v>
      </c>
      <c r="C736" s="2">
        <v>44908</v>
      </c>
      <c r="D736" t="s">
        <v>1344</v>
      </c>
      <c r="E736">
        <v>3.5</v>
      </c>
      <c r="F736">
        <v>1026</v>
      </c>
      <c r="G736">
        <v>1319</v>
      </c>
      <c r="H736">
        <v>3.61</v>
      </c>
    </row>
    <row r="737" spans="1:8" x14ac:dyDescent="0.25">
      <c r="A737">
        <v>200005769</v>
      </c>
      <c r="B737" t="s">
        <v>1967</v>
      </c>
      <c r="C737" s="2">
        <v>44908</v>
      </c>
      <c r="D737" t="s">
        <v>1344</v>
      </c>
      <c r="E737">
        <v>5.3</v>
      </c>
      <c r="F737">
        <v>1279</v>
      </c>
      <c r="G737">
        <v>1847</v>
      </c>
      <c r="H737">
        <v>5.0599999999999996</v>
      </c>
    </row>
    <row r="738" spans="1:8" x14ac:dyDescent="0.25">
      <c r="A738">
        <v>200005336</v>
      </c>
      <c r="B738" t="s">
        <v>1968</v>
      </c>
      <c r="C738" s="2">
        <v>44908</v>
      </c>
      <c r="D738" t="s">
        <v>1344</v>
      </c>
      <c r="E738">
        <v>24.95</v>
      </c>
      <c r="F738">
        <v>162</v>
      </c>
      <c r="G738">
        <v>215</v>
      </c>
      <c r="H738">
        <v>0.57999999999999996</v>
      </c>
    </row>
    <row r="739" spans="1:8" x14ac:dyDescent="0.25">
      <c r="A739">
        <v>200006086</v>
      </c>
      <c r="B739" t="s">
        <v>1969</v>
      </c>
      <c r="C739" s="2">
        <v>44858</v>
      </c>
      <c r="D739" t="s">
        <v>1344</v>
      </c>
      <c r="E739">
        <v>18.2</v>
      </c>
      <c r="F739">
        <v>227</v>
      </c>
      <c r="G739">
        <v>6</v>
      </c>
      <c r="H739">
        <v>0.01</v>
      </c>
    </row>
    <row r="740" spans="1:8" x14ac:dyDescent="0.25">
      <c r="A740">
        <v>200001118</v>
      </c>
      <c r="B740" t="s">
        <v>1970</v>
      </c>
      <c r="C740" s="2">
        <v>44579</v>
      </c>
      <c r="D740" t="s">
        <v>1207</v>
      </c>
      <c r="E740">
        <v>18.5</v>
      </c>
      <c r="F740">
        <v>332</v>
      </c>
      <c r="G740">
        <v>10</v>
      </c>
      <c r="H740">
        <v>0.02</v>
      </c>
    </row>
    <row r="741" spans="1:8" x14ac:dyDescent="0.25">
      <c r="A741">
        <v>200003064</v>
      </c>
      <c r="B741" t="s">
        <v>1971</v>
      </c>
      <c r="C741" s="2">
        <v>45163</v>
      </c>
      <c r="D741" t="s">
        <v>1972</v>
      </c>
      <c r="E741">
        <v>27.01</v>
      </c>
      <c r="F741">
        <v>104</v>
      </c>
      <c r="G741">
        <v>25</v>
      </c>
      <c r="H741">
        <v>0.06</v>
      </c>
    </row>
    <row r="742" spans="1:8" x14ac:dyDescent="0.25">
      <c r="A742">
        <v>200004538</v>
      </c>
      <c r="B742" t="s">
        <v>1350</v>
      </c>
      <c r="C742" s="2">
        <v>44908</v>
      </c>
      <c r="D742" t="s">
        <v>1344</v>
      </c>
      <c r="E742">
        <v>18.2</v>
      </c>
      <c r="F742">
        <v>3265</v>
      </c>
      <c r="G742">
        <v>6037</v>
      </c>
      <c r="H742">
        <v>16.53</v>
      </c>
    </row>
    <row r="743" spans="1:8" x14ac:dyDescent="0.25">
      <c r="A743">
        <v>200006301</v>
      </c>
      <c r="B743" t="s">
        <v>1973</v>
      </c>
      <c r="C743" s="2">
        <v>45163</v>
      </c>
      <c r="D743" t="s">
        <v>1972</v>
      </c>
      <c r="E743">
        <v>12.8</v>
      </c>
      <c r="F743">
        <v>12</v>
      </c>
      <c r="G743">
        <v>25</v>
      </c>
      <c r="H743">
        <v>0.06</v>
      </c>
    </row>
    <row r="744" spans="1:8" x14ac:dyDescent="0.25">
      <c r="A744">
        <v>200005341</v>
      </c>
      <c r="B744" t="s">
        <v>1974</v>
      </c>
      <c r="C744" s="2">
        <v>44908</v>
      </c>
      <c r="D744" t="s">
        <v>1344</v>
      </c>
      <c r="E744">
        <v>14.6</v>
      </c>
      <c r="F744">
        <v>1007</v>
      </c>
      <c r="G744">
        <v>2248</v>
      </c>
      <c r="H744">
        <v>6.15</v>
      </c>
    </row>
    <row r="745" spans="1:8" x14ac:dyDescent="0.25">
      <c r="A745">
        <v>200001899</v>
      </c>
      <c r="B745" t="s">
        <v>1975</v>
      </c>
      <c r="C745" s="2">
        <v>41400</v>
      </c>
      <c r="D745" t="s">
        <v>1229</v>
      </c>
      <c r="E745">
        <v>37.46</v>
      </c>
      <c r="F745">
        <v>20</v>
      </c>
      <c r="G745">
        <v>5</v>
      </c>
      <c r="H745">
        <v>0.01</v>
      </c>
    </row>
    <row r="746" spans="1:8" x14ac:dyDescent="0.25">
      <c r="A746">
        <v>200005761</v>
      </c>
      <c r="B746" t="s">
        <v>1976</v>
      </c>
      <c r="C746" s="2">
        <v>45000</v>
      </c>
      <c r="D746" t="s">
        <v>1977</v>
      </c>
      <c r="E746">
        <v>170.33</v>
      </c>
      <c r="F746">
        <v>0</v>
      </c>
      <c r="G746">
        <v>92</v>
      </c>
      <c r="H746">
        <v>0.25</v>
      </c>
    </row>
    <row r="747" spans="1:8" x14ac:dyDescent="0.25">
      <c r="A747">
        <v>200003361</v>
      </c>
      <c r="B747" t="s">
        <v>1354</v>
      </c>
      <c r="C747" s="2">
        <v>45225</v>
      </c>
      <c r="D747" t="s">
        <v>1180</v>
      </c>
      <c r="E747">
        <v>7.27</v>
      </c>
      <c r="F747">
        <v>258</v>
      </c>
      <c r="G747">
        <v>128</v>
      </c>
      <c r="H747">
        <v>0.35</v>
      </c>
    </row>
    <row r="748" spans="1:8" x14ac:dyDescent="0.25">
      <c r="A748">
        <v>200000482</v>
      </c>
      <c r="B748" t="s">
        <v>1978</v>
      </c>
      <c r="C748" s="2">
        <v>44851</v>
      </c>
      <c r="D748" t="s">
        <v>1180</v>
      </c>
      <c r="E748">
        <v>3.69</v>
      </c>
      <c r="F748">
        <v>0</v>
      </c>
      <c r="G748">
        <v>861</v>
      </c>
      <c r="H748">
        <v>2.35</v>
      </c>
    </row>
    <row r="749" spans="1:8" x14ac:dyDescent="0.25">
      <c r="A749">
        <v>200004332</v>
      </c>
      <c r="B749" t="s">
        <v>1979</v>
      </c>
      <c r="C749" s="2">
        <v>45224</v>
      </c>
      <c r="D749" t="s">
        <v>1180</v>
      </c>
      <c r="E749">
        <v>2.4500000000000002</v>
      </c>
      <c r="F749">
        <v>385</v>
      </c>
      <c r="G749">
        <v>110</v>
      </c>
      <c r="H749">
        <v>0.3</v>
      </c>
    </row>
    <row r="750" spans="1:8" x14ac:dyDescent="0.25">
      <c r="A750">
        <v>200003161</v>
      </c>
      <c r="B750" t="s">
        <v>601</v>
      </c>
      <c r="C750" s="2">
        <v>44991</v>
      </c>
      <c r="D750" t="s">
        <v>1478</v>
      </c>
      <c r="E750">
        <v>325.81</v>
      </c>
      <c r="F750">
        <v>9</v>
      </c>
      <c r="G750">
        <v>53</v>
      </c>
      <c r="H750">
        <v>0.14000000000000001</v>
      </c>
    </row>
    <row r="751" spans="1:8" x14ac:dyDescent="0.25">
      <c r="A751">
        <v>200001643</v>
      </c>
      <c r="B751" t="s">
        <v>604</v>
      </c>
      <c r="C751" s="2">
        <v>44944</v>
      </c>
      <c r="D751" t="s">
        <v>1229</v>
      </c>
      <c r="E751">
        <v>176.76</v>
      </c>
      <c r="F751">
        <v>0</v>
      </c>
      <c r="G751">
        <v>35</v>
      </c>
      <c r="H751">
        <v>0.09</v>
      </c>
    </row>
    <row r="752" spans="1:8" x14ac:dyDescent="0.25">
      <c r="A752">
        <v>200002115</v>
      </c>
      <c r="B752" t="s">
        <v>605</v>
      </c>
      <c r="C752" s="2">
        <v>45251</v>
      </c>
      <c r="D752" t="s">
        <v>1229</v>
      </c>
      <c r="E752">
        <v>17.239999999999998</v>
      </c>
      <c r="F752">
        <v>16</v>
      </c>
      <c r="G752">
        <v>126</v>
      </c>
      <c r="H752">
        <v>0.34</v>
      </c>
    </row>
    <row r="753" spans="1:8" x14ac:dyDescent="0.25">
      <c r="A753">
        <v>200000489</v>
      </c>
      <c r="B753" t="s">
        <v>607</v>
      </c>
      <c r="C753" s="2">
        <v>45202</v>
      </c>
      <c r="D753" t="s">
        <v>1229</v>
      </c>
      <c r="E753">
        <v>138.72</v>
      </c>
      <c r="F753">
        <v>79</v>
      </c>
      <c r="G753">
        <v>179</v>
      </c>
      <c r="H753">
        <v>0.49</v>
      </c>
    </row>
    <row r="754" spans="1:8" x14ac:dyDescent="0.25">
      <c r="A754">
        <v>200006304</v>
      </c>
      <c r="B754" t="s">
        <v>608</v>
      </c>
      <c r="C754" s="2">
        <v>45061</v>
      </c>
      <c r="D754" t="s">
        <v>1813</v>
      </c>
      <c r="E754">
        <v>70.45</v>
      </c>
      <c r="F754">
        <v>0</v>
      </c>
      <c r="G754">
        <v>30</v>
      </c>
      <c r="H754">
        <v>0.08</v>
      </c>
    </row>
    <row r="755" spans="1:8" x14ac:dyDescent="0.25">
      <c r="A755">
        <v>200000496</v>
      </c>
      <c r="B755" t="s">
        <v>615</v>
      </c>
      <c r="C755" s="2">
        <v>44907</v>
      </c>
      <c r="D755" t="s">
        <v>1229</v>
      </c>
      <c r="E755">
        <v>157.61000000000001</v>
      </c>
      <c r="F755">
        <v>43</v>
      </c>
      <c r="G755">
        <v>5</v>
      </c>
      <c r="H755">
        <v>0.01</v>
      </c>
    </row>
    <row r="756" spans="1:8" x14ac:dyDescent="0.25">
      <c r="A756">
        <v>200000497</v>
      </c>
      <c r="B756" t="s">
        <v>616</v>
      </c>
      <c r="C756" s="2">
        <v>44907</v>
      </c>
      <c r="D756" t="s">
        <v>1229</v>
      </c>
      <c r="E756">
        <v>135.41999999999999</v>
      </c>
      <c r="F756">
        <v>126</v>
      </c>
      <c r="G756">
        <v>79</v>
      </c>
      <c r="H756">
        <v>0.21</v>
      </c>
    </row>
    <row r="757" spans="1:8" x14ac:dyDescent="0.25">
      <c r="A757">
        <v>200004368</v>
      </c>
      <c r="B757" t="s">
        <v>1980</v>
      </c>
      <c r="C757" s="2">
        <v>45121</v>
      </c>
      <c r="D757" t="s">
        <v>1513</v>
      </c>
      <c r="E757">
        <v>1549</v>
      </c>
      <c r="F757">
        <v>0</v>
      </c>
      <c r="G757">
        <v>2</v>
      </c>
      <c r="H757">
        <v>0</v>
      </c>
    </row>
    <row r="758" spans="1:8" x14ac:dyDescent="0.25">
      <c r="A758">
        <v>200006089</v>
      </c>
      <c r="B758" t="s">
        <v>617</v>
      </c>
      <c r="C758" s="2">
        <v>45114</v>
      </c>
      <c r="D758" t="s">
        <v>1482</v>
      </c>
      <c r="E758">
        <v>635</v>
      </c>
      <c r="F758">
        <v>22</v>
      </c>
      <c r="G758">
        <v>6</v>
      </c>
      <c r="H758">
        <v>0.01</v>
      </c>
    </row>
    <row r="759" spans="1:8" x14ac:dyDescent="0.25">
      <c r="A759">
        <v>200002438</v>
      </c>
      <c r="B759" t="s">
        <v>620</v>
      </c>
      <c r="C759" s="2">
        <v>43635</v>
      </c>
      <c r="D759" t="s">
        <v>1981</v>
      </c>
      <c r="E759">
        <v>116.88</v>
      </c>
      <c r="F759">
        <v>0</v>
      </c>
      <c r="G759">
        <v>22</v>
      </c>
      <c r="H759">
        <v>0.06</v>
      </c>
    </row>
    <row r="760" spans="1:8" x14ac:dyDescent="0.25">
      <c r="A760">
        <v>200002439</v>
      </c>
      <c r="B760" t="s">
        <v>1982</v>
      </c>
      <c r="C760" s="2">
        <v>45126</v>
      </c>
      <c r="D760" t="s">
        <v>1983</v>
      </c>
      <c r="E760">
        <v>574.59</v>
      </c>
      <c r="F760">
        <v>40</v>
      </c>
      <c r="G760">
        <v>29</v>
      </c>
      <c r="H760">
        <v>7.0000000000000007E-2</v>
      </c>
    </row>
    <row r="761" spans="1:8" x14ac:dyDescent="0.25">
      <c r="A761">
        <v>200005291</v>
      </c>
      <c r="B761" t="s">
        <v>623</v>
      </c>
      <c r="C761" s="2">
        <v>45049</v>
      </c>
      <c r="D761" t="s">
        <v>1625</v>
      </c>
      <c r="E761">
        <v>19.57</v>
      </c>
      <c r="F761">
        <v>618</v>
      </c>
      <c r="G761">
        <v>193</v>
      </c>
      <c r="H761">
        <v>0.52</v>
      </c>
    </row>
    <row r="762" spans="1:8" x14ac:dyDescent="0.25">
      <c r="A762">
        <v>200004690</v>
      </c>
      <c r="B762" t="s">
        <v>1984</v>
      </c>
      <c r="C762" s="2">
        <v>44545</v>
      </c>
      <c r="D762" t="s">
        <v>1985</v>
      </c>
      <c r="E762">
        <v>400</v>
      </c>
      <c r="F762">
        <v>0</v>
      </c>
      <c r="G762">
        <v>3</v>
      </c>
      <c r="H762">
        <v>0</v>
      </c>
    </row>
    <row r="763" spans="1:8" x14ac:dyDescent="0.25">
      <c r="A763">
        <v>200004412</v>
      </c>
      <c r="B763" t="s">
        <v>1986</v>
      </c>
      <c r="C763" s="2">
        <v>44545</v>
      </c>
      <c r="D763" t="s">
        <v>1985</v>
      </c>
      <c r="E763">
        <v>410</v>
      </c>
      <c r="F763">
        <v>0</v>
      </c>
      <c r="G763">
        <v>2</v>
      </c>
      <c r="H763">
        <v>0</v>
      </c>
    </row>
    <row r="764" spans="1:8" x14ac:dyDescent="0.25">
      <c r="A764">
        <v>200005030</v>
      </c>
      <c r="B764" t="s">
        <v>1987</v>
      </c>
      <c r="C764" s="2">
        <v>44230</v>
      </c>
      <c r="D764" t="s">
        <v>1988</v>
      </c>
      <c r="E764">
        <v>3.77</v>
      </c>
      <c r="F764">
        <v>1108</v>
      </c>
      <c r="G764">
        <v>134</v>
      </c>
      <c r="H764">
        <v>0.36</v>
      </c>
    </row>
    <row r="765" spans="1:8" x14ac:dyDescent="0.25">
      <c r="A765">
        <v>200002585</v>
      </c>
      <c r="B765" t="s">
        <v>1989</v>
      </c>
      <c r="C765" s="2">
        <v>44545</v>
      </c>
      <c r="D765" t="s">
        <v>1985</v>
      </c>
      <c r="E765">
        <v>205</v>
      </c>
      <c r="F765">
        <v>8</v>
      </c>
      <c r="G765">
        <v>1</v>
      </c>
      <c r="H765">
        <v>0</v>
      </c>
    </row>
    <row r="766" spans="1:8" x14ac:dyDescent="0.25">
      <c r="A766">
        <v>200005287</v>
      </c>
      <c r="B766" t="s">
        <v>1990</v>
      </c>
      <c r="C766" s="2">
        <v>43985</v>
      </c>
      <c r="D766" t="s">
        <v>1991</v>
      </c>
      <c r="E766">
        <v>125</v>
      </c>
      <c r="F766">
        <v>219</v>
      </c>
      <c r="G766">
        <v>22</v>
      </c>
      <c r="H766">
        <v>0.06</v>
      </c>
    </row>
    <row r="767" spans="1:8" x14ac:dyDescent="0.25">
      <c r="A767">
        <v>200005725</v>
      </c>
      <c r="B767" t="s">
        <v>1992</v>
      </c>
      <c r="C767" s="2">
        <v>44988</v>
      </c>
      <c r="D767" t="s">
        <v>1572</v>
      </c>
      <c r="E767">
        <v>7068.86</v>
      </c>
      <c r="F767">
        <v>0</v>
      </c>
      <c r="G767">
        <v>2</v>
      </c>
      <c r="H767">
        <v>0</v>
      </c>
    </row>
    <row r="768" spans="1:8" x14ac:dyDescent="0.25">
      <c r="A768">
        <v>200005732</v>
      </c>
      <c r="B768" t="s">
        <v>1993</v>
      </c>
      <c r="C768" s="2">
        <v>45034</v>
      </c>
      <c r="D768" t="s">
        <v>1572</v>
      </c>
      <c r="E768">
        <v>2611.39</v>
      </c>
      <c r="F768">
        <v>0</v>
      </c>
      <c r="G768">
        <v>20</v>
      </c>
      <c r="H768">
        <v>0.05</v>
      </c>
    </row>
    <row r="769" spans="1:8" x14ac:dyDescent="0.25">
      <c r="A769">
        <v>200005731</v>
      </c>
      <c r="B769" t="s">
        <v>1994</v>
      </c>
      <c r="C769" s="2">
        <v>45181</v>
      </c>
      <c r="D769" t="s">
        <v>1572</v>
      </c>
      <c r="E769">
        <v>1761.9</v>
      </c>
      <c r="F769">
        <v>0</v>
      </c>
      <c r="G769">
        <v>16</v>
      </c>
      <c r="H769">
        <v>0.04</v>
      </c>
    </row>
    <row r="770" spans="1:8" x14ac:dyDescent="0.25">
      <c r="A770">
        <v>200005733</v>
      </c>
      <c r="B770" t="s">
        <v>1995</v>
      </c>
      <c r="C770" s="2">
        <v>45181</v>
      </c>
      <c r="D770" t="s">
        <v>1572</v>
      </c>
      <c r="E770">
        <v>2151.5100000000002</v>
      </c>
      <c r="F770">
        <v>0</v>
      </c>
      <c r="G770">
        <v>17</v>
      </c>
      <c r="H770">
        <v>0.04</v>
      </c>
    </row>
    <row r="771" spans="1:8" x14ac:dyDescent="0.25">
      <c r="A771">
        <v>200006085</v>
      </c>
      <c r="B771" t="s">
        <v>1996</v>
      </c>
      <c r="C771" s="2">
        <v>45152</v>
      </c>
      <c r="D771" t="s">
        <v>1572</v>
      </c>
      <c r="E771">
        <v>2197.64</v>
      </c>
      <c r="F771">
        <v>0</v>
      </c>
      <c r="G771">
        <v>9</v>
      </c>
      <c r="H771">
        <v>0.02</v>
      </c>
    </row>
    <row r="772" spans="1:8" x14ac:dyDescent="0.25">
      <c r="A772">
        <v>200005734</v>
      </c>
      <c r="B772" t="s">
        <v>1997</v>
      </c>
      <c r="C772" s="2">
        <v>45257</v>
      </c>
      <c r="D772" t="s">
        <v>1572</v>
      </c>
      <c r="E772">
        <v>2483.5300000000002</v>
      </c>
      <c r="F772">
        <v>0</v>
      </c>
      <c r="G772">
        <v>8</v>
      </c>
      <c r="H772">
        <v>0.02</v>
      </c>
    </row>
    <row r="773" spans="1:8" x14ac:dyDescent="0.25">
      <c r="A773">
        <v>200005729</v>
      </c>
      <c r="B773" t="s">
        <v>1998</v>
      </c>
      <c r="C773" s="2">
        <v>45222</v>
      </c>
      <c r="D773" t="s">
        <v>1572</v>
      </c>
      <c r="E773">
        <v>3809.93</v>
      </c>
      <c r="F773">
        <v>0</v>
      </c>
      <c r="G773">
        <v>6</v>
      </c>
      <c r="H773">
        <v>0.01</v>
      </c>
    </row>
    <row r="774" spans="1:8" x14ac:dyDescent="0.25">
      <c r="A774">
        <v>200005728</v>
      </c>
      <c r="B774" t="s">
        <v>1999</v>
      </c>
      <c r="C774" s="2">
        <v>45110</v>
      </c>
      <c r="D774" t="s">
        <v>1572</v>
      </c>
      <c r="E774">
        <v>3317.9</v>
      </c>
      <c r="F774">
        <v>0</v>
      </c>
      <c r="G774">
        <v>19</v>
      </c>
      <c r="H774">
        <v>0.05</v>
      </c>
    </row>
    <row r="775" spans="1:8" x14ac:dyDescent="0.25">
      <c r="A775">
        <v>200005726</v>
      </c>
      <c r="B775" t="s">
        <v>2000</v>
      </c>
      <c r="C775" s="2">
        <v>45152</v>
      </c>
      <c r="D775" t="s">
        <v>1572</v>
      </c>
      <c r="E775">
        <v>3423.91</v>
      </c>
      <c r="F775">
        <v>0</v>
      </c>
      <c r="G775">
        <v>29</v>
      </c>
      <c r="H775">
        <v>7.0000000000000007E-2</v>
      </c>
    </row>
    <row r="776" spans="1:8" x14ac:dyDescent="0.25">
      <c r="A776">
        <v>200003650</v>
      </c>
      <c r="B776" t="s">
        <v>625</v>
      </c>
      <c r="C776" s="2">
        <v>43892</v>
      </c>
      <c r="D776" t="s">
        <v>1338</v>
      </c>
      <c r="E776">
        <v>3.5</v>
      </c>
      <c r="F776">
        <v>6</v>
      </c>
      <c r="G776">
        <v>1</v>
      </c>
      <c r="H776">
        <v>0</v>
      </c>
    </row>
    <row r="777" spans="1:8" x14ac:dyDescent="0.25">
      <c r="A777">
        <v>200003651</v>
      </c>
      <c r="B777" t="s">
        <v>626</v>
      </c>
      <c r="C777" s="2">
        <v>43892</v>
      </c>
      <c r="D777" t="s">
        <v>1338</v>
      </c>
      <c r="E777">
        <v>4.2</v>
      </c>
      <c r="F777">
        <v>5</v>
      </c>
      <c r="G777">
        <v>2</v>
      </c>
      <c r="H777">
        <v>0</v>
      </c>
    </row>
    <row r="778" spans="1:8" x14ac:dyDescent="0.25">
      <c r="A778">
        <v>200003652</v>
      </c>
      <c r="B778" t="s">
        <v>2001</v>
      </c>
      <c r="C778" s="2">
        <v>43892</v>
      </c>
      <c r="D778" t="s">
        <v>1338</v>
      </c>
      <c r="E778">
        <v>12</v>
      </c>
      <c r="F778">
        <v>2</v>
      </c>
      <c r="G778">
        <v>2</v>
      </c>
      <c r="H778">
        <v>0</v>
      </c>
    </row>
    <row r="779" spans="1:8" x14ac:dyDescent="0.25">
      <c r="A779">
        <v>200000504</v>
      </c>
      <c r="B779" t="s">
        <v>2002</v>
      </c>
      <c r="C779" s="2">
        <v>44645</v>
      </c>
      <c r="D779" t="s">
        <v>2003</v>
      </c>
      <c r="E779">
        <v>2.7</v>
      </c>
      <c r="F779">
        <v>61</v>
      </c>
      <c r="G779">
        <v>2</v>
      </c>
      <c r="H779">
        <v>0</v>
      </c>
    </row>
    <row r="780" spans="1:8" x14ac:dyDescent="0.25">
      <c r="A780">
        <v>200000505</v>
      </c>
      <c r="B780" t="s">
        <v>631</v>
      </c>
      <c r="C780" s="2">
        <v>41306</v>
      </c>
      <c r="D780" t="s">
        <v>1356</v>
      </c>
      <c r="E780">
        <v>5.07</v>
      </c>
      <c r="F780">
        <v>62</v>
      </c>
      <c r="G780">
        <v>1</v>
      </c>
      <c r="H780">
        <v>0</v>
      </c>
    </row>
    <row r="781" spans="1:8" x14ac:dyDescent="0.25">
      <c r="A781">
        <v>200006342</v>
      </c>
      <c r="B781" t="s">
        <v>2004</v>
      </c>
      <c r="C781" s="2">
        <v>45096</v>
      </c>
      <c r="D781" t="s">
        <v>2005</v>
      </c>
      <c r="E781">
        <v>758</v>
      </c>
      <c r="F781">
        <v>0</v>
      </c>
      <c r="G781">
        <v>2</v>
      </c>
      <c r="H781">
        <v>0</v>
      </c>
    </row>
    <row r="782" spans="1:8" x14ac:dyDescent="0.25">
      <c r="A782">
        <v>200001817</v>
      </c>
      <c r="B782" t="s">
        <v>2006</v>
      </c>
      <c r="C782" s="2">
        <v>42178</v>
      </c>
      <c r="D782" t="s">
        <v>1176</v>
      </c>
      <c r="E782">
        <v>12.34</v>
      </c>
      <c r="F782">
        <v>445</v>
      </c>
      <c r="G782">
        <v>6</v>
      </c>
      <c r="H782">
        <v>0.01</v>
      </c>
    </row>
    <row r="783" spans="1:8" x14ac:dyDescent="0.25">
      <c r="A783">
        <v>200006039</v>
      </c>
      <c r="B783" t="s">
        <v>633</v>
      </c>
      <c r="C783" s="2">
        <v>45209</v>
      </c>
      <c r="D783" t="s">
        <v>1813</v>
      </c>
      <c r="E783">
        <v>145</v>
      </c>
      <c r="F783">
        <v>0</v>
      </c>
      <c r="G783">
        <v>450</v>
      </c>
      <c r="H783">
        <v>1.23</v>
      </c>
    </row>
    <row r="784" spans="1:8" x14ac:dyDescent="0.25">
      <c r="A784">
        <v>200006198</v>
      </c>
      <c r="B784" t="s">
        <v>634</v>
      </c>
      <c r="C784" s="2">
        <v>45215</v>
      </c>
      <c r="D784" t="s">
        <v>1813</v>
      </c>
      <c r="E784">
        <v>145</v>
      </c>
      <c r="F784">
        <v>0</v>
      </c>
      <c r="G784">
        <v>994</v>
      </c>
      <c r="H784">
        <v>2.72</v>
      </c>
    </row>
    <row r="785" spans="1:8" x14ac:dyDescent="0.25">
      <c r="A785">
        <v>200006340</v>
      </c>
      <c r="B785" t="s">
        <v>2007</v>
      </c>
      <c r="C785" s="2">
        <v>45096</v>
      </c>
      <c r="D785" t="s">
        <v>2005</v>
      </c>
      <c r="E785">
        <v>507.67</v>
      </c>
      <c r="F785">
        <v>0</v>
      </c>
      <c r="G785">
        <v>1</v>
      </c>
      <c r="H785">
        <v>0</v>
      </c>
    </row>
    <row r="786" spans="1:8" x14ac:dyDescent="0.25">
      <c r="A786">
        <v>200003787</v>
      </c>
      <c r="B786" t="s">
        <v>1357</v>
      </c>
      <c r="C786" s="2">
        <v>44720</v>
      </c>
      <c r="D786" t="s">
        <v>2008</v>
      </c>
      <c r="E786">
        <v>116</v>
      </c>
      <c r="F786">
        <v>124</v>
      </c>
      <c r="G786">
        <v>116</v>
      </c>
      <c r="H786">
        <v>0.31</v>
      </c>
    </row>
    <row r="787" spans="1:8" x14ac:dyDescent="0.25">
      <c r="A787">
        <v>200006118</v>
      </c>
      <c r="B787" t="s">
        <v>2009</v>
      </c>
      <c r="C787" s="2">
        <v>45180</v>
      </c>
      <c r="D787" t="s">
        <v>2010</v>
      </c>
      <c r="E787">
        <v>183.57</v>
      </c>
      <c r="F787">
        <v>76</v>
      </c>
      <c r="G787">
        <v>1157</v>
      </c>
      <c r="H787">
        <v>3.16</v>
      </c>
    </row>
    <row r="788" spans="1:8" x14ac:dyDescent="0.25">
      <c r="A788">
        <v>200000507</v>
      </c>
      <c r="B788" t="s">
        <v>1359</v>
      </c>
      <c r="C788" s="2">
        <v>44816</v>
      </c>
      <c r="D788" t="s">
        <v>2011</v>
      </c>
      <c r="E788">
        <v>3.1</v>
      </c>
      <c r="F788">
        <v>285</v>
      </c>
      <c r="G788">
        <v>44</v>
      </c>
      <c r="H788">
        <v>0.12</v>
      </c>
    </row>
    <row r="789" spans="1:8" x14ac:dyDescent="0.25">
      <c r="A789">
        <v>200000508</v>
      </c>
      <c r="B789" t="s">
        <v>1361</v>
      </c>
      <c r="C789" s="2">
        <v>45267</v>
      </c>
      <c r="D789" t="s">
        <v>1777</v>
      </c>
      <c r="E789">
        <v>4.9800000000000004</v>
      </c>
      <c r="F789">
        <v>876</v>
      </c>
      <c r="G789">
        <v>2119</v>
      </c>
      <c r="H789">
        <v>5.8</v>
      </c>
    </row>
    <row r="790" spans="1:8" x14ac:dyDescent="0.25">
      <c r="A790">
        <v>200000882</v>
      </c>
      <c r="B790" t="s">
        <v>1362</v>
      </c>
      <c r="C790" s="2">
        <v>45266</v>
      </c>
      <c r="D790" t="s">
        <v>2012</v>
      </c>
      <c r="E790">
        <v>1.99</v>
      </c>
      <c r="F790">
        <v>1215</v>
      </c>
      <c r="G790">
        <v>2026</v>
      </c>
      <c r="H790">
        <v>5.55</v>
      </c>
    </row>
    <row r="791" spans="1:8" x14ac:dyDescent="0.25">
      <c r="A791">
        <v>200001261</v>
      </c>
      <c r="B791" t="s">
        <v>1364</v>
      </c>
      <c r="C791" s="2">
        <v>45258</v>
      </c>
      <c r="D791" t="s">
        <v>1603</v>
      </c>
      <c r="E791">
        <v>48.74</v>
      </c>
      <c r="F791">
        <v>22</v>
      </c>
      <c r="G791">
        <v>30</v>
      </c>
      <c r="H791">
        <v>0.08</v>
      </c>
    </row>
    <row r="792" spans="1:8" x14ac:dyDescent="0.25">
      <c r="A792">
        <v>200000511</v>
      </c>
      <c r="B792" t="s">
        <v>1366</v>
      </c>
      <c r="C792" s="2">
        <v>45258</v>
      </c>
      <c r="D792" t="s">
        <v>1603</v>
      </c>
      <c r="E792">
        <v>20.94</v>
      </c>
      <c r="F792">
        <v>7765</v>
      </c>
      <c r="G792">
        <v>15540</v>
      </c>
      <c r="H792">
        <v>42.57</v>
      </c>
    </row>
    <row r="793" spans="1:8" x14ac:dyDescent="0.25">
      <c r="A793">
        <v>200003724</v>
      </c>
      <c r="B793" t="s">
        <v>2013</v>
      </c>
      <c r="C793" s="2">
        <v>42710</v>
      </c>
      <c r="D793" t="s">
        <v>2014</v>
      </c>
      <c r="E793">
        <v>301.49</v>
      </c>
      <c r="F793">
        <v>0</v>
      </c>
      <c r="G793">
        <v>2</v>
      </c>
      <c r="H793">
        <v>0</v>
      </c>
    </row>
    <row r="794" spans="1:8" x14ac:dyDescent="0.25">
      <c r="A794">
        <v>200000514</v>
      </c>
      <c r="B794" t="s">
        <v>2015</v>
      </c>
      <c r="C794" s="2">
        <v>45280</v>
      </c>
      <c r="D794" t="s">
        <v>1196</v>
      </c>
      <c r="E794">
        <v>1.4</v>
      </c>
      <c r="F794">
        <v>103</v>
      </c>
      <c r="G794">
        <v>148</v>
      </c>
      <c r="H794">
        <v>0.4</v>
      </c>
    </row>
    <row r="795" spans="1:8" x14ac:dyDescent="0.25">
      <c r="A795">
        <v>200001262</v>
      </c>
      <c r="B795" t="s">
        <v>2016</v>
      </c>
      <c r="C795" s="2">
        <v>45065</v>
      </c>
      <c r="D795" t="s">
        <v>1196</v>
      </c>
      <c r="E795">
        <v>92</v>
      </c>
      <c r="F795">
        <v>1</v>
      </c>
      <c r="G795">
        <v>20</v>
      </c>
      <c r="H795">
        <v>0.05</v>
      </c>
    </row>
    <row r="796" spans="1:8" x14ac:dyDescent="0.25">
      <c r="A796">
        <v>200003109</v>
      </c>
      <c r="B796" t="s">
        <v>2017</v>
      </c>
      <c r="C796" s="2">
        <v>43872</v>
      </c>
      <c r="D796" t="s">
        <v>1221</v>
      </c>
      <c r="E796">
        <v>21</v>
      </c>
      <c r="F796">
        <v>0</v>
      </c>
      <c r="G796">
        <v>88</v>
      </c>
      <c r="H796">
        <v>0.24</v>
      </c>
    </row>
    <row r="797" spans="1:8" x14ac:dyDescent="0.25">
      <c r="A797">
        <v>200002144</v>
      </c>
      <c r="B797" t="s">
        <v>637</v>
      </c>
      <c r="C797" s="2">
        <v>44083</v>
      </c>
      <c r="D797" t="s">
        <v>1163</v>
      </c>
      <c r="E797">
        <v>0.1</v>
      </c>
      <c r="F797">
        <v>0</v>
      </c>
      <c r="G797">
        <v>51</v>
      </c>
      <c r="H797">
        <v>0.13</v>
      </c>
    </row>
    <row r="798" spans="1:8" x14ac:dyDescent="0.25">
      <c r="A798">
        <v>200005820</v>
      </c>
      <c r="B798" t="s">
        <v>646</v>
      </c>
      <c r="C798" s="2">
        <v>44952</v>
      </c>
      <c r="D798" t="s">
        <v>1509</v>
      </c>
      <c r="E798">
        <v>30</v>
      </c>
      <c r="F798">
        <v>118</v>
      </c>
      <c r="G798">
        <v>85</v>
      </c>
      <c r="H798">
        <v>0.23</v>
      </c>
    </row>
    <row r="799" spans="1:8" x14ac:dyDescent="0.25">
      <c r="A799">
        <v>200005981</v>
      </c>
      <c r="B799" t="s">
        <v>647</v>
      </c>
      <c r="C799" s="2">
        <v>44952</v>
      </c>
      <c r="D799" t="s">
        <v>1509</v>
      </c>
      <c r="E799">
        <v>30</v>
      </c>
      <c r="F799">
        <v>37</v>
      </c>
      <c r="G799">
        <v>46</v>
      </c>
      <c r="H799">
        <v>0.12</v>
      </c>
    </row>
    <row r="800" spans="1:8" x14ac:dyDescent="0.25">
      <c r="A800">
        <v>200005997</v>
      </c>
      <c r="B800" t="s">
        <v>2018</v>
      </c>
      <c r="C800" s="2">
        <v>44838</v>
      </c>
      <c r="D800" t="s">
        <v>1163</v>
      </c>
      <c r="E800">
        <v>0.42</v>
      </c>
      <c r="F800">
        <v>4665</v>
      </c>
      <c r="G800">
        <v>569</v>
      </c>
      <c r="H800">
        <v>1.55</v>
      </c>
    </row>
    <row r="801" spans="1:8" x14ac:dyDescent="0.25">
      <c r="A801">
        <v>200005998</v>
      </c>
      <c r="B801" t="s">
        <v>2019</v>
      </c>
      <c r="C801" s="2">
        <v>44838</v>
      </c>
      <c r="D801" t="s">
        <v>1163</v>
      </c>
      <c r="E801">
        <v>0.42</v>
      </c>
      <c r="F801">
        <v>1854</v>
      </c>
      <c r="G801">
        <v>1167</v>
      </c>
      <c r="H801">
        <v>3.19</v>
      </c>
    </row>
    <row r="802" spans="1:8" x14ac:dyDescent="0.25">
      <c r="A802">
        <v>200005816</v>
      </c>
      <c r="B802" t="s">
        <v>2020</v>
      </c>
      <c r="C802" s="2">
        <v>44686</v>
      </c>
      <c r="D802" t="s">
        <v>1199</v>
      </c>
      <c r="E802">
        <v>2.5</v>
      </c>
      <c r="F802">
        <v>117</v>
      </c>
      <c r="G802">
        <v>8</v>
      </c>
      <c r="H802">
        <v>0.02</v>
      </c>
    </row>
    <row r="803" spans="1:8" x14ac:dyDescent="0.25">
      <c r="A803">
        <v>200002139</v>
      </c>
      <c r="B803" t="s">
        <v>665</v>
      </c>
      <c r="C803" s="2">
        <v>44083</v>
      </c>
      <c r="D803" t="s">
        <v>1163</v>
      </c>
      <c r="E803">
        <v>0.5</v>
      </c>
      <c r="F803">
        <v>825</v>
      </c>
      <c r="G803">
        <v>65</v>
      </c>
      <c r="H803">
        <v>0.17</v>
      </c>
    </row>
    <row r="804" spans="1:8" x14ac:dyDescent="0.25">
      <c r="A804">
        <v>200002153</v>
      </c>
      <c r="B804" t="s">
        <v>666</v>
      </c>
      <c r="C804" s="2">
        <v>44686</v>
      </c>
      <c r="D804" t="s">
        <v>1199</v>
      </c>
      <c r="E804">
        <v>4</v>
      </c>
      <c r="F804">
        <v>64</v>
      </c>
      <c r="G804">
        <v>41</v>
      </c>
      <c r="H804">
        <v>0.11</v>
      </c>
    </row>
    <row r="805" spans="1:8" x14ac:dyDescent="0.25">
      <c r="A805">
        <v>200005229</v>
      </c>
      <c r="B805" t="s">
        <v>667</v>
      </c>
      <c r="C805" s="2">
        <v>44727</v>
      </c>
      <c r="D805" t="s">
        <v>1199</v>
      </c>
      <c r="E805">
        <v>5</v>
      </c>
      <c r="F805">
        <v>1869</v>
      </c>
      <c r="G805">
        <v>1</v>
      </c>
      <c r="H805">
        <v>0</v>
      </c>
    </row>
    <row r="806" spans="1:8" x14ac:dyDescent="0.25">
      <c r="A806">
        <v>200002156</v>
      </c>
      <c r="B806" t="s">
        <v>2021</v>
      </c>
      <c r="C806" s="2">
        <v>44838</v>
      </c>
      <c r="D806" t="s">
        <v>1163</v>
      </c>
      <c r="E806">
        <v>0.59</v>
      </c>
      <c r="F806">
        <v>616</v>
      </c>
      <c r="G806">
        <v>260</v>
      </c>
      <c r="H806">
        <v>0.71</v>
      </c>
    </row>
    <row r="807" spans="1:8" x14ac:dyDescent="0.25">
      <c r="A807">
        <v>200004146</v>
      </c>
      <c r="B807" t="s">
        <v>671</v>
      </c>
      <c r="C807" s="2">
        <v>44034</v>
      </c>
      <c r="D807" t="s">
        <v>1163</v>
      </c>
      <c r="E807">
        <v>6.09</v>
      </c>
      <c r="F807">
        <v>0</v>
      </c>
      <c r="G807">
        <v>34</v>
      </c>
      <c r="H807">
        <v>0.09</v>
      </c>
    </row>
    <row r="808" spans="1:8" x14ac:dyDescent="0.25">
      <c r="A808">
        <v>200005982</v>
      </c>
      <c r="B808" t="s">
        <v>673</v>
      </c>
      <c r="C808" s="2">
        <v>44659</v>
      </c>
      <c r="D808" t="s">
        <v>1199</v>
      </c>
      <c r="E808">
        <v>23</v>
      </c>
      <c r="F808">
        <v>0</v>
      </c>
      <c r="G808">
        <v>7</v>
      </c>
      <c r="H808">
        <v>0.01</v>
      </c>
    </row>
    <row r="809" spans="1:8" x14ac:dyDescent="0.25">
      <c r="A809">
        <v>200005824</v>
      </c>
      <c r="B809" t="s">
        <v>1369</v>
      </c>
      <c r="C809" s="2">
        <v>44727</v>
      </c>
      <c r="D809" t="s">
        <v>1199</v>
      </c>
      <c r="E809">
        <v>37</v>
      </c>
      <c r="F809">
        <v>4</v>
      </c>
      <c r="G809">
        <v>112</v>
      </c>
      <c r="H809">
        <v>0.3</v>
      </c>
    </row>
    <row r="810" spans="1:8" x14ac:dyDescent="0.25">
      <c r="A810">
        <v>200006064</v>
      </c>
      <c r="B810" t="s">
        <v>678</v>
      </c>
      <c r="C810" s="2">
        <v>45273</v>
      </c>
      <c r="D810" t="s">
        <v>1625</v>
      </c>
      <c r="E810">
        <v>0.22</v>
      </c>
      <c r="F810">
        <v>14</v>
      </c>
      <c r="G810">
        <v>16999</v>
      </c>
      <c r="H810">
        <v>46.57</v>
      </c>
    </row>
    <row r="811" spans="1:8" x14ac:dyDescent="0.25">
      <c r="A811">
        <v>200006176</v>
      </c>
      <c r="B811" t="s">
        <v>2022</v>
      </c>
      <c r="C811" s="2">
        <v>44854</v>
      </c>
      <c r="D811" t="s">
        <v>1157</v>
      </c>
      <c r="E811">
        <v>0.09</v>
      </c>
      <c r="F811">
        <v>7367</v>
      </c>
      <c r="G811">
        <v>4635</v>
      </c>
      <c r="H811">
        <v>12.69</v>
      </c>
    </row>
    <row r="812" spans="1:8" x14ac:dyDescent="0.25">
      <c r="A812">
        <v>200003469</v>
      </c>
      <c r="B812" t="s">
        <v>2023</v>
      </c>
      <c r="C812" s="2">
        <v>42570</v>
      </c>
      <c r="D812" t="s">
        <v>1556</v>
      </c>
      <c r="E812">
        <v>0.13</v>
      </c>
      <c r="F812">
        <v>120</v>
      </c>
      <c r="G812">
        <v>89</v>
      </c>
      <c r="H812">
        <v>0.24</v>
      </c>
    </row>
    <row r="813" spans="1:8" x14ac:dyDescent="0.25">
      <c r="A813">
        <v>200004591</v>
      </c>
      <c r="B813" t="s">
        <v>1370</v>
      </c>
      <c r="C813" s="2">
        <v>44805</v>
      </c>
      <c r="D813" t="s">
        <v>1163</v>
      </c>
      <c r="E813">
        <v>0.3</v>
      </c>
      <c r="F813">
        <v>0</v>
      </c>
      <c r="G813">
        <v>885</v>
      </c>
      <c r="H813">
        <v>2.42</v>
      </c>
    </row>
    <row r="814" spans="1:8" x14ac:dyDescent="0.25">
      <c r="A814">
        <v>200005041</v>
      </c>
      <c r="B814" t="s">
        <v>2024</v>
      </c>
      <c r="C814" s="2">
        <v>44160</v>
      </c>
      <c r="D814" t="s">
        <v>1199</v>
      </c>
      <c r="E814">
        <v>0.15</v>
      </c>
      <c r="F814">
        <v>0</v>
      </c>
      <c r="G814">
        <v>500</v>
      </c>
      <c r="H814">
        <v>1.36</v>
      </c>
    </row>
    <row r="815" spans="1:8" x14ac:dyDescent="0.25">
      <c r="A815">
        <v>200005044</v>
      </c>
      <c r="B815" t="s">
        <v>2025</v>
      </c>
      <c r="C815" s="2">
        <v>44160</v>
      </c>
      <c r="D815" t="s">
        <v>1199</v>
      </c>
      <c r="E815">
        <v>0.06</v>
      </c>
      <c r="F815">
        <v>0</v>
      </c>
      <c r="G815">
        <v>400</v>
      </c>
      <c r="H815">
        <v>1.0900000000000001</v>
      </c>
    </row>
    <row r="816" spans="1:8" x14ac:dyDescent="0.25">
      <c r="A816">
        <v>200005040</v>
      </c>
      <c r="B816" t="s">
        <v>2026</v>
      </c>
      <c r="C816" s="2">
        <v>44160</v>
      </c>
      <c r="D816" t="s">
        <v>1199</v>
      </c>
      <c r="E816">
        <v>0.46</v>
      </c>
      <c r="F816">
        <v>0</v>
      </c>
      <c r="G816">
        <v>475</v>
      </c>
      <c r="H816">
        <v>1.3</v>
      </c>
    </row>
    <row r="817" spans="1:8" x14ac:dyDescent="0.25">
      <c r="A817">
        <v>200005042</v>
      </c>
      <c r="B817" t="s">
        <v>2027</v>
      </c>
      <c r="C817" s="2">
        <v>44160</v>
      </c>
      <c r="D817" t="s">
        <v>1199</v>
      </c>
      <c r="E817">
        <v>0.42</v>
      </c>
      <c r="F817">
        <v>0</v>
      </c>
      <c r="G817">
        <v>792</v>
      </c>
      <c r="H817">
        <v>2.16</v>
      </c>
    </row>
    <row r="818" spans="1:8" x14ac:dyDescent="0.25">
      <c r="A818">
        <v>200005454</v>
      </c>
      <c r="B818" t="s">
        <v>2028</v>
      </c>
      <c r="C818" s="2">
        <v>44160</v>
      </c>
      <c r="D818" t="s">
        <v>1199</v>
      </c>
      <c r="E818">
        <v>0.17</v>
      </c>
      <c r="F818">
        <v>0</v>
      </c>
      <c r="G818">
        <v>400</v>
      </c>
      <c r="H818">
        <v>1.0900000000000001</v>
      </c>
    </row>
    <row r="819" spans="1:8" x14ac:dyDescent="0.25">
      <c r="A819">
        <v>200005043</v>
      </c>
      <c r="B819" t="s">
        <v>2029</v>
      </c>
      <c r="C819" s="2">
        <v>44160</v>
      </c>
      <c r="D819" t="s">
        <v>1199</v>
      </c>
      <c r="E819">
        <v>0.33</v>
      </c>
      <c r="F819">
        <v>0</v>
      </c>
      <c r="G819">
        <v>400</v>
      </c>
      <c r="H819">
        <v>1.0900000000000001</v>
      </c>
    </row>
    <row r="820" spans="1:8" x14ac:dyDescent="0.25">
      <c r="A820">
        <v>200004798</v>
      </c>
      <c r="B820" t="s">
        <v>2030</v>
      </c>
      <c r="C820" s="2">
        <v>44160</v>
      </c>
      <c r="D820" t="s">
        <v>1199</v>
      </c>
      <c r="E820">
        <v>0.17</v>
      </c>
      <c r="F820">
        <v>0</v>
      </c>
      <c r="G820">
        <v>400</v>
      </c>
      <c r="H820">
        <v>1.0900000000000001</v>
      </c>
    </row>
    <row r="821" spans="1:8" x14ac:dyDescent="0.25">
      <c r="A821">
        <v>200005050</v>
      </c>
      <c r="B821" t="s">
        <v>2031</v>
      </c>
      <c r="C821" s="2">
        <v>44160</v>
      </c>
      <c r="D821" t="s">
        <v>1199</v>
      </c>
      <c r="E821">
        <v>0.57999999999999996</v>
      </c>
      <c r="F821">
        <v>0</v>
      </c>
      <c r="G821">
        <v>300</v>
      </c>
      <c r="H821">
        <v>0.82</v>
      </c>
    </row>
    <row r="822" spans="1:8" x14ac:dyDescent="0.25">
      <c r="A822">
        <v>200005453</v>
      </c>
      <c r="B822" t="s">
        <v>2032</v>
      </c>
      <c r="C822" s="2">
        <v>44160</v>
      </c>
      <c r="D822" t="s">
        <v>1199</v>
      </c>
      <c r="E822">
        <v>0.12</v>
      </c>
      <c r="F822">
        <v>0</v>
      </c>
      <c r="G822">
        <v>300</v>
      </c>
      <c r="H822">
        <v>0.82</v>
      </c>
    </row>
    <row r="823" spans="1:8" x14ac:dyDescent="0.25">
      <c r="A823">
        <v>200005039</v>
      </c>
      <c r="B823" t="s">
        <v>2033</v>
      </c>
      <c r="C823" s="2">
        <v>44160</v>
      </c>
      <c r="D823" t="s">
        <v>1199</v>
      </c>
      <c r="E823">
        <v>0.4</v>
      </c>
      <c r="F823">
        <v>0</v>
      </c>
      <c r="G823">
        <v>275</v>
      </c>
      <c r="H823">
        <v>0.75</v>
      </c>
    </row>
    <row r="824" spans="1:8" x14ac:dyDescent="0.25">
      <c r="A824">
        <v>200005045</v>
      </c>
      <c r="B824" t="s">
        <v>2034</v>
      </c>
      <c r="C824" s="2">
        <v>44160</v>
      </c>
      <c r="D824" t="s">
        <v>1199</v>
      </c>
      <c r="E824">
        <v>0.23</v>
      </c>
      <c r="F824">
        <v>200</v>
      </c>
      <c r="G824">
        <v>500</v>
      </c>
      <c r="H824">
        <v>1.36</v>
      </c>
    </row>
    <row r="825" spans="1:8" x14ac:dyDescent="0.25">
      <c r="A825">
        <v>200005455</v>
      </c>
      <c r="B825" t="s">
        <v>2035</v>
      </c>
      <c r="C825" s="2">
        <v>44496</v>
      </c>
      <c r="D825" t="s">
        <v>1396</v>
      </c>
      <c r="E825">
        <v>0.2</v>
      </c>
      <c r="F825">
        <v>0</v>
      </c>
      <c r="G825">
        <v>1400</v>
      </c>
      <c r="H825">
        <v>3.83</v>
      </c>
    </row>
    <row r="826" spans="1:8" x14ac:dyDescent="0.25">
      <c r="A826">
        <v>200005443</v>
      </c>
      <c r="B826" t="s">
        <v>1371</v>
      </c>
      <c r="C826" s="2">
        <v>45273</v>
      </c>
      <c r="D826" t="s">
        <v>1180</v>
      </c>
      <c r="E826">
        <v>0.36</v>
      </c>
      <c r="F826">
        <v>788</v>
      </c>
      <c r="G826">
        <v>250</v>
      </c>
      <c r="H826">
        <v>0.68</v>
      </c>
    </row>
    <row r="827" spans="1:8" x14ac:dyDescent="0.25">
      <c r="A827">
        <v>200005046</v>
      </c>
      <c r="B827" t="s">
        <v>685</v>
      </c>
      <c r="C827" s="2">
        <v>44160</v>
      </c>
      <c r="D827" t="s">
        <v>1199</v>
      </c>
      <c r="E827">
        <v>0.44</v>
      </c>
      <c r="F827">
        <v>0</v>
      </c>
      <c r="G827">
        <v>800</v>
      </c>
      <c r="H827">
        <v>2.19</v>
      </c>
    </row>
    <row r="828" spans="1:8" x14ac:dyDescent="0.25">
      <c r="A828">
        <v>200005048</v>
      </c>
      <c r="B828" t="s">
        <v>2036</v>
      </c>
      <c r="C828" s="2">
        <v>44160</v>
      </c>
      <c r="D828" t="s">
        <v>1199</v>
      </c>
      <c r="E828">
        <v>0.48</v>
      </c>
      <c r="F828">
        <v>0</v>
      </c>
      <c r="G828">
        <v>450</v>
      </c>
      <c r="H828">
        <v>1.23</v>
      </c>
    </row>
    <row r="829" spans="1:8" x14ac:dyDescent="0.25">
      <c r="A829">
        <v>200005049</v>
      </c>
      <c r="B829" t="s">
        <v>2037</v>
      </c>
      <c r="C829" s="2">
        <v>44160</v>
      </c>
      <c r="D829" t="s">
        <v>1199</v>
      </c>
      <c r="E829">
        <v>0.52</v>
      </c>
      <c r="F829">
        <v>200</v>
      </c>
      <c r="G829">
        <v>500</v>
      </c>
      <c r="H829">
        <v>1.36</v>
      </c>
    </row>
    <row r="830" spans="1:8" x14ac:dyDescent="0.25">
      <c r="A830">
        <v>200003462</v>
      </c>
      <c r="B830" t="s">
        <v>2038</v>
      </c>
      <c r="C830" s="2">
        <v>44160</v>
      </c>
      <c r="D830" t="s">
        <v>1199</v>
      </c>
      <c r="E830">
        <v>0.21</v>
      </c>
      <c r="F830">
        <v>0</v>
      </c>
      <c r="G830">
        <v>400</v>
      </c>
      <c r="H830">
        <v>1.0900000000000001</v>
      </c>
    </row>
    <row r="831" spans="1:8" x14ac:dyDescent="0.25">
      <c r="A831">
        <v>200004284</v>
      </c>
      <c r="B831" t="s">
        <v>2039</v>
      </c>
      <c r="C831" s="2">
        <v>43497</v>
      </c>
      <c r="D831" t="s">
        <v>1481</v>
      </c>
      <c r="E831">
        <v>0.46</v>
      </c>
      <c r="F831">
        <v>400</v>
      </c>
      <c r="G831">
        <v>549</v>
      </c>
      <c r="H831">
        <v>1.5</v>
      </c>
    </row>
    <row r="832" spans="1:8" x14ac:dyDescent="0.25">
      <c r="A832">
        <v>200000801</v>
      </c>
      <c r="B832" t="s">
        <v>1372</v>
      </c>
      <c r="C832" s="2">
        <v>42122</v>
      </c>
      <c r="D832" t="s">
        <v>1159</v>
      </c>
      <c r="E832">
        <v>0.13</v>
      </c>
      <c r="F832">
        <v>544</v>
      </c>
      <c r="G832">
        <v>44</v>
      </c>
      <c r="H832">
        <v>0.12</v>
      </c>
    </row>
    <row r="833" spans="1:8" x14ac:dyDescent="0.25">
      <c r="A833">
        <v>200000800</v>
      </c>
      <c r="B833" t="s">
        <v>2040</v>
      </c>
      <c r="C833" s="2">
        <v>42122</v>
      </c>
      <c r="D833" t="s">
        <v>1159</v>
      </c>
      <c r="E833">
        <v>0.09</v>
      </c>
      <c r="F833">
        <v>274</v>
      </c>
      <c r="G833">
        <v>50</v>
      </c>
      <c r="H833">
        <v>0.13</v>
      </c>
    </row>
    <row r="834" spans="1:8" x14ac:dyDescent="0.25">
      <c r="A834">
        <v>200005444</v>
      </c>
      <c r="B834" t="s">
        <v>1373</v>
      </c>
      <c r="C834" s="2">
        <v>45273</v>
      </c>
      <c r="D834" t="s">
        <v>1180</v>
      </c>
      <c r="E834">
        <v>2.73</v>
      </c>
      <c r="F834">
        <v>1674</v>
      </c>
      <c r="G834">
        <v>286</v>
      </c>
      <c r="H834">
        <v>0.78</v>
      </c>
    </row>
    <row r="835" spans="1:8" x14ac:dyDescent="0.25">
      <c r="A835">
        <v>200003363</v>
      </c>
      <c r="B835" t="s">
        <v>2041</v>
      </c>
      <c r="C835" s="2">
        <v>44749</v>
      </c>
      <c r="D835" t="s">
        <v>2042</v>
      </c>
      <c r="E835">
        <v>0.74</v>
      </c>
      <c r="F835">
        <v>0</v>
      </c>
      <c r="G835">
        <v>18</v>
      </c>
      <c r="H835">
        <v>0.04</v>
      </c>
    </row>
    <row r="836" spans="1:8" x14ac:dyDescent="0.25">
      <c r="A836">
        <v>200003362</v>
      </c>
      <c r="B836" t="s">
        <v>2043</v>
      </c>
      <c r="C836" s="2">
        <v>45155</v>
      </c>
      <c r="D836" t="s">
        <v>1180</v>
      </c>
      <c r="E836">
        <v>1.64</v>
      </c>
      <c r="F836">
        <v>137</v>
      </c>
      <c r="G836">
        <v>13</v>
      </c>
      <c r="H836">
        <v>0.03</v>
      </c>
    </row>
    <row r="837" spans="1:8" x14ac:dyDescent="0.25">
      <c r="A837">
        <v>200001524</v>
      </c>
      <c r="B837" t="s">
        <v>2044</v>
      </c>
      <c r="C837" s="2">
        <v>42122</v>
      </c>
      <c r="D837" t="s">
        <v>1159</v>
      </c>
      <c r="E837">
        <v>11.45</v>
      </c>
      <c r="F837">
        <v>22</v>
      </c>
      <c r="G837">
        <v>2</v>
      </c>
      <c r="H837">
        <v>0</v>
      </c>
    </row>
    <row r="838" spans="1:8" x14ac:dyDescent="0.25">
      <c r="A838">
        <v>200001694</v>
      </c>
      <c r="B838" t="s">
        <v>2045</v>
      </c>
      <c r="C838" s="2">
        <v>42122</v>
      </c>
      <c r="D838" t="s">
        <v>1159</v>
      </c>
      <c r="E838">
        <v>24.3</v>
      </c>
      <c r="F838">
        <v>5</v>
      </c>
      <c r="G838">
        <v>1</v>
      </c>
      <c r="H838">
        <v>0</v>
      </c>
    </row>
    <row r="839" spans="1:8" x14ac:dyDescent="0.25">
      <c r="A839">
        <v>200001556</v>
      </c>
      <c r="B839" t="s">
        <v>2046</v>
      </c>
      <c r="C839" s="2">
        <v>42122</v>
      </c>
      <c r="D839" t="s">
        <v>1159</v>
      </c>
      <c r="E839">
        <v>17.5</v>
      </c>
      <c r="F839">
        <v>39</v>
      </c>
      <c r="G839">
        <v>2</v>
      </c>
      <c r="H839">
        <v>0</v>
      </c>
    </row>
    <row r="840" spans="1:8" x14ac:dyDescent="0.25">
      <c r="A840">
        <v>200003497</v>
      </c>
      <c r="B840" t="s">
        <v>2047</v>
      </c>
      <c r="C840" s="2">
        <v>45153</v>
      </c>
      <c r="D840" t="s">
        <v>1757</v>
      </c>
      <c r="E840">
        <v>3.9</v>
      </c>
      <c r="F840">
        <v>250</v>
      </c>
      <c r="G840">
        <v>160</v>
      </c>
      <c r="H840">
        <v>0.43</v>
      </c>
    </row>
    <row r="841" spans="1:8" x14ac:dyDescent="0.25">
      <c r="A841">
        <v>200000524</v>
      </c>
      <c r="B841" t="s">
        <v>1374</v>
      </c>
      <c r="C841" s="2">
        <v>45273</v>
      </c>
      <c r="D841" t="s">
        <v>1603</v>
      </c>
      <c r="E841">
        <v>3.51</v>
      </c>
      <c r="F841">
        <v>601</v>
      </c>
      <c r="G841">
        <v>1096</v>
      </c>
      <c r="H841">
        <v>3</v>
      </c>
    </row>
    <row r="842" spans="1:8" x14ac:dyDescent="0.25">
      <c r="A842">
        <v>200000525</v>
      </c>
      <c r="B842" t="s">
        <v>1375</v>
      </c>
      <c r="C842" s="2">
        <v>45278</v>
      </c>
      <c r="D842" t="s">
        <v>1603</v>
      </c>
      <c r="E842">
        <v>3.39</v>
      </c>
      <c r="F842">
        <v>109</v>
      </c>
      <c r="G842">
        <v>248</v>
      </c>
      <c r="H842">
        <v>0.67</v>
      </c>
    </row>
    <row r="843" spans="1:8" x14ac:dyDescent="0.25">
      <c r="A843">
        <v>200003790</v>
      </c>
      <c r="B843" t="s">
        <v>1376</v>
      </c>
      <c r="C843" s="2">
        <v>44973</v>
      </c>
      <c r="D843" t="s">
        <v>1521</v>
      </c>
      <c r="E843">
        <v>1.7</v>
      </c>
      <c r="F843">
        <v>0</v>
      </c>
      <c r="G843">
        <v>160</v>
      </c>
      <c r="H843">
        <v>0.43</v>
      </c>
    </row>
    <row r="844" spans="1:8" x14ac:dyDescent="0.25">
      <c r="A844">
        <v>200000529</v>
      </c>
      <c r="B844" t="s">
        <v>2048</v>
      </c>
      <c r="C844" s="2">
        <v>44973</v>
      </c>
      <c r="D844" t="s">
        <v>1521</v>
      </c>
      <c r="E844">
        <v>4.5999999999999996</v>
      </c>
      <c r="F844">
        <v>219</v>
      </c>
      <c r="G844">
        <v>258</v>
      </c>
      <c r="H844">
        <v>0.7</v>
      </c>
    </row>
    <row r="845" spans="1:8" x14ac:dyDescent="0.25">
      <c r="A845">
        <v>200003006</v>
      </c>
      <c r="B845" t="s">
        <v>2049</v>
      </c>
      <c r="C845" s="2">
        <v>44757</v>
      </c>
      <c r="D845" t="s">
        <v>2050</v>
      </c>
      <c r="E845">
        <v>7.57</v>
      </c>
      <c r="F845">
        <v>180</v>
      </c>
      <c r="G845">
        <v>210</v>
      </c>
      <c r="H845">
        <v>0.56999999999999995</v>
      </c>
    </row>
    <row r="846" spans="1:8" x14ac:dyDescent="0.25">
      <c r="A846">
        <v>200005349</v>
      </c>
      <c r="B846" t="s">
        <v>2051</v>
      </c>
      <c r="C846" s="2">
        <v>44097</v>
      </c>
      <c r="D846" t="s">
        <v>1221</v>
      </c>
      <c r="E846">
        <v>15</v>
      </c>
      <c r="F846">
        <v>0</v>
      </c>
      <c r="G846">
        <v>39</v>
      </c>
      <c r="H846">
        <v>0.1</v>
      </c>
    </row>
    <row r="847" spans="1:8" x14ac:dyDescent="0.25">
      <c r="A847">
        <v>200005350</v>
      </c>
      <c r="B847" t="s">
        <v>2052</v>
      </c>
      <c r="C847" s="2">
        <v>44097</v>
      </c>
      <c r="D847" t="s">
        <v>1221</v>
      </c>
      <c r="E847">
        <v>17</v>
      </c>
      <c r="F847">
        <v>8</v>
      </c>
      <c r="G847">
        <v>109</v>
      </c>
      <c r="H847">
        <v>0.28999999999999998</v>
      </c>
    </row>
    <row r="848" spans="1:8" x14ac:dyDescent="0.25">
      <c r="A848">
        <v>200001809</v>
      </c>
      <c r="B848" t="s">
        <v>2053</v>
      </c>
      <c r="C848" s="2">
        <v>44743</v>
      </c>
      <c r="D848" t="s">
        <v>1221</v>
      </c>
      <c r="E848">
        <v>14</v>
      </c>
      <c r="F848">
        <v>132</v>
      </c>
      <c r="G848">
        <v>110</v>
      </c>
      <c r="H848">
        <v>0.3</v>
      </c>
    </row>
    <row r="849" spans="1:8" x14ac:dyDescent="0.25">
      <c r="A849">
        <v>200001604</v>
      </c>
      <c r="B849" t="s">
        <v>2054</v>
      </c>
      <c r="C849" s="2">
        <v>44743</v>
      </c>
      <c r="D849" t="s">
        <v>1221</v>
      </c>
      <c r="E849">
        <v>15</v>
      </c>
      <c r="F849">
        <v>257</v>
      </c>
      <c r="G849">
        <v>50</v>
      </c>
      <c r="H849">
        <v>0.13</v>
      </c>
    </row>
    <row r="850" spans="1:8" x14ac:dyDescent="0.25">
      <c r="A850">
        <v>200000853</v>
      </c>
      <c r="B850" t="s">
        <v>2055</v>
      </c>
      <c r="C850" s="2">
        <v>40086</v>
      </c>
      <c r="D850" t="s">
        <v>1438</v>
      </c>
      <c r="E850">
        <v>6.15</v>
      </c>
      <c r="F850">
        <v>10</v>
      </c>
      <c r="G850">
        <v>2</v>
      </c>
      <c r="H850">
        <v>0</v>
      </c>
    </row>
    <row r="851" spans="1:8" x14ac:dyDescent="0.25">
      <c r="A851">
        <v>200001606</v>
      </c>
      <c r="B851" t="s">
        <v>2056</v>
      </c>
      <c r="C851" s="2">
        <v>44743</v>
      </c>
      <c r="D851" t="s">
        <v>1221</v>
      </c>
      <c r="E851">
        <v>25</v>
      </c>
      <c r="F851">
        <v>557</v>
      </c>
      <c r="G851">
        <v>227</v>
      </c>
      <c r="H851">
        <v>0.62</v>
      </c>
    </row>
    <row r="852" spans="1:8" x14ac:dyDescent="0.25">
      <c r="A852">
        <v>200000797</v>
      </c>
      <c r="B852" t="s">
        <v>2057</v>
      </c>
      <c r="C852" s="2">
        <v>44743</v>
      </c>
      <c r="D852" t="s">
        <v>1221</v>
      </c>
      <c r="E852">
        <v>31</v>
      </c>
      <c r="F852">
        <v>1243</v>
      </c>
      <c r="G852">
        <v>180</v>
      </c>
      <c r="H852">
        <v>0.49</v>
      </c>
    </row>
    <row r="853" spans="1:8" x14ac:dyDescent="0.25">
      <c r="A853">
        <v>200004194</v>
      </c>
      <c r="B853" t="s">
        <v>2058</v>
      </c>
      <c r="C853" s="2">
        <v>44743</v>
      </c>
      <c r="D853" t="s">
        <v>1221</v>
      </c>
      <c r="E853">
        <v>25.5</v>
      </c>
      <c r="F853">
        <v>749</v>
      </c>
      <c r="G853">
        <v>151</v>
      </c>
      <c r="H853">
        <v>0.41</v>
      </c>
    </row>
    <row r="854" spans="1:8" x14ac:dyDescent="0.25">
      <c r="A854">
        <v>200002417</v>
      </c>
      <c r="B854" t="s">
        <v>2059</v>
      </c>
      <c r="C854" s="2">
        <v>44743</v>
      </c>
      <c r="D854" t="s">
        <v>1221</v>
      </c>
      <c r="E854">
        <v>26</v>
      </c>
      <c r="F854">
        <v>53</v>
      </c>
      <c r="G854">
        <v>427</v>
      </c>
      <c r="H854">
        <v>1.1599999999999999</v>
      </c>
    </row>
    <row r="855" spans="1:8" x14ac:dyDescent="0.25">
      <c r="A855">
        <v>200001808</v>
      </c>
      <c r="B855" t="s">
        <v>1377</v>
      </c>
      <c r="C855" s="2">
        <v>44743</v>
      </c>
      <c r="D855" t="s">
        <v>1221</v>
      </c>
      <c r="E855">
        <v>32</v>
      </c>
      <c r="F855">
        <v>173</v>
      </c>
      <c r="G855">
        <v>491</v>
      </c>
      <c r="H855">
        <v>1.34</v>
      </c>
    </row>
    <row r="856" spans="1:8" x14ac:dyDescent="0.25">
      <c r="A856">
        <v>200004794</v>
      </c>
      <c r="B856" t="s">
        <v>2060</v>
      </c>
      <c r="C856" s="2">
        <v>44683</v>
      </c>
      <c r="D856" t="s">
        <v>2061</v>
      </c>
      <c r="E856">
        <v>300</v>
      </c>
      <c r="F856">
        <v>15</v>
      </c>
      <c r="G856">
        <v>20</v>
      </c>
      <c r="H856">
        <v>0.05</v>
      </c>
    </row>
    <row r="857" spans="1:8" x14ac:dyDescent="0.25">
      <c r="A857">
        <v>200006345</v>
      </c>
      <c r="B857" t="s">
        <v>2062</v>
      </c>
      <c r="C857" s="2">
        <v>45097</v>
      </c>
      <c r="D857" t="s">
        <v>2063</v>
      </c>
      <c r="E857">
        <v>95</v>
      </c>
      <c r="F857">
        <v>0</v>
      </c>
      <c r="G857">
        <v>20</v>
      </c>
      <c r="H857">
        <v>0.05</v>
      </c>
    </row>
    <row r="858" spans="1:8" x14ac:dyDescent="0.25">
      <c r="A858">
        <v>200006346</v>
      </c>
      <c r="B858" t="s">
        <v>2064</v>
      </c>
      <c r="C858" s="2">
        <v>45121</v>
      </c>
      <c r="D858" t="s">
        <v>1513</v>
      </c>
      <c r="E858">
        <v>49.32</v>
      </c>
      <c r="F858">
        <v>0</v>
      </c>
      <c r="G858">
        <v>2</v>
      </c>
      <c r="H858">
        <v>0</v>
      </c>
    </row>
    <row r="859" spans="1:8" x14ac:dyDescent="0.25">
      <c r="A859">
        <v>200006344</v>
      </c>
      <c r="B859" t="s">
        <v>2065</v>
      </c>
      <c r="C859" s="2">
        <v>45097</v>
      </c>
      <c r="D859" t="s">
        <v>2063</v>
      </c>
      <c r="E859">
        <v>148</v>
      </c>
      <c r="F859">
        <v>0</v>
      </c>
      <c r="G859">
        <v>10</v>
      </c>
      <c r="H859">
        <v>0.02</v>
      </c>
    </row>
    <row r="860" spans="1:8" x14ac:dyDescent="0.25">
      <c r="A860">
        <v>200006004</v>
      </c>
      <c r="B860" t="s">
        <v>686</v>
      </c>
      <c r="C860" s="2">
        <v>44936</v>
      </c>
      <c r="D860" t="s">
        <v>1473</v>
      </c>
      <c r="E860">
        <v>137.5</v>
      </c>
      <c r="F860">
        <v>0</v>
      </c>
      <c r="G860">
        <v>12</v>
      </c>
      <c r="H860">
        <v>0.03</v>
      </c>
    </row>
    <row r="861" spans="1:8" x14ac:dyDescent="0.25">
      <c r="A861">
        <v>200005224</v>
      </c>
      <c r="B861" t="s">
        <v>689</v>
      </c>
      <c r="C861" s="2">
        <v>44936</v>
      </c>
      <c r="D861" t="s">
        <v>1473</v>
      </c>
      <c r="E861">
        <v>183.75</v>
      </c>
      <c r="F861">
        <v>0</v>
      </c>
      <c r="G861">
        <v>3</v>
      </c>
      <c r="H861">
        <v>0</v>
      </c>
    </row>
    <row r="862" spans="1:8" x14ac:dyDescent="0.25">
      <c r="A862">
        <v>200006353</v>
      </c>
      <c r="B862" t="s">
        <v>2066</v>
      </c>
      <c r="C862" s="2">
        <v>45155</v>
      </c>
      <c r="D862" t="s">
        <v>2067</v>
      </c>
      <c r="E862">
        <v>95</v>
      </c>
      <c r="F862">
        <v>0</v>
      </c>
      <c r="G862">
        <v>1</v>
      </c>
      <c r="H862">
        <v>0</v>
      </c>
    </row>
    <row r="863" spans="1:8" x14ac:dyDescent="0.25">
      <c r="A863">
        <v>200005090</v>
      </c>
      <c r="B863" t="s">
        <v>2068</v>
      </c>
      <c r="C863" s="2">
        <v>45121</v>
      </c>
      <c r="D863" t="s">
        <v>2069</v>
      </c>
      <c r="E863">
        <v>139.19999999999999</v>
      </c>
      <c r="F863">
        <v>0</v>
      </c>
      <c r="G863">
        <v>336</v>
      </c>
      <c r="H863">
        <v>0.92</v>
      </c>
    </row>
    <row r="864" spans="1:8" x14ac:dyDescent="0.25">
      <c r="A864">
        <v>200005470</v>
      </c>
      <c r="B864" t="s">
        <v>2070</v>
      </c>
      <c r="C864" s="2">
        <v>45219</v>
      </c>
      <c r="D864" t="s">
        <v>2071</v>
      </c>
      <c r="E864">
        <v>125</v>
      </c>
      <c r="F864">
        <v>0</v>
      </c>
      <c r="G864">
        <v>1</v>
      </c>
      <c r="H864">
        <v>0</v>
      </c>
    </row>
    <row r="865" spans="1:8" x14ac:dyDescent="0.25">
      <c r="A865">
        <v>200004812</v>
      </c>
      <c r="B865" t="s">
        <v>2072</v>
      </c>
      <c r="C865" s="2">
        <v>45121</v>
      </c>
      <c r="D865" t="s">
        <v>2069</v>
      </c>
      <c r="E865">
        <v>50.64</v>
      </c>
      <c r="F865">
        <v>0</v>
      </c>
      <c r="G865">
        <v>241</v>
      </c>
      <c r="H865">
        <v>0.66</v>
      </c>
    </row>
    <row r="866" spans="1:8" x14ac:dyDescent="0.25">
      <c r="A866">
        <v>200005089</v>
      </c>
      <c r="B866" t="s">
        <v>2073</v>
      </c>
      <c r="C866" s="2">
        <v>45121</v>
      </c>
      <c r="D866" t="s">
        <v>2069</v>
      </c>
      <c r="E866">
        <v>77.62</v>
      </c>
      <c r="F866">
        <v>0</v>
      </c>
      <c r="G866">
        <v>470</v>
      </c>
      <c r="H866">
        <v>1.28</v>
      </c>
    </row>
    <row r="867" spans="1:8" x14ac:dyDescent="0.25">
      <c r="A867">
        <v>200004169</v>
      </c>
      <c r="B867" t="s">
        <v>2074</v>
      </c>
      <c r="C867" s="2">
        <v>45278</v>
      </c>
      <c r="D867" t="s">
        <v>1603</v>
      </c>
      <c r="E867">
        <v>2.79</v>
      </c>
      <c r="F867">
        <v>10</v>
      </c>
      <c r="G867">
        <v>27</v>
      </c>
      <c r="H867">
        <v>7.0000000000000007E-2</v>
      </c>
    </row>
    <row r="868" spans="1:8" x14ac:dyDescent="0.25">
      <c r="A868">
        <v>200006078</v>
      </c>
      <c r="B868" t="s">
        <v>2075</v>
      </c>
      <c r="C868" s="2">
        <v>44980</v>
      </c>
      <c r="D868" t="s">
        <v>1167</v>
      </c>
      <c r="E868">
        <v>18.05</v>
      </c>
      <c r="F868">
        <v>23</v>
      </c>
      <c r="G868">
        <v>46</v>
      </c>
      <c r="H868">
        <v>0.12</v>
      </c>
    </row>
    <row r="869" spans="1:8" x14ac:dyDescent="0.25">
      <c r="A869">
        <v>200005815</v>
      </c>
      <c r="B869" t="s">
        <v>695</v>
      </c>
      <c r="C869" s="2">
        <v>44981</v>
      </c>
      <c r="D869" t="s">
        <v>1813</v>
      </c>
      <c r="E869">
        <v>44.94</v>
      </c>
      <c r="F869">
        <v>0</v>
      </c>
      <c r="G869">
        <v>78</v>
      </c>
      <c r="H869">
        <v>0.21</v>
      </c>
    </row>
    <row r="870" spans="1:8" x14ac:dyDescent="0.25">
      <c r="A870">
        <v>200005098</v>
      </c>
      <c r="B870" t="s">
        <v>2076</v>
      </c>
      <c r="C870" s="2">
        <v>45209</v>
      </c>
      <c r="D870" t="s">
        <v>1813</v>
      </c>
      <c r="E870">
        <v>44.94</v>
      </c>
      <c r="F870">
        <v>0</v>
      </c>
      <c r="G870">
        <v>414</v>
      </c>
      <c r="H870">
        <v>1.1299999999999999</v>
      </c>
    </row>
    <row r="871" spans="1:8" x14ac:dyDescent="0.25">
      <c r="A871">
        <v>200001210</v>
      </c>
      <c r="B871" t="s">
        <v>701</v>
      </c>
      <c r="C871" s="2">
        <v>45209</v>
      </c>
      <c r="D871" t="s">
        <v>1813</v>
      </c>
      <c r="E871">
        <v>19.2</v>
      </c>
      <c r="F871">
        <v>1135</v>
      </c>
      <c r="G871">
        <v>38</v>
      </c>
      <c r="H871">
        <v>0.1</v>
      </c>
    </row>
    <row r="872" spans="1:8" x14ac:dyDescent="0.25">
      <c r="A872">
        <v>200003314</v>
      </c>
      <c r="B872" t="s">
        <v>702</v>
      </c>
      <c r="C872" s="2">
        <v>44981</v>
      </c>
      <c r="D872" t="s">
        <v>1813</v>
      </c>
      <c r="E872">
        <v>19.2</v>
      </c>
      <c r="F872">
        <v>1190</v>
      </c>
      <c r="G872">
        <v>68</v>
      </c>
      <c r="H872">
        <v>0.18</v>
      </c>
    </row>
    <row r="873" spans="1:8" x14ac:dyDescent="0.25">
      <c r="A873">
        <v>200003311</v>
      </c>
      <c r="B873" t="s">
        <v>703</v>
      </c>
      <c r="C873" s="2">
        <v>44981</v>
      </c>
      <c r="D873" t="s">
        <v>1813</v>
      </c>
      <c r="E873">
        <v>21</v>
      </c>
      <c r="F873">
        <v>4407</v>
      </c>
      <c r="G873">
        <v>846</v>
      </c>
      <c r="H873">
        <v>2.31</v>
      </c>
    </row>
    <row r="874" spans="1:8" x14ac:dyDescent="0.25">
      <c r="A874">
        <v>200000886</v>
      </c>
      <c r="B874" t="s">
        <v>704</v>
      </c>
      <c r="C874" s="2">
        <v>45209</v>
      </c>
      <c r="D874" t="s">
        <v>1813</v>
      </c>
      <c r="E874">
        <v>21</v>
      </c>
      <c r="F874">
        <v>4932</v>
      </c>
      <c r="G874">
        <v>315</v>
      </c>
      <c r="H874">
        <v>0.86</v>
      </c>
    </row>
    <row r="875" spans="1:8" x14ac:dyDescent="0.25">
      <c r="A875">
        <v>200003312</v>
      </c>
      <c r="B875" t="s">
        <v>705</v>
      </c>
      <c r="C875" s="2">
        <v>44981</v>
      </c>
      <c r="D875" t="s">
        <v>1813</v>
      </c>
      <c r="E875">
        <v>15</v>
      </c>
      <c r="F875">
        <v>6128</v>
      </c>
      <c r="G875">
        <v>1572</v>
      </c>
      <c r="H875">
        <v>4.3</v>
      </c>
    </row>
    <row r="876" spans="1:8" x14ac:dyDescent="0.25">
      <c r="A876">
        <v>200000887</v>
      </c>
      <c r="B876" t="s">
        <v>706</v>
      </c>
      <c r="C876" s="2">
        <v>45209</v>
      </c>
      <c r="D876" t="s">
        <v>1813</v>
      </c>
      <c r="E876">
        <v>15</v>
      </c>
      <c r="F876">
        <v>9804</v>
      </c>
      <c r="G876">
        <v>611</v>
      </c>
      <c r="H876">
        <v>1.67</v>
      </c>
    </row>
    <row r="877" spans="1:8" x14ac:dyDescent="0.25">
      <c r="A877">
        <v>200005290</v>
      </c>
      <c r="B877" t="s">
        <v>707</v>
      </c>
      <c r="C877" s="2">
        <v>45049</v>
      </c>
      <c r="D877" t="s">
        <v>1625</v>
      </c>
      <c r="E877">
        <v>16.53</v>
      </c>
      <c r="F877">
        <v>336</v>
      </c>
      <c r="G877">
        <v>109</v>
      </c>
      <c r="H877">
        <v>0.28999999999999998</v>
      </c>
    </row>
    <row r="878" spans="1:8" x14ac:dyDescent="0.25">
      <c r="A878">
        <v>200005513</v>
      </c>
      <c r="B878" t="s">
        <v>708</v>
      </c>
      <c r="C878" s="2">
        <v>45049</v>
      </c>
      <c r="D878" t="s">
        <v>1625</v>
      </c>
      <c r="E878">
        <v>14.55</v>
      </c>
      <c r="F878">
        <v>709</v>
      </c>
      <c r="G878">
        <v>107</v>
      </c>
      <c r="H878">
        <v>0.28999999999999998</v>
      </c>
    </row>
    <row r="879" spans="1:8" x14ac:dyDescent="0.25">
      <c r="A879">
        <v>200002321</v>
      </c>
      <c r="B879" t="s">
        <v>1378</v>
      </c>
      <c r="C879" s="2">
        <v>45280</v>
      </c>
      <c r="D879" t="s">
        <v>1196</v>
      </c>
      <c r="E879">
        <v>19.5</v>
      </c>
      <c r="F879">
        <v>23</v>
      </c>
      <c r="G879">
        <v>46</v>
      </c>
      <c r="H879">
        <v>0.12</v>
      </c>
    </row>
    <row r="880" spans="1:8" x14ac:dyDescent="0.25">
      <c r="A880">
        <v>200000530</v>
      </c>
      <c r="B880" t="s">
        <v>713</v>
      </c>
      <c r="C880" s="2">
        <v>44148</v>
      </c>
      <c r="D880" t="s">
        <v>1355</v>
      </c>
      <c r="E880">
        <v>3</v>
      </c>
      <c r="F880">
        <v>3</v>
      </c>
      <c r="G880">
        <v>3</v>
      </c>
      <c r="H880">
        <v>0</v>
      </c>
    </row>
    <row r="881" spans="1:8" x14ac:dyDescent="0.25">
      <c r="A881">
        <v>200000531</v>
      </c>
      <c r="B881" t="s">
        <v>715</v>
      </c>
      <c r="C881" s="2">
        <v>45202</v>
      </c>
      <c r="D881" t="s">
        <v>1229</v>
      </c>
      <c r="E881">
        <v>7.1</v>
      </c>
      <c r="F881">
        <v>142</v>
      </c>
      <c r="G881">
        <v>187</v>
      </c>
      <c r="H881">
        <v>0.51</v>
      </c>
    </row>
    <row r="882" spans="1:8" x14ac:dyDescent="0.25">
      <c r="A882">
        <v>200000532</v>
      </c>
      <c r="B882" t="s">
        <v>716</v>
      </c>
      <c r="C882" s="2">
        <v>45202</v>
      </c>
      <c r="D882" t="s">
        <v>1229</v>
      </c>
      <c r="E882">
        <v>7.35</v>
      </c>
      <c r="F882">
        <v>17</v>
      </c>
      <c r="G882">
        <v>48</v>
      </c>
      <c r="H882">
        <v>0.13</v>
      </c>
    </row>
    <row r="883" spans="1:8" x14ac:dyDescent="0.25">
      <c r="A883">
        <v>200000533</v>
      </c>
      <c r="B883" t="s">
        <v>717</v>
      </c>
      <c r="C883" s="2">
        <v>44903</v>
      </c>
      <c r="D883" t="s">
        <v>1229</v>
      </c>
      <c r="E883">
        <v>7.69</v>
      </c>
      <c r="F883">
        <v>14</v>
      </c>
      <c r="G883">
        <v>2</v>
      </c>
      <c r="H883">
        <v>0</v>
      </c>
    </row>
    <row r="884" spans="1:8" x14ac:dyDescent="0.25">
      <c r="A884">
        <v>200001317</v>
      </c>
      <c r="B884" t="s">
        <v>2077</v>
      </c>
      <c r="C884" s="2">
        <v>45155</v>
      </c>
      <c r="D884" t="s">
        <v>1516</v>
      </c>
      <c r="E884">
        <v>2.66</v>
      </c>
      <c r="F884">
        <v>10</v>
      </c>
      <c r="G884">
        <v>24</v>
      </c>
      <c r="H884">
        <v>0.06</v>
      </c>
    </row>
    <row r="885" spans="1:8" x14ac:dyDescent="0.25">
      <c r="A885">
        <v>200000535</v>
      </c>
      <c r="B885" t="s">
        <v>1379</v>
      </c>
      <c r="C885" s="2">
        <v>45278</v>
      </c>
      <c r="D885" t="s">
        <v>1516</v>
      </c>
      <c r="E885">
        <v>3.61</v>
      </c>
      <c r="F885">
        <v>330</v>
      </c>
      <c r="G885">
        <v>420</v>
      </c>
      <c r="H885">
        <v>1.1499999999999999</v>
      </c>
    </row>
    <row r="886" spans="1:8" x14ac:dyDescent="0.25">
      <c r="A886">
        <v>200000537</v>
      </c>
      <c r="B886" t="s">
        <v>1380</v>
      </c>
      <c r="C886" s="2">
        <v>45278</v>
      </c>
      <c r="D886" t="s">
        <v>1516</v>
      </c>
      <c r="E886">
        <v>3</v>
      </c>
      <c r="F886">
        <v>304</v>
      </c>
      <c r="G886">
        <v>449</v>
      </c>
      <c r="H886">
        <v>1.23</v>
      </c>
    </row>
    <row r="887" spans="1:8" x14ac:dyDescent="0.25">
      <c r="A887">
        <v>200000483</v>
      </c>
      <c r="B887" t="s">
        <v>1381</v>
      </c>
      <c r="C887" s="2">
        <v>45280</v>
      </c>
      <c r="D887" t="s">
        <v>1196</v>
      </c>
      <c r="E887">
        <v>1.95</v>
      </c>
      <c r="F887">
        <v>52</v>
      </c>
      <c r="G887">
        <v>132</v>
      </c>
      <c r="H887">
        <v>0.36</v>
      </c>
    </row>
    <row r="888" spans="1:8" x14ac:dyDescent="0.25">
      <c r="A888">
        <v>200000485</v>
      </c>
      <c r="B888" t="s">
        <v>1382</v>
      </c>
      <c r="C888" s="2">
        <v>45280</v>
      </c>
      <c r="D888" t="s">
        <v>1196</v>
      </c>
      <c r="E888">
        <v>1.95</v>
      </c>
      <c r="F888">
        <v>65</v>
      </c>
      <c r="G888">
        <v>109</v>
      </c>
      <c r="H888">
        <v>0.28999999999999998</v>
      </c>
    </row>
    <row r="889" spans="1:8" x14ac:dyDescent="0.25">
      <c r="A889">
        <v>200000539</v>
      </c>
      <c r="B889" t="s">
        <v>1383</v>
      </c>
      <c r="C889" s="2">
        <v>45280</v>
      </c>
      <c r="D889" t="s">
        <v>1196</v>
      </c>
      <c r="E889">
        <v>1.9</v>
      </c>
      <c r="F889">
        <v>29</v>
      </c>
      <c r="G889">
        <v>53</v>
      </c>
      <c r="H889">
        <v>0.14000000000000001</v>
      </c>
    </row>
    <row r="890" spans="1:8" x14ac:dyDescent="0.25">
      <c r="A890">
        <v>200000541</v>
      </c>
      <c r="B890" t="s">
        <v>1384</v>
      </c>
      <c r="C890" s="2">
        <v>45203</v>
      </c>
      <c r="D890" t="s">
        <v>1521</v>
      </c>
      <c r="E890">
        <v>3.95</v>
      </c>
      <c r="F890">
        <v>17</v>
      </c>
      <c r="G890">
        <v>32</v>
      </c>
      <c r="H890">
        <v>0.08</v>
      </c>
    </row>
    <row r="891" spans="1:8" x14ac:dyDescent="0.25">
      <c r="A891">
        <v>200004293</v>
      </c>
      <c r="B891" t="s">
        <v>2078</v>
      </c>
      <c r="C891" s="2">
        <v>44102</v>
      </c>
      <c r="D891" t="s">
        <v>1229</v>
      </c>
      <c r="E891">
        <v>3.96</v>
      </c>
      <c r="F891">
        <v>8</v>
      </c>
      <c r="G891">
        <v>10</v>
      </c>
      <c r="H891">
        <v>0.02</v>
      </c>
    </row>
    <row r="892" spans="1:8" x14ac:dyDescent="0.25">
      <c r="A892">
        <v>200002363</v>
      </c>
      <c r="B892" t="s">
        <v>719</v>
      </c>
      <c r="C892" s="2">
        <v>41975</v>
      </c>
      <c r="D892" t="s">
        <v>1556</v>
      </c>
      <c r="E892">
        <v>22</v>
      </c>
      <c r="F892">
        <v>4</v>
      </c>
      <c r="G892">
        <v>6</v>
      </c>
      <c r="H892">
        <v>0.01</v>
      </c>
    </row>
    <row r="893" spans="1:8" x14ac:dyDescent="0.25">
      <c r="A893">
        <v>200006263</v>
      </c>
      <c r="B893" t="s">
        <v>726</v>
      </c>
      <c r="C893" s="2">
        <v>45223</v>
      </c>
      <c r="D893" t="s">
        <v>2079</v>
      </c>
      <c r="E893">
        <v>0.01</v>
      </c>
      <c r="F893">
        <v>21560000</v>
      </c>
      <c r="G893">
        <v>84000</v>
      </c>
      <c r="H893">
        <v>230.13</v>
      </c>
    </row>
    <row r="894" spans="1:8" x14ac:dyDescent="0.25">
      <c r="A894">
        <v>200005117</v>
      </c>
      <c r="B894" t="s">
        <v>727</v>
      </c>
      <c r="C894" s="2">
        <v>44568</v>
      </c>
      <c r="D894" t="s">
        <v>1167</v>
      </c>
      <c r="E894">
        <v>1.28</v>
      </c>
      <c r="F894">
        <v>0</v>
      </c>
      <c r="G894">
        <v>121384</v>
      </c>
      <c r="H894">
        <v>332.55</v>
      </c>
    </row>
    <row r="895" spans="1:8" x14ac:dyDescent="0.25">
      <c r="A895">
        <v>200006128</v>
      </c>
      <c r="B895" t="s">
        <v>728</v>
      </c>
      <c r="C895" s="2">
        <v>44901</v>
      </c>
      <c r="D895" t="s">
        <v>1167</v>
      </c>
      <c r="E895">
        <v>0.01</v>
      </c>
      <c r="F895">
        <v>13537800</v>
      </c>
      <c r="G895">
        <v>1525000</v>
      </c>
      <c r="H895">
        <v>4178.08</v>
      </c>
    </row>
    <row r="896" spans="1:8" x14ac:dyDescent="0.25">
      <c r="A896">
        <v>200006486</v>
      </c>
      <c r="B896" t="s">
        <v>2080</v>
      </c>
      <c r="C896" s="2">
        <v>45279</v>
      </c>
      <c r="D896" t="s">
        <v>1461</v>
      </c>
      <c r="E896">
        <v>102</v>
      </c>
      <c r="F896">
        <v>0</v>
      </c>
      <c r="G896">
        <v>15</v>
      </c>
      <c r="H896">
        <v>0.04</v>
      </c>
    </row>
    <row r="897" spans="1:8" x14ac:dyDescent="0.25">
      <c r="A897">
        <v>200000542</v>
      </c>
      <c r="B897" t="s">
        <v>2081</v>
      </c>
      <c r="C897" s="2">
        <v>44854</v>
      </c>
      <c r="D897" t="s">
        <v>1157</v>
      </c>
      <c r="E897">
        <v>1.33</v>
      </c>
      <c r="F897">
        <v>163</v>
      </c>
      <c r="G897">
        <v>159</v>
      </c>
      <c r="H897">
        <v>0.43</v>
      </c>
    </row>
    <row r="898" spans="1:8" x14ac:dyDescent="0.25">
      <c r="A898">
        <v>200000543</v>
      </c>
      <c r="B898" t="s">
        <v>2082</v>
      </c>
      <c r="C898" s="2">
        <v>44854</v>
      </c>
      <c r="D898" t="s">
        <v>1157</v>
      </c>
      <c r="E898">
        <v>3.84</v>
      </c>
      <c r="F898">
        <v>116</v>
      </c>
      <c r="G898">
        <v>56</v>
      </c>
      <c r="H898">
        <v>0.15</v>
      </c>
    </row>
    <row r="899" spans="1:8" x14ac:dyDescent="0.25">
      <c r="A899">
        <v>200002200</v>
      </c>
      <c r="B899" t="s">
        <v>2083</v>
      </c>
      <c r="C899" s="2">
        <v>44593</v>
      </c>
      <c r="D899" t="s">
        <v>1441</v>
      </c>
      <c r="E899">
        <v>6.08</v>
      </c>
      <c r="F899">
        <v>30</v>
      </c>
      <c r="G899">
        <v>30</v>
      </c>
      <c r="H899">
        <v>0.08</v>
      </c>
    </row>
    <row r="900" spans="1:8" x14ac:dyDescent="0.25">
      <c r="A900">
        <v>200006480</v>
      </c>
      <c r="B900" t="s">
        <v>2084</v>
      </c>
      <c r="C900" s="2">
        <v>45279</v>
      </c>
      <c r="D900" t="s">
        <v>1461</v>
      </c>
      <c r="E900">
        <v>102</v>
      </c>
      <c r="F900">
        <v>0</v>
      </c>
      <c r="G900">
        <v>5</v>
      </c>
      <c r="H900">
        <v>0.01</v>
      </c>
    </row>
    <row r="901" spans="1:8" x14ac:dyDescent="0.25">
      <c r="A901">
        <v>200006485</v>
      </c>
      <c r="B901" t="s">
        <v>2085</v>
      </c>
      <c r="C901" s="2">
        <v>45279</v>
      </c>
      <c r="D901" t="s">
        <v>1461</v>
      </c>
      <c r="E901">
        <v>102</v>
      </c>
      <c r="F901">
        <v>0</v>
      </c>
      <c r="G901">
        <v>1</v>
      </c>
      <c r="H901">
        <v>0</v>
      </c>
    </row>
    <row r="902" spans="1:8" x14ac:dyDescent="0.25">
      <c r="A902">
        <v>200006310</v>
      </c>
      <c r="B902" t="s">
        <v>2086</v>
      </c>
      <c r="C902" s="2">
        <v>45014</v>
      </c>
      <c r="D902" t="s">
        <v>1503</v>
      </c>
      <c r="E902">
        <v>2132.19</v>
      </c>
      <c r="F902">
        <v>0</v>
      </c>
      <c r="G902">
        <v>3</v>
      </c>
      <c r="H902">
        <v>0</v>
      </c>
    </row>
    <row r="903" spans="1:8" x14ac:dyDescent="0.25">
      <c r="A903">
        <v>200006311</v>
      </c>
      <c r="B903" t="s">
        <v>2087</v>
      </c>
      <c r="C903" s="2">
        <v>45014</v>
      </c>
      <c r="D903" t="s">
        <v>1503</v>
      </c>
      <c r="E903">
        <v>1121.47</v>
      </c>
      <c r="F903">
        <v>0</v>
      </c>
      <c r="G903">
        <v>3</v>
      </c>
      <c r="H903">
        <v>0</v>
      </c>
    </row>
    <row r="904" spans="1:8" x14ac:dyDescent="0.25">
      <c r="A904">
        <v>200006309</v>
      </c>
      <c r="B904" t="s">
        <v>2088</v>
      </c>
      <c r="C904" s="2">
        <v>45014</v>
      </c>
      <c r="D904" t="s">
        <v>1503</v>
      </c>
      <c r="E904">
        <v>1200.71</v>
      </c>
      <c r="F904">
        <v>0</v>
      </c>
      <c r="G904">
        <v>3</v>
      </c>
      <c r="H904">
        <v>0</v>
      </c>
    </row>
    <row r="905" spans="1:8" x14ac:dyDescent="0.25">
      <c r="A905">
        <v>200004118</v>
      </c>
      <c r="B905" t="s">
        <v>733</v>
      </c>
      <c r="C905" s="2">
        <v>45273</v>
      </c>
      <c r="D905" t="s">
        <v>1625</v>
      </c>
      <c r="E905">
        <v>37.31</v>
      </c>
      <c r="F905">
        <v>56</v>
      </c>
      <c r="G905">
        <v>271</v>
      </c>
      <c r="H905">
        <v>0.74</v>
      </c>
    </row>
    <row r="906" spans="1:8" x14ac:dyDescent="0.25">
      <c r="A906">
        <v>200006488</v>
      </c>
      <c r="B906" t="s">
        <v>2089</v>
      </c>
      <c r="C906" s="2">
        <v>45279</v>
      </c>
      <c r="D906" t="s">
        <v>1461</v>
      </c>
      <c r="E906">
        <v>395</v>
      </c>
      <c r="F906">
        <v>0</v>
      </c>
      <c r="G906">
        <v>7</v>
      </c>
      <c r="H906">
        <v>0.01</v>
      </c>
    </row>
    <row r="907" spans="1:8" x14ac:dyDescent="0.25">
      <c r="A907">
        <v>200002179</v>
      </c>
      <c r="B907" t="s">
        <v>2090</v>
      </c>
      <c r="C907" s="2">
        <v>43774</v>
      </c>
      <c r="D907" t="s">
        <v>1549</v>
      </c>
      <c r="E907">
        <v>440</v>
      </c>
      <c r="F907">
        <v>28</v>
      </c>
      <c r="G907">
        <v>16</v>
      </c>
      <c r="H907">
        <v>0.04</v>
      </c>
    </row>
    <row r="908" spans="1:8" x14ac:dyDescent="0.25">
      <c r="A908">
        <v>200002180</v>
      </c>
      <c r="B908" t="s">
        <v>2091</v>
      </c>
      <c r="C908" s="2">
        <v>44147</v>
      </c>
      <c r="D908" t="s">
        <v>1180</v>
      </c>
      <c r="E908">
        <v>263.8</v>
      </c>
      <c r="F908">
        <v>0</v>
      </c>
      <c r="G908">
        <v>164</v>
      </c>
      <c r="H908">
        <v>0.44</v>
      </c>
    </row>
    <row r="909" spans="1:8" x14ac:dyDescent="0.25">
      <c r="A909">
        <v>200005412</v>
      </c>
      <c r="B909" t="s">
        <v>2092</v>
      </c>
      <c r="C909" s="2">
        <v>44147</v>
      </c>
      <c r="D909" t="s">
        <v>1180</v>
      </c>
      <c r="E909">
        <v>216.65</v>
      </c>
      <c r="F909">
        <v>37</v>
      </c>
      <c r="G909">
        <v>2</v>
      </c>
      <c r="H909">
        <v>0</v>
      </c>
    </row>
    <row r="910" spans="1:8" x14ac:dyDescent="0.25">
      <c r="A910">
        <v>200006498</v>
      </c>
      <c r="B910" t="s">
        <v>2093</v>
      </c>
      <c r="C910" s="2">
        <v>45279</v>
      </c>
      <c r="D910" t="s">
        <v>1461</v>
      </c>
      <c r="E910">
        <v>102</v>
      </c>
      <c r="F910">
        <v>0</v>
      </c>
      <c r="G910">
        <v>7</v>
      </c>
      <c r="H910">
        <v>0.01</v>
      </c>
    </row>
    <row r="911" spans="1:8" x14ac:dyDescent="0.25">
      <c r="A911">
        <v>200006491</v>
      </c>
      <c r="B911" t="s">
        <v>2094</v>
      </c>
      <c r="C911" s="2">
        <v>45279</v>
      </c>
      <c r="D911" t="s">
        <v>1461</v>
      </c>
      <c r="E911">
        <v>390</v>
      </c>
      <c r="F911">
        <v>0</v>
      </c>
      <c r="G911">
        <v>1</v>
      </c>
      <c r="H911">
        <v>0</v>
      </c>
    </row>
    <row r="912" spans="1:8" x14ac:dyDescent="0.25">
      <c r="A912">
        <v>200006490</v>
      </c>
      <c r="B912" t="s">
        <v>2095</v>
      </c>
      <c r="C912" s="2">
        <v>45279</v>
      </c>
      <c r="D912" t="s">
        <v>1461</v>
      </c>
      <c r="E912">
        <v>390</v>
      </c>
      <c r="F912">
        <v>0</v>
      </c>
      <c r="G912">
        <v>1</v>
      </c>
      <c r="H912">
        <v>0</v>
      </c>
    </row>
    <row r="913" spans="1:8" x14ac:dyDescent="0.25">
      <c r="A913">
        <v>200006493</v>
      </c>
      <c r="B913" t="s">
        <v>2096</v>
      </c>
      <c r="C913" s="2">
        <v>45279</v>
      </c>
      <c r="D913" t="s">
        <v>1461</v>
      </c>
      <c r="E913">
        <v>115</v>
      </c>
      <c r="F913">
        <v>0</v>
      </c>
      <c r="G913">
        <v>33</v>
      </c>
      <c r="H913">
        <v>0.09</v>
      </c>
    </row>
    <row r="914" spans="1:8" x14ac:dyDescent="0.25">
      <c r="A914">
        <v>200006494</v>
      </c>
      <c r="B914" t="s">
        <v>2097</v>
      </c>
      <c r="C914" s="2">
        <v>45279</v>
      </c>
      <c r="D914" t="s">
        <v>1461</v>
      </c>
      <c r="E914">
        <v>156</v>
      </c>
      <c r="F914">
        <v>0</v>
      </c>
      <c r="G914">
        <v>4</v>
      </c>
      <c r="H914">
        <v>0.01</v>
      </c>
    </row>
    <row r="915" spans="1:8" x14ac:dyDescent="0.25">
      <c r="A915">
        <v>200006483</v>
      </c>
      <c r="B915" t="s">
        <v>2098</v>
      </c>
      <c r="C915" s="2">
        <v>45279</v>
      </c>
      <c r="D915" t="s">
        <v>1461</v>
      </c>
      <c r="E915">
        <v>123</v>
      </c>
      <c r="F915">
        <v>0</v>
      </c>
      <c r="G915">
        <v>7</v>
      </c>
      <c r="H915">
        <v>0.01</v>
      </c>
    </row>
    <row r="916" spans="1:8" x14ac:dyDescent="0.25">
      <c r="A916">
        <v>200006484</v>
      </c>
      <c r="B916" t="s">
        <v>2099</v>
      </c>
      <c r="C916" s="2">
        <v>45279</v>
      </c>
      <c r="D916" t="s">
        <v>1461</v>
      </c>
      <c r="E916">
        <v>123</v>
      </c>
      <c r="F916">
        <v>0</v>
      </c>
      <c r="G916">
        <v>7</v>
      </c>
      <c r="H916">
        <v>0.01</v>
      </c>
    </row>
    <row r="917" spans="1:8" x14ac:dyDescent="0.25">
      <c r="A917">
        <v>200006482</v>
      </c>
      <c r="B917" t="s">
        <v>2100</v>
      </c>
      <c r="C917" s="2">
        <v>45279</v>
      </c>
      <c r="D917" t="s">
        <v>1461</v>
      </c>
      <c r="E917">
        <v>123</v>
      </c>
      <c r="F917">
        <v>0</v>
      </c>
      <c r="G917">
        <v>7</v>
      </c>
      <c r="H917">
        <v>0.01</v>
      </c>
    </row>
    <row r="918" spans="1:8" x14ac:dyDescent="0.25">
      <c r="A918">
        <v>200006477</v>
      </c>
      <c r="B918" t="s">
        <v>2101</v>
      </c>
      <c r="C918" s="2">
        <v>45279</v>
      </c>
      <c r="D918" t="s">
        <v>1461</v>
      </c>
      <c r="E918">
        <v>395</v>
      </c>
      <c r="F918">
        <v>0</v>
      </c>
      <c r="G918">
        <v>4</v>
      </c>
      <c r="H918">
        <v>0.01</v>
      </c>
    </row>
    <row r="919" spans="1:8" x14ac:dyDescent="0.25">
      <c r="A919">
        <v>200006489</v>
      </c>
      <c r="B919" t="s">
        <v>2102</v>
      </c>
      <c r="C919" s="2">
        <v>45279</v>
      </c>
      <c r="D919" t="s">
        <v>1461</v>
      </c>
      <c r="E919">
        <v>283</v>
      </c>
      <c r="F919">
        <v>0</v>
      </c>
      <c r="G919">
        <v>31</v>
      </c>
      <c r="H919">
        <v>0.08</v>
      </c>
    </row>
    <row r="920" spans="1:8" x14ac:dyDescent="0.25">
      <c r="A920">
        <v>200006479</v>
      </c>
      <c r="B920" t="s">
        <v>2103</v>
      </c>
      <c r="C920" s="2">
        <v>45279</v>
      </c>
      <c r="D920" t="s">
        <v>1461</v>
      </c>
      <c r="E920">
        <v>102</v>
      </c>
      <c r="F920">
        <v>0</v>
      </c>
      <c r="G920">
        <v>23</v>
      </c>
      <c r="H920">
        <v>0.06</v>
      </c>
    </row>
    <row r="921" spans="1:8" x14ac:dyDescent="0.25">
      <c r="A921">
        <v>200006499</v>
      </c>
      <c r="B921" t="s">
        <v>2104</v>
      </c>
      <c r="C921" s="2">
        <v>45279</v>
      </c>
      <c r="D921" t="s">
        <v>1461</v>
      </c>
      <c r="E921">
        <v>102</v>
      </c>
      <c r="F921">
        <v>0</v>
      </c>
      <c r="G921">
        <v>2</v>
      </c>
      <c r="H921">
        <v>0</v>
      </c>
    </row>
    <row r="922" spans="1:8" x14ac:dyDescent="0.25">
      <c r="A922">
        <v>200006478</v>
      </c>
      <c r="B922" t="s">
        <v>2105</v>
      </c>
      <c r="C922" s="2">
        <v>45279</v>
      </c>
      <c r="D922" t="s">
        <v>1461</v>
      </c>
      <c r="E922">
        <v>102</v>
      </c>
      <c r="F922">
        <v>0</v>
      </c>
      <c r="G922">
        <v>1</v>
      </c>
      <c r="H922">
        <v>0</v>
      </c>
    </row>
    <row r="923" spans="1:8" x14ac:dyDescent="0.25">
      <c r="A923">
        <v>200006495</v>
      </c>
      <c r="B923" t="s">
        <v>2106</v>
      </c>
      <c r="C923" s="2">
        <v>45279</v>
      </c>
      <c r="D923" t="s">
        <v>1461</v>
      </c>
      <c r="E923">
        <v>102</v>
      </c>
      <c r="F923">
        <v>0</v>
      </c>
      <c r="G923">
        <v>18</v>
      </c>
      <c r="H923">
        <v>0.04</v>
      </c>
    </row>
    <row r="924" spans="1:8" x14ac:dyDescent="0.25">
      <c r="A924">
        <v>200006487</v>
      </c>
      <c r="B924" t="s">
        <v>2107</v>
      </c>
      <c r="C924" s="2">
        <v>45279</v>
      </c>
      <c r="D924" t="s">
        <v>1461</v>
      </c>
      <c r="E924">
        <v>102</v>
      </c>
      <c r="F924">
        <v>0</v>
      </c>
      <c r="G924">
        <v>5</v>
      </c>
      <c r="H924">
        <v>0.01</v>
      </c>
    </row>
    <row r="925" spans="1:8" x14ac:dyDescent="0.25">
      <c r="A925">
        <v>200005639</v>
      </c>
      <c r="B925" t="s">
        <v>2108</v>
      </c>
      <c r="C925" s="2">
        <v>45006</v>
      </c>
      <c r="D925" t="s">
        <v>2109</v>
      </c>
      <c r="E925">
        <v>40</v>
      </c>
      <c r="F925">
        <v>0</v>
      </c>
      <c r="G925">
        <v>100</v>
      </c>
      <c r="H925">
        <v>0.27</v>
      </c>
    </row>
    <row r="926" spans="1:8" x14ac:dyDescent="0.25">
      <c r="A926">
        <v>200005641</v>
      </c>
      <c r="B926" t="s">
        <v>2110</v>
      </c>
      <c r="C926" s="2">
        <v>45006</v>
      </c>
      <c r="D926" t="s">
        <v>2109</v>
      </c>
      <c r="E926">
        <v>74.400000000000006</v>
      </c>
      <c r="F926">
        <v>0</v>
      </c>
      <c r="G926">
        <v>200</v>
      </c>
      <c r="H926">
        <v>0.54</v>
      </c>
    </row>
    <row r="927" spans="1:8" x14ac:dyDescent="0.25">
      <c r="A927">
        <v>200006496</v>
      </c>
      <c r="B927" t="s">
        <v>2111</v>
      </c>
      <c r="C927" s="2">
        <v>45279</v>
      </c>
      <c r="D927" t="s">
        <v>1461</v>
      </c>
      <c r="E927">
        <v>102</v>
      </c>
      <c r="F927">
        <v>0</v>
      </c>
      <c r="G927">
        <v>1</v>
      </c>
      <c r="H927">
        <v>0</v>
      </c>
    </row>
    <row r="928" spans="1:8" x14ac:dyDescent="0.25">
      <c r="A928">
        <v>200006497</v>
      </c>
      <c r="B928" t="s">
        <v>2112</v>
      </c>
      <c r="C928" s="2">
        <v>45279</v>
      </c>
      <c r="D928" t="s">
        <v>1461</v>
      </c>
      <c r="E928">
        <v>102</v>
      </c>
      <c r="F928">
        <v>0</v>
      </c>
      <c r="G928">
        <v>1</v>
      </c>
      <c r="H928">
        <v>0</v>
      </c>
    </row>
    <row r="929" spans="1:8" x14ac:dyDescent="0.25">
      <c r="A929">
        <v>200006481</v>
      </c>
      <c r="B929" t="s">
        <v>2113</v>
      </c>
      <c r="C929" s="2">
        <v>45279</v>
      </c>
      <c r="D929" t="s">
        <v>1461</v>
      </c>
      <c r="E929">
        <v>102</v>
      </c>
      <c r="F929">
        <v>0</v>
      </c>
      <c r="G929">
        <v>4</v>
      </c>
      <c r="H929">
        <v>0.01</v>
      </c>
    </row>
    <row r="930" spans="1:8" x14ac:dyDescent="0.25">
      <c r="A930">
        <v>200003169</v>
      </c>
      <c r="B930" t="s">
        <v>737</v>
      </c>
      <c r="C930" s="2">
        <v>43531</v>
      </c>
      <c r="D930" t="s">
        <v>2114</v>
      </c>
      <c r="E930">
        <v>1.19</v>
      </c>
      <c r="F930">
        <v>171</v>
      </c>
      <c r="G930">
        <v>50</v>
      </c>
      <c r="H930">
        <v>0.13</v>
      </c>
    </row>
    <row r="931" spans="1:8" x14ac:dyDescent="0.25">
      <c r="A931">
        <v>200003069</v>
      </c>
      <c r="B931" t="s">
        <v>2115</v>
      </c>
      <c r="C931" s="2">
        <v>44854</v>
      </c>
      <c r="D931" t="s">
        <v>1157</v>
      </c>
      <c r="E931">
        <v>1.76</v>
      </c>
      <c r="F931">
        <v>1</v>
      </c>
      <c r="G931">
        <v>103</v>
      </c>
      <c r="H931">
        <v>0.28000000000000003</v>
      </c>
    </row>
    <row r="932" spans="1:8" x14ac:dyDescent="0.25">
      <c r="A932">
        <v>200000764</v>
      </c>
      <c r="B932" t="s">
        <v>2116</v>
      </c>
      <c r="C932" s="2">
        <v>44854</v>
      </c>
      <c r="D932" t="s">
        <v>1157</v>
      </c>
      <c r="E932">
        <v>1.56</v>
      </c>
      <c r="F932">
        <v>223</v>
      </c>
      <c r="G932">
        <v>145</v>
      </c>
      <c r="H932">
        <v>0.39</v>
      </c>
    </row>
    <row r="933" spans="1:8" x14ac:dyDescent="0.25">
      <c r="A933">
        <v>200002004</v>
      </c>
      <c r="B933" t="s">
        <v>738</v>
      </c>
      <c r="C933" s="2">
        <v>41975</v>
      </c>
      <c r="D933" t="s">
        <v>1556</v>
      </c>
      <c r="E933">
        <v>1.1000000000000001</v>
      </c>
      <c r="F933">
        <v>14</v>
      </c>
      <c r="G933">
        <v>7</v>
      </c>
      <c r="H933">
        <v>0.01</v>
      </c>
    </row>
    <row r="934" spans="1:8" x14ac:dyDescent="0.25">
      <c r="A934">
        <v>200000548</v>
      </c>
      <c r="B934" t="s">
        <v>743</v>
      </c>
      <c r="C934" s="2">
        <v>43892</v>
      </c>
      <c r="D934" t="s">
        <v>1338</v>
      </c>
      <c r="E934">
        <v>0.5</v>
      </c>
      <c r="F934">
        <v>25</v>
      </c>
      <c r="G934">
        <v>10</v>
      </c>
      <c r="H934">
        <v>0.02</v>
      </c>
    </row>
    <row r="935" spans="1:8" x14ac:dyDescent="0.25">
      <c r="A935">
        <v>200000878</v>
      </c>
      <c r="B935" t="s">
        <v>1386</v>
      </c>
      <c r="C935" s="2">
        <v>45266</v>
      </c>
      <c r="D935" t="s">
        <v>1247</v>
      </c>
      <c r="E935">
        <v>120.9</v>
      </c>
      <c r="F935">
        <v>134</v>
      </c>
      <c r="G935">
        <v>158</v>
      </c>
      <c r="H935">
        <v>0.43</v>
      </c>
    </row>
    <row r="936" spans="1:8" x14ac:dyDescent="0.25">
      <c r="A936">
        <v>200004275</v>
      </c>
      <c r="B936" t="s">
        <v>2117</v>
      </c>
      <c r="C936" s="2">
        <v>43258</v>
      </c>
      <c r="D936" t="s">
        <v>1481</v>
      </c>
      <c r="E936">
        <v>0.96</v>
      </c>
      <c r="F936">
        <v>0</v>
      </c>
      <c r="G936">
        <v>299</v>
      </c>
      <c r="H936">
        <v>0.81</v>
      </c>
    </row>
    <row r="937" spans="1:8" x14ac:dyDescent="0.25">
      <c r="A937">
        <v>200003473</v>
      </c>
      <c r="B937" t="s">
        <v>2118</v>
      </c>
      <c r="C937" s="2">
        <v>43258</v>
      </c>
      <c r="D937" t="s">
        <v>1481</v>
      </c>
      <c r="E937">
        <v>1.22</v>
      </c>
      <c r="F937">
        <v>0</v>
      </c>
      <c r="G937">
        <v>299</v>
      </c>
      <c r="H937">
        <v>0.81</v>
      </c>
    </row>
    <row r="938" spans="1:8" x14ac:dyDescent="0.25">
      <c r="A938">
        <v>200003471</v>
      </c>
      <c r="B938" t="s">
        <v>2119</v>
      </c>
      <c r="C938" s="2">
        <v>43258</v>
      </c>
      <c r="D938" t="s">
        <v>1481</v>
      </c>
      <c r="E938">
        <v>0.72</v>
      </c>
      <c r="F938">
        <v>240</v>
      </c>
      <c r="G938">
        <v>299</v>
      </c>
      <c r="H938">
        <v>0.81</v>
      </c>
    </row>
    <row r="939" spans="1:8" x14ac:dyDescent="0.25">
      <c r="A939">
        <v>200004276</v>
      </c>
      <c r="B939" t="s">
        <v>2120</v>
      </c>
      <c r="C939" s="2">
        <v>43258</v>
      </c>
      <c r="D939" t="s">
        <v>1481</v>
      </c>
      <c r="E939">
        <v>0.94</v>
      </c>
      <c r="F939">
        <v>0</v>
      </c>
      <c r="G939">
        <v>179</v>
      </c>
      <c r="H939">
        <v>0.49</v>
      </c>
    </row>
    <row r="940" spans="1:8" x14ac:dyDescent="0.25">
      <c r="A940">
        <v>200004277</v>
      </c>
      <c r="B940" t="s">
        <v>2121</v>
      </c>
      <c r="C940" s="2">
        <v>43258</v>
      </c>
      <c r="D940" t="s">
        <v>1481</v>
      </c>
      <c r="E940">
        <v>2.13</v>
      </c>
      <c r="F940">
        <v>0</v>
      </c>
      <c r="G940">
        <v>179</v>
      </c>
      <c r="H940">
        <v>0.49</v>
      </c>
    </row>
    <row r="941" spans="1:8" x14ac:dyDescent="0.25">
      <c r="A941">
        <v>200003472</v>
      </c>
      <c r="B941" t="s">
        <v>2122</v>
      </c>
      <c r="C941" s="2">
        <v>43258</v>
      </c>
      <c r="D941" t="s">
        <v>1481</v>
      </c>
      <c r="E941">
        <v>7.09</v>
      </c>
      <c r="F941">
        <v>0</v>
      </c>
      <c r="G941">
        <v>209</v>
      </c>
      <c r="H941">
        <v>0.56999999999999995</v>
      </c>
    </row>
    <row r="942" spans="1:8" x14ac:dyDescent="0.25">
      <c r="A942">
        <v>200004589</v>
      </c>
      <c r="B942" t="s">
        <v>2123</v>
      </c>
      <c r="C942" s="2">
        <v>43258</v>
      </c>
      <c r="D942" t="s">
        <v>1481</v>
      </c>
      <c r="E942">
        <v>0.96</v>
      </c>
      <c r="F942">
        <v>0</v>
      </c>
      <c r="G942">
        <v>179</v>
      </c>
      <c r="H942">
        <v>0.49</v>
      </c>
    </row>
    <row r="943" spans="1:8" x14ac:dyDescent="0.25">
      <c r="A943">
        <v>200004333</v>
      </c>
      <c r="B943" t="s">
        <v>2124</v>
      </c>
      <c r="C943" s="2">
        <v>45273</v>
      </c>
      <c r="D943" t="s">
        <v>1180</v>
      </c>
      <c r="E943">
        <v>0.27</v>
      </c>
      <c r="F943">
        <v>285</v>
      </c>
      <c r="G943">
        <v>290</v>
      </c>
      <c r="H943">
        <v>0.79</v>
      </c>
    </row>
    <row r="944" spans="1:8" x14ac:dyDescent="0.25">
      <c r="A944">
        <v>200004983</v>
      </c>
      <c r="B944" t="s">
        <v>745</v>
      </c>
      <c r="C944" s="2">
        <v>43741</v>
      </c>
      <c r="D944" t="s">
        <v>1223</v>
      </c>
      <c r="E944">
        <v>3.05</v>
      </c>
      <c r="F944">
        <v>40</v>
      </c>
      <c r="G944">
        <v>7</v>
      </c>
      <c r="H944">
        <v>0.01</v>
      </c>
    </row>
    <row r="945" spans="1:8" x14ac:dyDescent="0.25">
      <c r="A945">
        <v>200006087</v>
      </c>
      <c r="B945" t="s">
        <v>2125</v>
      </c>
      <c r="C945" s="2">
        <v>44943</v>
      </c>
      <c r="D945" t="s">
        <v>2126</v>
      </c>
      <c r="E945">
        <v>9600</v>
      </c>
      <c r="F945">
        <v>0</v>
      </c>
      <c r="G945">
        <v>3</v>
      </c>
      <c r="H945">
        <v>0</v>
      </c>
    </row>
    <row r="946" spans="1:8" x14ac:dyDescent="0.25">
      <c r="A946">
        <v>200004166</v>
      </c>
      <c r="B946" t="s">
        <v>748</v>
      </c>
      <c r="C946" s="2">
        <v>44896</v>
      </c>
      <c r="D946" t="s">
        <v>1509</v>
      </c>
      <c r="E946">
        <v>145.94999999999999</v>
      </c>
      <c r="F946">
        <v>0</v>
      </c>
      <c r="G946">
        <v>31</v>
      </c>
      <c r="H946">
        <v>0.08</v>
      </c>
    </row>
    <row r="947" spans="1:8" x14ac:dyDescent="0.25">
      <c r="A947">
        <v>200003884</v>
      </c>
      <c r="B947" t="s">
        <v>749</v>
      </c>
      <c r="C947" s="2">
        <v>44896</v>
      </c>
      <c r="D947" t="s">
        <v>1509</v>
      </c>
      <c r="E947">
        <v>145.74</v>
      </c>
      <c r="F947">
        <v>0</v>
      </c>
      <c r="G947">
        <v>4</v>
      </c>
      <c r="H947">
        <v>0.01</v>
      </c>
    </row>
    <row r="948" spans="1:8" x14ac:dyDescent="0.25">
      <c r="A948">
        <v>200002698</v>
      </c>
      <c r="B948" t="s">
        <v>750</v>
      </c>
      <c r="C948" s="2">
        <v>44896</v>
      </c>
      <c r="D948" t="s">
        <v>1509</v>
      </c>
      <c r="E948">
        <v>147</v>
      </c>
      <c r="F948">
        <v>0</v>
      </c>
      <c r="G948">
        <v>26</v>
      </c>
      <c r="H948">
        <v>7.0000000000000007E-2</v>
      </c>
    </row>
    <row r="949" spans="1:8" x14ac:dyDescent="0.25">
      <c r="A949">
        <v>200004167</v>
      </c>
      <c r="B949" t="s">
        <v>751</v>
      </c>
      <c r="C949" s="2">
        <v>44896</v>
      </c>
      <c r="D949" t="s">
        <v>1509</v>
      </c>
      <c r="E949">
        <v>175</v>
      </c>
      <c r="F949">
        <v>0</v>
      </c>
      <c r="G949">
        <v>10</v>
      </c>
      <c r="H949">
        <v>0.02</v>
      </c>
    </row>
    <row r="950" spans="1:8" x14ac:dyDescent="0.25">
      <c r="A950">
        <v>200002215</v>
      </c>
      <c r="B950" t="s">
        <v>754</v>
      </c>
      <c r="C950" s="2">
        <v>45205</v>
      </c>
      <c r="D950" t="s">
        <v>1229</v>
      </c>
      <c r="E950">
        <v>24.2</v>
      </c>
      <c r="F950">
        <v>28</v>
      </c>
      <c r="G950">
        <v>43</v>
      </c>
      <c r="H950">
        <v>0.11</v>
      </c>
    </row>
    <row r="951" spans="1:8" x14ac:dyDescent="0.25">
      <c r="A951">
        <v>200000556</v>
      </c>
      <c r="B951" t="s">
        <v>2127</v>
      </c>
      <c r="C951" s="2">
        <v>45266</v>
      </c>
      <c r="D951" t="s">
        <v>1196</v>
      </c>
      <c r="E951">
        <v>28.9</v>
      </c>
      <c r="F951">
        <v>19</v>
      </c>
      <c r="G951">
        <v>34</v>
      </c>
      <c r="H951">
        <v>0.09</v>
      </c>
    </row>
    <row r="952" spans="1:8" x14ac:dyDescent="0.25">
      <c r="A952">
        <v>200006040</v>
      </c>
      <c r="B952" t="s">
        <v>755</v>
      </c>
      <c r="C952" s="2">
        <v>45268</v>
      </c>
      <c r="D952" t="s">
        <v>1813</v>
      </c>
      <c r="E952">
        <v>145</v>
      </c>
      <c r="F952">
        <v>0</v>
      </c>
      <c r="G952">
        <v>186</v>
      </c>
      <c r="H952">
        <v>0.5</v>
      </c>
    </row>
    <row r="953" spans="1:8" x14ac:dyDescent="0.25">
      <c r="A953">
        <v>200003710</v>
      </c>
      <c r="B953" t="s">
        <v>756</v>
      </c>
      <c r="C953" s="2">
        <v>44981</v>
      </c>
      <c r="D953" t="s">
        <v>1813</v>
      </c>
      <c r="E953">
        <v>127</v>
      </c>
      <c r="F953">
        <v>0</v>
      </c>
      <c r="G953">
        <v>47</v>
      </c>
      <c r="H953">
        <v>0.12</v>
      </c>
    </row>
    <row r="954" spans="1:8" x14ac:dyDescent="0.25">
      <c r="A954">
        <v>200003310</v>
      </c>
      <c r="B954" t="s">
        <v>758</v>
      </c>
      <c r="C954" s="2">
        <v>44981</v>
      </c>
      <c r="D954" t="s">
        <v>1813</v>
      </c>
      <c r="E954">
        <v>127</v>
      </c>
      <c r="F954">
        <v>0</v>
      </c>
      <c r="G954">
        <v>216</v>
      </c>
      <c r="H954">
        <v>0.59</v>
      </c>
    </row>
    <row r="955" spans="1:8" x14ac:dyDescent="0.25">
      <c r="A955">
        <v>200004125</v>
      </c>
      <c r="B955" t="s">
        <v>760</v>
      </c>
      <c r="C955" s="2">
        <v>44981</v>
      </c>
      <c r="D955" t="s">
        <v>1813</v>
      </c>
      <c r="E955">
        <v>145</v>
      </c>
      <c r="F955">
        <v>0</v>
      </c>
      <c r="G955">
        <v>27</v>
      </c>
      <c r="H955">
        <v>7.0000000000000007E-2</v>
      </c>
    </row>
    <row r="956" spans="1:8" x14ac:dyDescent="0.25">
      <c r="A956">
        <v>200004620</v>
      </c>
      <c r="B956" t="s">
        <v>761</v>
      </c>
      <c r="C956" s="2">
        <v>44981</v>
      </c>
      <c r="D956" t="s">
        <v>1813</v>
      </c>
      <c r="E956">
        <v>145</v>
      </c>
      <c r="F956">
        <v>0</v>
      </c>
      <c r="G956">
        <v>505</v>
      </c>
      <c r="H956">
        <v>1.38</v>
      </c>
    </row>
    <row r="957" spans="1:8" x14ac:dyDescent="0.25">
      <c r="A957">
        <v>200000557</v>
      </c>
      <c r="B957" t="s">
        <v>2128</v>
      </c>
      <c r="C957" s="2">
        <v>42510</v>
      </c>
      <c r="D957" t="s">
        <v>1883</v>
      </c>
      <c r="E957">
        <v>16.57</v>
      </c>
      <c r="F957">
        <v>42</v>
      </c>
      <c r="G957">
        <v>2</v>
      </c>
      <c r="H957">
        <v>0</v>
      </c>
    </row>
    <row r="958" spans="1:8" x14ac:dyDescent="0.25">
      <c r="A958">
        <v>200001822</v>
      </c>
      <c r="B958" t="s">
        <v>2129</v>
      </c>
      <c r="C958" s="2">
        <v>44453</v>
      </c>
      <c r="D958" t="s">
        <v>1196</v>
      </c>
      <c r="E958">
        <v>76.489999999999995</v>
      </c>
      <c r="F958">
        <v>36</v>
      </c>
      <c r="G958">
        <v>26</v>
      </c>
      <c r="H958">
        <v>7.0000000000000007E-2</v>
      </c>
    </row>
    <row r="959" spans="1:8" x14ac:dyDescent="0.25">
      <c r="A959">
        <v>200003407</v>
      </c>
      <c r="B959" t="s">
        <v>763</v>
      </c>
      <c r="C959" s="2">
        <v>44952</v>
      </c>
      <c r="D959" t="s">
        <v>1509</v>
      </c>
      <c r="E959">
        <v>50</v>
      </c>
      <c r="F959">
        <v>238</v>
      </c>
      <c r="G959">
        <v>8</v>
      </c>
      <c r="H959">
        <v>0.02</v>
      </c>
    </row>
    <row r="960" spans="1:8" x14ac:dyDescent="0.25">
      <c r="A960">
        <v>200003408</v>
      </c>
      <c r="B960" t="s">
        <v>764</v>
      </c>
      <c r="C960" s="2">
        <v>42471</v>
      </c>
      <c r="D960" t="s">
        <v>1556</v>
      </c>
      <c r="E960">
        <v>1</v>
      </c>
      <c r="F960">
        <v>3048</v>
      </c>
      <c r="G960">
        <v>2300</v>
      </c>
      <c r="H960">
        <v>6.3</v>
      </c>
    </row>
    <row r="961" spans="1:8" x14ac:dyDescent="0.25">
      <c r="A961">
        <v>200006082</v>
      </c>
      <c r="B961" t="s">
        <v>765</v>
      </c>
      <c r="C961" s="2">
        <v>44727</v>
      </c>
      <c r="D961" t="s">
        <v>1199</v>
      </c>
      <c r="E961">
        <v>315.8</v>
      </c>
      <c r="F961">
        <v>0</v>
      </c>
      <c r="G961">
        <v>3</v>
      </c>
      <c r="H961">
        <v>0</v>
      </c>
    </row>
    <row r="962" spans="1:8" x14ac:dyDescent="0.25">
      <c r="A962">
        <v>200003409</v>
      </c>
      <c r="B962" t="s">
        <v>766</v>
      </c>
      <c r="C962" s="2">
        <v>42471</v>
      </c>
      <c r="D962" t="s">
        <v>1556</v>
      </c>
      <c r="E962">
        <v>1</v>
      </c>
      <c r="F962">
        <v>7746</v>
      </c>
      <c r="G962">
        <v>100</v>
      </c>
      <c r="H962">
        <v>0.27</v>
      </c>
    </row>
    <row r="963" spans="1:8" x14ac:dyDescent="0.25">
      <c r="A963">
        <v>200003411</v>
      </c>
      <c r="B963" t="s">
        <v>769</v>
      </c>
      <c r="C963" s="2">
        <v>42471</v>
      </c>
      <c r="D963" t="s">
        <v>1556</v>
      </c>
      <c r="E963">
        <v>1.2</v>
      </c>
      <c r="F963">
        <v>1095</v>
      </c>
      <c r="G963">
        <v>200</v>
      </c>
      <c r="H963">
        <v>0.54</v>
      </c>
    </row>
    <row r="964" spans="1:8" x14ac:dyDescent="0.25">
      <c r="A964">
        <v>200002158</v>
      </c>
      <c r="B964" t="s">
        <v>772</v>
      </c>
      <c r="C964" s="2">
        <v>44098</v>
      </c>
      <c r="D964" t="s">
        <v>1199</v>
      </c>
      <c r="E964">
        <v>21.9</v>
      </c>
      <c r="F964">
        <v>0</v>
      </c>
      <c r="G964">
        <v>8</v>
      </c>
      <c r="H964">
        <v>0.02</v>
      </c>
    </row>
    <row r="965" spans="1:8" x14ac:dyDescent="0.25">
      <c r="A965">
        <v>200005357</v>
      </c>
      <c r="B965" t="s">
        <v>2130</v>
      </c>
      <c r="C965" s="2">
        <v>44098</v>
      </c>
      <c r="D965" t="s">
        <v>1199</v>
      </c>
      <c r="E965">
        <v>17.149999999999999</v>
      </c>
      <c r="F965">
        <v>0</v>
      </c>
      <c r="G965">
        <v>4</v>
      </c>
      <c r="H965">
        <v>0.01</v>
      </c>
    </row>
    <row r="966" spans="1:8" x14ac:dyDescent="0.25">
      <c r="A966">
        <v>200002161</v>
      </c>
      <c r="B966" t="s">
        <v>774</v>
      </c>
      <c r="C966" s="2">
        <v>44727</v>
      </c>
      <c r="D966" t="s">
        <v>1199</v>
      </c>
      <c r="E966">
        <v>200</v>
      </c>
      <c r="F966">
        <v>18</v>
      </c>
      <c r="G966">
        <v>2</v>
      </c>
      <c r="H966">
        <v>0</v>
      </c>
    </row>
    <row r="967" spans="1:8" x14ac:dyDescent="0.25">
      <c r="A967">
        <v>200000564</v>
      </c>
      <c r="B967" t="s">
        <v>776</v>
      </c>
      <c r="C967" s="2">
        <v>44033</v>
      </c>
      <c r="D967" t="s">
        <v>1163</v>
      </c>
      <c r="E967">
        <v>16.37</v>
      </c>
      <c r="F967">
        <v>20</v>
      </c>
      <c r="G967">
        <v>1</v>
      </c>
      <c r="H967">
        <v>0</v>
      </c>
    </row>
    <row r="968" spans="1:8" x14ac:dyDescent="0.25">
      <c r="A968">
        <v>200001070</v>
      </c>
      <c r="B968" t="s">
        <v>777</v>
      </c>
      <c r="C968" s="2">
        <v>44686</v>
      </c>
      <c r="D968" t="s">
        <v>1199</v>
      </c>
      <c r="E968">
        <v>36.299999999999997</v>
      </c>
      <c r="F968">
        <v>33</v>
      </c>
      <c r="G968">
        <v>9</v>
      </c>
      <c r="H968">
        <v>0.02</v>
      </c>
    </row>
    <row r="969" spans="1:8" x14ac:dyDescent="0.25">
      <c r="A969">
        <v>200001071</v>
      </c>
      <c r="B969" t="s">
        <v>778</v>
      </c>
      <c r="C969" s="2">
        <v>44033</v>
      </c>
      <c r="D969" t="s">
        <v>1163</v>
      </c>
      <c r="E969">
        <v>16.37</v>
      </c>
      <c r="F969">
        <v>0</v>
      </c>
      <c r="G969">
        <v>6</v>
      </c>
      <c r="H969">
        <v>0.01</v>
      </c>
    </row>
    <row r="970" spans="1:8" x14ac:dyDescent="0.25">
      <c r="A970">
        <v>200001072</v>
      </c>
      <c r="B970" t="s">
        <v>2131</v>
      </c>
      <c r="C970" s="2">
        <v>44098</v>
      </c>
      <c r="D970" t="s">
        <v>1199</v>
      </c>
      <c r="E970">
        <v>14.9</v>
      </c>
      <c r="F970">
        <v>0</v>
      </c>
      <c r="G970">
        <v>2</v>
      </c>
      <c r="H970">
        <v>0</v>
      </c>
    </row>
    <row r="971" spans="1:8" x14ac:dyDescent="0.25">
      <c r="A971">
        <v>200001073</v>
      </c>
      <c r="B971" t="s">
        <v>780</v>
      </c>
      <c r="C971" s="2">
        <v>44952</v>
      </c>
      <c r="D971" t="s">
        <v>1509</v>
      </c>
      <c r="E971">
        <v>30</v>
      </c>
      <c r="F971">
        <v>27</v>
      </c>
      <c r="G971">
        <v>1</v>
      </c>
      <c r="H971">
        <v>0</v>
      </c>
    </row>
    <row r="972" spans="1:8" x14ac:dyDescent="0.25">
      <c r="A972">
        <v>200001076</v>
      </c>
      <c r="B972" t="s">
        <v>782</v>
      </c>
      <c r="C972" s="2">
        <v>44952</v>
      </c>
      <c r="D972" t="s">
        <v>1509</v>
      </c>
      <c r="E972">
        <v>20</v>
      </c>
      <c r="F972">
        <v>2</v>
      </c>
      <c r="G972">
        <v>7</v>
      </c>
      <c r="H972">
        <v>0.01</v>
      </c>
    </row>
    <row r="973" spans="1:8" x14ac:dyDescent="0.25">
      <c r="A973">
        <v>200000565</v>
      </c>
      <c r="B973" t="s">
        <v>1388</v>
      </c>
      <c r="C973" s="2">
        <v>45280</v>
      </c>
      <c r="D973" t="s">
        <v>1196</v>
      </c>
      <c r="E973">
        <v>18.899999999999999</v>
      </c>
      <c r="F973">
        <v>266</v>
      </c>
      <c r="G973">
        <v>635</v>
      </c>
      <c r="H973">
        <v>1.73</v>
      </c>
    </row>
    <row r="974" spans="1:8" x14ac:dyDescent="0.25">
      <c r="A974">
        <v>200006318</v>
      </c>
      <c r="B974" t="s">
        <v>784</v>
      </c>
      <c r="C974" s="2">
        <v>45083</v>
      </c>
      <c r="D974" t="s">
        <v>1477</v>
      </c>
      <c r="E974">
        <v>45.65</v>
      </c>
      <c r="F974">
        <v>0</v>
      </c>
      <c r="G974">
        <v>10</v>
      </c>
      <c r="H974">
        <v>0.02</v>
      </c>
    </row>
    <row r="975" spans="1:8" x14ac:dyDescent="0.25">
      <c r="A975">
        <v>200002349</v>
      </c>
      <c r="B975" t="s">
        <v>786</v>
      </c>
      <c r="C975" s="2">
        <v>43867</v>
      </c>
      <c r="D975" t="s">
        <v>1630</v>
      </c>
      <c r="E975">
        <v>2.08</v>
      </c>
      <c r="F975">
        <v>3</v>
      </c>
      <c r="G975">
        <v>4</v>
      </c>
      <c r="H975">
        <v>0.01</v>
      </c>
    </row>
    <row r="976" spans="1:8" x14ac:dyDescent="0.25">
      <c r="A976">
        <v>200005775</v>
      </c>
      <c r="B976" t="s">
        <v>2132</v>
      </c>
      <c r="C976" s="2">
        <v>45279</v>
      </c>
      <c r="D976" t="s">
        <v>2133</v>
      </c>
      <c r="E976">
        <v>1000</v>
      </c>
      <c r="F976">
        <v>0</v>
      </c>
      <c r="G976">
        <v>2</v>
      </c>
      <c r="H976">
        <v>0</v>
      </c>
    </row>
    <row r="977" spans="1:8" x14ac:dyDescent="0.25">
      <c r="A977">
        <v>200006334</v>
      </c>
      <c r="B977" t="s">
        <v>2134</v>
      </c>
      <c r="C977" s="2">
        <v>45125</v>
      </c>
      <c r="D977" t="s">
        <v>2135</v>
      </c>
      <c r="E977">
        <v>880.72</v>
      </c>
      <c r="F977">
        <v>0</v>
      </c>
      <c r="G977">
        <v>7</v>
      </c>
      <c r="H977">
        <v>0.01</v>
      </c>
    </row>
    <row r="978" spans="1:8" x14ac:dyDescent="0.25">
      <c r="A978">
        <v>200006336</v>
      </c>
      <c r="B978" t="s">
        <v>2136</v>
      </c>
      <c r="C978" s="2">
        <v>45125</v>
      </c>
      <c r="D978" t="s">
        <v>2135</v>
      </c>
      <c r="E978">
        <v>669.51</v>
      </c>
      <c r="F978">
        <v>0</v>
      </c>
      <c r="G978">
        <v>4</v>
      </c>
      <c r="H978">
        <v>0.01</v>
      </c>
    </row>
    <row r="979" spans="1:8" x14ac:dyDescent="0.25">
      <c r="A979">
        <v>200006335</v>
      </c>
      <c r="B979" t="s">
        <v>2137</v>
      </c>
      <c r="C979" s="2">
        <v>45125</v>
      </c>
      <c r="D979" t="s">
        <v>2135</v>
      </c>
      <c r="E979">
        <v>807.94</v>
      </c>
      <c r="F979">
        <v>0</v>
      </c>
      <c r="G979">
        <v>7</v>
      </c>
      <c r="H979">
        <v>0.01</v>
      </c>
    </row>
    <row r="980" spans="1:8" x14ac:dyDescent="0.25">
      <c r="A980">
        <v>200000566</v>
      </c>
      <c r="B980" t="s">
        <v>1389</v>
      </c>
      <c r="C980" s="2">
        <v>45275</v>
      </c>
      <c r="D980" t="s">
        <v>1247</v>
      </c>
      <c r="E980">
        <v>119</v>
      </c>
      <c r="F980">
        <v>15</v>
      </c>
      <c r="G980">
        <v>29</v>
      </c>
      <c r="H980">
        <v>7.0000000000000007E-2</v>
      </c>
    </row>
    <row r="981" spans="1:8" x14ac:dyDescent="0.25">
      <c r="A981">
        <v>200003205</v>
      </c>
      <c r="B981" t="s">
        <v>1390</v>
      </c>
      <c r="C981" s="2">
        <v>44571</v>
      </c>
      <c r="D981" t="s">
        <v>1205</v>
      </c>
      <c r="E981">
        <v>120</v>
      </c>
      <c r="F981">
        <v>0</v>
      </c>
      <c r="G981">
        <v>2</v>
      </c>
      <c r="H981">
        <v>0</v>
      </c>
    </row>
    <row r="982" spans="1:8" x14ac:dyDescent="0.25">
      <c r="A982">
        <v>200003207</v>
      </c>
      <c r="B982" t="s">
        <v>1391</v>
      </c>
      <c r="C982" s="2">
        <v>44571</v>
      </c>
      <c r="D982" t="s">
        <v>1205</v>
      </c>
      <c r="E982">
        <v>350</v>
      </c>
      <c r="F982">
        <v>0</v>
      </c>
      <c r="G982">
        <v>5</v>
      </c>
      <c r="H982">
        <v>0.01</v>
      </c>
    </row>
    <row r="983" spans="1:8" x14ac:dyDescent="0.25">
      <c r="A983">
        <v>200001035</v>
      </c>
      <c r="B983" t="s">
        <v>793</v>
      </c>
      <c r="C983" s="2">
        <v>44075</v>
      </c>
      <c r="D983" t="s">
        <v>1442</v>
      </c>
      <c r="E983">
        <v>4.8</v>
      </c>
      <c r="F983">
        <v>15</v>
      </c>
      <c r="G983">
        <v>2</v>
      </c>
      <c r="H983">
        <v>0</v>
      </c>
    </row>
    <row r="984" spans="1:8" x14ac:dyDescent="0.25">
      <c r="A984">
        <v>200002203</v>
      </c>
      <c r="B984" t="s">
        <v>2138</v>
      </c>
      <c r="C984" s="2">
        <v>44579</v>
      </c>
      <c r="D984" t="s">
        <v>1207</v>
      </c>
      <c r="E984">
        <v>103</v>
      </c>
      <c r="F984">
        <v>64</v>
      </c>
      <c r="G984">
        <v>2</v>
      </c>
      <c r="H984">
        <v>0</v>
      </c>
    </row>
    <row r="985" spans="1:8" x14ac:dyDescent="0.25">
      <c r="A985">
        <v>200002204</v>
      </c>
      <c r="B985" t="s">
        <v>2139</v>
      </c>
      <c r="C985" s="2">
        <v>44382</v>
      </c>
      <c r="D985" t="s">
        <v>1207</v>
      </c>
      <c r="E985">
        <v>79</v>
      </c>
      <c r="F985">
        <v>35</v>
      </c>
      <c r="G985">
        <v>9</v>
      </c>
      <c r="H985">
        <v>0.02</v>
      </c>
    </row>
    <row r="986" spans="1:8" x14ac:dyDescent="0.25">
      <c r="A986">
        <v>200003810</v>
      </c>
      <c r="B986" t="s">
        <v>2140</v>
      </c>
      <c r="C986" s="2">
        <v>43446</v>
      </c>
      <c r="D986" t="s">
        <v>2141</v>
      </c>
      <c r="E986">
        <v>16.8</v>
      </c>
      <c r="F986">
        <v>62</v>
      </c>
      <c r="G986">
        <v>2</v>
      </c>
      <c r="H986">
        <v>0</v>
      </c>
    </row>
    <row r="987" spans="1:8" x14ac:dyDescent="0.25">
      <c r="A987">
        <v>200003250</v>
      </c>
      <c r="B987" t="s">
        <v>1392</v>
      </c>
      <c r="C987" s="2">
        <v>44858</v>
      </c>
      <c r="D987" t="s">
        <v>1344</v>
      </c>
      <c r="E987">
        <v>60.75</v>
      </c>
      <c r="F987">
        <v>31</v>
      </c>
      <c r="G987">
        <v>149</v>
      </c>
      <c r="H987">
        <v>0.4</v>
      </c>
    </row>
    <row r="988" spans="1:8" x14ac:dyDescent="0.25">
      <c r="A988">
        <v>200003251</v>
      </c>
      <c r="B988" t="s">
        <v>2142</v>
      </c>
      <c r="C988" s="2">
        <v>44858</v>
      </c>
      <c r="D988" t="s">
        <v>1344</v>
      </c>
      <c r="E988">
        <v>60.75</v>
      </c>
      <c r="F988">
        <v>160</v>
      </c>
      <c r="G988">
        <v>42</v>
      </c>
      <c r="H988">
        <v>0.11</v>
      </c>
    </row>
    <row r="989" spans="1:8" x14ac:dyDescent="0.25">
      <c r="A989">
        <v>200001905</v>
      </c>
      <c r="B989" t="s">
        <v>1393</v>
      </c>
      <c r="C989" s="2">
        <v>44691</v>
      </c>
      <c r="D989" t="s">
        <v>1207</v>
      </c>
      <c r="E989">
        <v>23</v>
      </c>
      <c r="F989">
        <v>160</v>
      </c>
      <c r="G989">
        <v>122</v>
      </c>
      <c r="H989">
        <v>0.33</v>
      </c>
    </row>
    <row r="990" spans="1:8" x14ac:dyDescent="0.25">
      <c r="A990">
        <v>200001906</v>
      </c>
      <c r="B990" t="s">
        <v>1394</v>
      </c>
      <c r="C990" s="2">
        <v>44691</v>
      </c>
      <c r="D990" t="s">
        <v>1207</v>
      </c>
      <c r="E990">
        <v>23.5</v>
      </c>
      <c r="F990">
        <v>238</v>
      </c>
      <c r="G990">
        <v>130</v>
      </c>
      <c r="H990">
        <v>0.35</v>
      </c>
    </row>
    <row r="991" spans="1:8" x14ac:dyDescent="0.25">
      <c r="A991">
        <v>200001079</v>
      </c>
      <c r="B991" t="s">
        <v>795</v>
      </c>
      <c r="C991" s="2">
        <v>44083</v>
      </c>
      <c r="D991" t="s">
        <v>1163</v>
      </c>
      <c r="E991">
        <v>0.15</v>
      </c>
      <c r="F991">
        <v>0</v>
      </c>
      <c r="G991">
        <v>33</v>
      </c>
      <c r="H991">
        <v>0.09</v>
      </c>
    </row>
    <row r="992" spans="1:8" x14ac:dyDescent="0.25">
      <c r="A992">
        <v>200002163</v>
      </c>
      <c r="B992" t="s">
        <v>1395</v>
      </c>
      <c r="C992" s="2">
        <v>44693</v>
      </c>
      <c r="D992" t="s">
        <v>1396</v>
      </c>
      <c r="E992">
        <v>0.1</v>
      </c>
      <c r="F992">
        <v>3000</v>
      </c>
      <c r="G992">
        <v>1350</v>
      </c>
      <c r="H992">
        <v>3.69</v>
      </c>
    </row>
    <row r="993" spans="1:8" x14ac:dyDescent="0.25">
      <c r="A993">
        <v>200002165</v>
      </c>
      <c r="B993" t="s">
        <v>796</v>
      </c>
      <c r="C993" s="2">
        <v>43852</v>
      </c>
      <c r="D993" t="s">
        <v>1163</v>
      </c>
      <c r="E993">
        <v>0.1</v>
      </c>
      <c r="F993">
        <v>70</v>
      </c>
      <c r="G993">
        <v>602</v>
      </c>
      <c r="H993">
        <v>1.64</v>
      </c>
    </row>
    <row r="994" spans="1:8" x14ac:dyDescent="0.25">
      <c r="A994">
        <v>200005826</v>
      </c>
      <c r="B994" t="s">
        <v>797</v>
      </c>
      <c r="C994" s="2">
        <v>44952</v>
      </c>
      <c r="D994" t="s">
        <v>1509</v>
      </c>
      <c r="E994">
        <v>10</v>
      </c>
      <c r="F994">
        <v>35</v>
      </c>
      <c r="G994">
        <v>22</v>
      </c>
      <c r="H994">
        <v>0.06</v>
      </c>
    </row>
    <row r="995" spans="1:8" x14ac:dyDescent="0.25">
      <c r="A995">
        <v>200002164</v>
      </c>
      <c r="B995" t="s">
        <v>798</v>
      </c>
      <c r="C995" s="2">
        <v>44042</v>
      </c>
      <c r="D995" t="s">
        <v>1163</v>
      </c>
      <c r="E995">
        <v>0.14000000000000001</v>
      </c>
      <c r="F995">
        <v>1535</v>
      </c>
      <c r="G995">
        <v>200</v>
      </c>
      <c r="H995">
        <v>0.54</v>
      </c>
    </row>
    <row r="996" spans="1:8" x14ac:dyDescent="0.25">
      <c r="A996">
        <v>200005325</v>
      </c>
      <c r="B996" t="s">
        <v>801</v>
      </c>
      <c r="C996" s="2">
        <v>44083</v>
      </c>
      <c r="D996" t="s">
        <v>1163</v>
      </c>
      <c r="E996">
        <v>0.12</v>
      </c>
      <c r="F996">
        <v>122</v>
      </c>
      <c r="G996">
        <v>1150</v>
      </c>
      <c r="H996">
        <v>3.15</v>
      </c>
    </row>
    <row r="997" spans="1:8" x14ac:dyDescent="0.25">
      <c r="A997">
        <v>200005984</v>
      </c>
      <c r="B997" t="s">
        <v>802</v>
      </c>
      <c r="C997" s="2">
        <v>44952</v>
      </c>
      <c r="D997" t="s">
        <v>1509</v>
      </c>
      <c r="E997">
        <v>140</v>
      </c>
      <c r="F997">
        <v>310</v>
      </c>
      <c r="G997">
        <v>7</v>
      </c>
      <c r="H997">
        <v>0.01</v>
      </c>
    </row>
    <row r="998" spans="1:8" x14ac:dyDescent="0.25">
      <c r="A998">
        <v>200005324</v>
      </c>
      <c r="B998" t="s">
        <v>803</v>
      </c>
      <c r="C998" s="2">
        <v>44083</v>
      </c>
      <c r="D998" t="s">
        <v>1163</v>
      </c>
      <c r="E998">
        <v>0.06</v>
      </c>
      <c r="F998">
        <v>0</v>
      </c>
      <c r="G998">
        <v>187</v>
      </c>
      <c r="H998">
        <v>0.51</v>
      </c>
    </row>
    <row r="999" spans="1:8" x14ac:dyDescent="0.25">
      <c r="A999">
        <v>200005825</v>
      </c>
      <c r="B999" t="s">
        <v>804</v>
      </c>
      <c r="C999" s="2">
        <v>44952</v>
      </c>
      <c r="D999" t="s">
        <v>1509</v>
      </c>
      <c r="E999">
        <v>10</v>
      </c>
      <c r="F999">
        <v>9</v>
      </c>
      <c r="G999">
        <v>14</v>
      </c>
      <c r="H999">
        <v>0.03</v>
      </c>
    </row>
    <row r="1000" spans="1:8" x14ac:dyDescent="0.25">
      <c r="A1000">
        <v>200005985</v>
      </c>
      <c r="B1000" t="s">
        <v>806</v>
      </c>
      <c r="C1000" s="2">
        <v>44952</v>
      </c>
      <c r="D1000" t="s">
        <v>1509</v>
      </c>
      <c r="E1000">
        <v>180</v>
      </c>
      <c r="F1000">
        <v>4</v>
      </c>
      <c r="G1000">
        <v>4</v>
      </c>
      <c r="H1000">
        <v>0.01</v>
      </c>
    </row>
    <row r="1001" spans="1:8" x14ac:dyDescent="0.25">
      <c r="A1001">
        <v>200005323</v>
      </c>
      <c r="B1001" t="s">
        <v>807</v>
      </c>
      <c r="C1001" s="2">
        <v>44083</v>
      </c>
      <c r="D1001" t="s">
        <v>1163</v>
      </c>
      <c r="E1001">
        <v>0.1</v>
      </c>
      <c r="F1001">
        <v>17</v>
      </c>
      <c r="G1001">
        <v>581</v>
      </c>
      <c r="H1001">
        <v>1.59</v>
      </c>
    </row>
    <row r="1002" spans="1:8" x14ac:dyDescent="0.25">
      <c r="A1002">
        <v>200005986</v>
      </c>
      <c r="B1002" t="s">
        <v>809</v>
      </c>
      <c r="C1002" s="2">
        <v>44686</v>
      </c>
      <c r="D1002" t="s">
        <v>1199</v>
      </c>
      <c r="E1002">
        <v>33</v>
      </c>
      <c r="F1002">
        <v>5</v>
      </c>
      <c r="G1002">
        <v>17</v>
      </c>
      <c r="H1002">
        <v>0.04</v>
      </c>
    </row>
    <row r="1003" spans="1:8" x14ac:dyDescent="0.25">
      <c r="A1003">
        <v>200005987</v>
      </c>
      <c r="B1003" t="s">
        <v>810</v>
      </c>
      <c r="C1003" s="2">
        <v>44952</v>
      </c>
      <c r="D1003" t="s">
        <v>1509</v>
      </c>
      <c r="E1003">
        <v>129</v>
      </c>
      <c r="F1003">
        <v>259</v>
      </c>
      <c r="G1003">
        <v>1</v>
      </c>
      <c r="H1003">
        <v>0</v>
      </c>
    </row>
    <row r="1004" spans="1:8" x14ac:dyDescent="0.25">
      <c r="A1004">
        <v>200002523</v>
      </c>
      <c r="B1004" t="s">
        <v>2143</v>
      </c>
      <c r="C1004" s="2">
        <v>42558</v>
      </c>
      <c r="D1004" t="s">
        <v>1505</v>
      </c>
      <c r="E1004">
        <v>106.4</v>
      </c>
      <c r="F1004">
        <v>0</v>
      </c>
      <c r="G1004">
        <v>4</v>
      </c>
      <c r="H1004">
        <v>0.01</v>
      </c>
    </row>
    <row r="1005" spans="1:8" x14ac:dyDescent="0.25">
      <c r="A1005">
        <v>200000583</v>
      </c>
      <c r="B1005" t="s">
        <v>2144</v>
      </c>
      <c r="C1005" s="2">
        <v>44908</v>
      </c>
      <c r="D1005" t="s">
        <v>1344</v>
      </c>
      <c r="E1005">
        <v>4.45</v>
      </c>
      <c r="F1005">
        <v>430</v>
      </c>
      <c r="G1005">
        <v>677</v>
      </c>
      <c r="H1005">
        <v>1.85</v>
      </c>
    </row>
    <row r="1006" spans="1:8" x14ac:dyDescent="0.25">
      <c r="A1006">
        <v>200004296</v>
      </c>
      <c r="B1006" t="s">
        <v>811</v>
      </c>
      <c r="C1006" s="2">
        <v>45202</v>
      </c>
      <c r="D1006" t="s">
        <v>1229</v>
      </c>
      <c r="E1006">
        <v>27.92</v>
      </c>
      <c r="F1006">
        <v>24</v>
      </c>
      <c r="G1006">
        <v>102</v>
      </c>
      <c r="H1006">
        <v>0.27</v>
      </c>
    </row>
    <row r="1007" spans="1:8" x14ac:dyDescent="0.25">
      <c r="A1007">
        <v>200002005</v>
      </c>
      <c r="B1007" t="s">
        <v>812</v>
      </c>
      <c r="C1007" s="2">
        <v>41975</v>
      </c>
      <c r="D1007" t="s">
        <v>1556</v>
      </c>
      <c r="E1007">
        <v>4.4000000000000004</v>
      </c>
      <c r="F1007">
        <v>3</v>
      </c>
      <c r="G1007">
        <v>1</v>
      </c>
      <c r="H1007">
        <v>0</v>
      </c>
    </row>
    <row r="1008" spans="1:8" x14ac:dyDescent="0.25">
      <c r="A1008">
        <v>200002006</v>
      </c>
      <c r="B1008" t="s">
        <v>813</v>
      </c>
      <c r="C1008" s="2">
        <v>43867</v>
      </c>
      <c r="D1008" t="s">
        <v>1630</v>
      </c>
      <c r="E1008">
        <v>6.02</v>
      </c>
      <c r="F1008">
        <v>2</v>
      </c>
      <c r="G1008">
        <v>2</v>
      </c>
      <c r="H1008">
        <v>0</v>
      </c>
    </row>
    <row r="1009" spans="1:8" x14ac:dyDescent="0.25">
      <c r="A1009">
        <v>200002380</v>
      </c>
      <c r="B1009" t="s">
        <v>2145</v>
      </c>
      <c r="C1009" s="2">
        <v>45253</v>
      </c>
      <c r="D1009" t="s">
        <v>1545</v>
      </c>
      <c r="E1009">
        <v>8.1300000000000008</v>
      </c>
      <c r="F1009">
        <v>0</v>
      </c>
      <c r="G1009">
        <v>15</v>
      </c>
      <c r="H1009">
        <v>0.04</v>
      </c>
    </row>
    <row r="1010" spans="1:8" x14ac:dyDescent="0.25">
      <c r="A1010">
        <v>200003118</v>
      </c>
      <c r="B1010" t="s">
        <v>2146</v>
      </c>
      <c r="C1010" s="2">
        <v>44147</v>
      </c>
      <c r="D1010" t="s">
        <v>2147</v>
      </c>
      <c r="E1010">
        <v>39.26</v>
      </c>
      <c r="F1010">
        <v>31</v>
      </c>
      <c r="G1010">
        <v>8</v>
      </c>
      <c r="H1010">
        <v>0.02</v>
      </c>
    </row>
    <row r="1011" spans="1:8" x14ac:dyDescent="0.25">
      <c r="A1011">
        <v>200002206</v>
      </c>
      <c r="B1011" t="s">
        <v>2148</v>
      </c>
      <c r="C1011" s="2">
        <v>44579</v>
      </c>
      <c r="D1011" t="s">
        <v>1207</v>
      </c>
      <c r="E1011">
        <v>95</v>
      </c>
      <c r="F1011">
        <v>11</v>
      </c>
      <c r="G1011">
        <v>8</v>
      </c>
      <c r="H1011">
        <v>0.02</v>
      </c>
    </row>
    <row r="1012" spans="1:8" x14ac:dyDescent="0.25">
      <c r="A1012">
        <v>200005340</v>
      </c>
      <c r="B1012" t="s">
        <v>2149</v>
      </c>
      <c r="C1012" s="2">
        <v>44078</v>
      </c>
      <c r="D1012" t="s">
        <v>1351</v>
      </c>
      <c r="E1012">
        <v>374.95</v>
      </c>
      <c r="F1012">
        <v>0</v>
      </c>
      <c r="G1012">
        <v>3</v>
      </c>
      <c r="H1012">
        <v>0</v>
      </c>
    </row>
    <row r="1013" spans="1:8" x14ac:dyDescent="0.25">
      <c r="A1013">
        <v>200006173</v>
      </c>
      <c r="B1013" t="s">
        <v>2150</v>
      </c>
      <c r="C1013" s="2">
        <v>44908</v>
      </c>
      <c r="D1013" t="s">
        <v>1344</v>
      </c>
      <c r="E1013">
        <v>48.6</v>
      </c>
      <c r="F1013">
        <v>229</v>
      </c>
      <c r="G1013">
        <v>267</v>
      </c>
      <c r="H1013">
        <v>0.73</v>
      </c>
    </row>
    <row r="1014" spans="1:8" x14ac:dyDescent="0.25">
      <c r="A1014">
        <v>200000584</v>
      </c>
      <c r="B1014" t="s">
        <v>1397</v>
      </c>
      <c r="C1014" s="2">
        <v>45280</v>
      </c>
      <c r="D1014" t="s">
        <v>1196</v>
      </c>
      <c r="E1014">
        <v>13.9</v>
      </c>
      <c r="F1014">
        <v>137</v>
      </c>
      <c r="G1014">
        <v>199</v>
      </c>
      <c r="H1014">
        <v>0.54</v>
      </c>
    </row>
    <row r="1015" spans="1:8" x14ac:dyDescent="0.25">
      <c r="A1015">
        <v>200002011</v>
      </c>
      <c r="B1015" t="s">
        <v>816</v>
      </c>
      <c r="C1015" s="2">
        <v>43879</v>
      </c>
      <c r="D1015" t="s">
        <v>1355</v>
      </c>
      <c r="E1015">
        <v>40.44</v>
      </c>
      <c r="F1015">
        <v>1</v>
      </c>
      <c r="G1015">
        <v>2</v>
      </c>
      <c r="H1015">
        <v>0</v>
      </c>
    </row>
    <row r="1016" spans="1:8" x14ac:dyDescent="0.25">
      <c r="A1016">
        <v>200002008</v>
      </c>
      <c r="B1016" t="s">
        <v>817</v>
      </c>
      <c r="C1016" s="2">
        <v>44820</v>
      </c>
      <c r="D1016" t="s">
        <v>1229</v>
      </c>
      <c r="E1016">
        <v>65.48</v>
      </c>
      <c r="F1016">
        <v>28</v>
      </c>
      <c r="G1016">
        <v>2</v>
      </c>
      <c r="H1016">
        <v>0</v>
      </c>
    </row>
    <row r="1017" spans="1:8" x14ac:dyDescent="0.25">
      <c r="A1017">
        <v>200002009</v>
      </c>
      <c r="B1017" t="s">
        <v>818</v>
      </c>
      <c r="C1017" s="2">
        <v>43879</v>
      </c>
      <c r="D1017" t="s">
        <v>1355</v>
      </c>
      <c r="E1017">
        <v>54.78</v>
      </c>
      <c r="F1017">
        <v>0</v>
      </c>
      <c r="G1017">
        <v>3</v>
      </c>
      <c r="H1017">
        <v>0</v>
      </c>
    </row>
    <row r="1018" spans="1:8" x14ac:dyDescent="0.25">
      <c r="A1018">
        <v>200000591</v>
      </c>
      <c r="B1018" t="s">
        <v>2151</v>
      </c>
      <c r="C1018" s="2">
        <v>43854</v>
      </c>
      <c r="D1018" t="s">
        <v>1355</v>
      </c>
      <c r="E1018">
        <v>17.05</v>
      </c>
      <c r="F1018">
        <v>1</v>
      </c>
      <c r="G1018">
        <v>2</v>
      </c>
      <c r="H1018">
        <v>0</v>
      </c>
    </row>
    <row r="1019" spans="1:8" x14ac:dyDescent="0.25">
      <c r="A1019">
        <v>200000592</v>
      </c>
      <c r="B1019" t="s">
        <v>2152</v>
      </c>
      <c r="C1019" s="2">
        <v>43854</v>
      </c>
      <c r="D1019" t="s">
        <v>1355</v>
      </c>
      <c r="E1019">
        <v>21.84</v>
      </c>
      <c r="F1019">
        <v>0</v>
      </c>
      <c r="G1019">
        <v>4</v>
      </c>
      <c r="H1019">
        <v>0.01</v>
      </c>
    </row>
    <row r="1020" spans="1:8" x14ac:dyDescent="0.25">
      <c r="A1020">
        <v>200000588</v>
      </c>
      <c r="B1020" t="s">
        <v>825</v>
      </c>
      <c r="C1020" s="2">
        <v>44055</v>
      </c>
      <c r="D1020" t="s">
        <v>1338</v>
      </c>
      <c r="E1020">
        <v>15</v>
      </c>
      <c r="F1020">
        <v>8</v>
      </c>
      <c r="G1020">
        <v>5</v>
      </c>
      <c r="H1020">
        <v>0.01</v>
      </c>
    </row>
    <row r="1021" spans="1:8" x14ac:dyDescent="0.25">
      <c r="A1021">
        <v>200000589</v>
      </c>
      <c r="B1021" t="s">
        <v>826</v>
      </c>
      <c r="C1021" s="2">
        <v>44055</v>
      </c>
      <c r="D1021" t="s">
        <v>1338</v>
      </c>
      <c r="E1021">
        <v>10</v>
      </c>
      <c r="F1021">
        <v>0</v>
      </c>
      <c r="G1021">
        <v>2</v>
      </c>
      <c r="H1021">
        <v>0</v>
      </c>
    </row>
    <row r="1022" spans="1:8" x14ac:dyDescent="0.25">
      <c r="A1022">
        <v>200000590</v>
      </c>
      <c r="B1022" t="s">
        <v>827</v>
      </c>
      <c r="C1022" s="2">
        <v>43893</v>
      </c>
      <c r="D1022" t="s">
        <v>1338</v>
      </c>
      <c r="E1022">
        <v>25</v>
      </c>
      <c r="F1022">
        <v>3</v>
      </c>
      <c r="G1022">
        <v>3</v>
      </c>
      <c r="H1022">
        <v>0</v>
      </c>
    </row>
    <row r="1023" spans="1:8" x14ac:dyDescent="0.25">
      <c r="A1023">
        <v>200000594</v>
      </c>
      <c r="B1023" t="s">
        <v>2153</v>
      </c>
      <c r="C1023" s="2">
        <v>43854</v>
      </c>
      <c r="D1023" t="s">
        <v>1355</v>
      </c>
      <c r="E1023">
        <v>59</v>
      </c>
      <c r="F1023">
        <v>1</v>
      </c>
      <c r="G1023">
        <v>5</v>
      </c>
      <c r="H1023">
        <v>0.01</v>
      </c>
    </row>
    <row r="1024" spans="1:8" x14ac:dyDescent="0.25">
      <c r="A1024">
        <v>200005514</v>
      </c>
      <c r="B1024" t="s">
        <v>831</v>
      </c>
      <c r="C1024" s="2">
        <v>45049</v>
      </c>
      <c r="D1024" t="s">
        <v>1625</v>
      </c>
      <c r="E1024">
        <v>1.79</v>
      </c>
      <c r="F1024">
        <v>3566</v>
      </c>
      <c r="G1024">
        <v>100</v>
      </c>
      <c r="H1024">
        <v>0.27</v>
      </c>
    </row>
    <row r="1025" spans="1:8" x14ac:dyDescent="0.25">
      <c r="A1025">
        <v>200005471</v>
      </c>
      <c r="B1025" t="s">
        <v>833</v>
      </c>
      <c r="C1025" s="2">
        <v>45139</v>
      </c>
      <c r="D1025" t="s">
        <v>1457</v>
      </c>
      <c r="E1025">
        <v>14.95</v>
      </c>
      <c r="F1025">
        <v>8</v>
      </c>
      <c r="G1025">
        <v>9</v>
      </c>
      <c r="H1025">
        <v>0.02</v>
      </c>
    </row>
    <row r="1026" spans="1:8" x14ac:dyDescent="0.25">
      <c r="A1026">
        <v>200003965</v>
      </c>
      <c r="B1026" t="s">
        <v>834</v>
      </c>
      <c r="C1026" s="2">
        <v>44991</v>
      </c>
      <c r="D1026" t="s">
        <v>1478</v>
      </c>
      <c r="E1026">
        <v>8.02</v>
      </c>
      <c r="F1026">
        <v>6</v>
      </c>
      <c r="G1026">
        <v>102</v>
      </c>
      <c r="H1026">
        <v>0.27</v>
      </c>
    </row>
    <row r="1027" spans="1:8" x14ac:dyDescent="0.25">
      <c r="A1027">
        <v>200005736</v>
      </c>
      <c r="B1027" t="s">
        <v>2154</v>
      </c>
      <c r="C1027" s="2">
        <v>45034</v>
      </c>
      <c r="D1027" t="s">
        <v>1572</v>
      </c>
      <c r="E1027">
        <v>85.3</v>
      </c>
      <c r="F1027">
        <v>0</v>
      </c>
      <c r="G1027">
        <v>600</v>
      </c>
      <c r="H1027">
        <v>1.64</v>
      </c>
    </row>
    <row r="1028" spans="1:8" x14ac:dyDescent="0.25">
      <c r="A1028">
        <v>200002589</v>
      </c>
      <c r="B1028" t="s">
        <v>2155</v>
      </c>
      <c r="C1028" s="2">
        <v>44851</v>
      </c>
      <c r="D1028" t="s">
        <v>1180</v>
      </c>
      <c r="E1028">
        <v>89</v>
      </c>
      <c r="F1028">
        <v>59</v>
      </c>
      <c r="G1028">
        <v>4</v>
      </c>
      <c r="H1028">
        <v>0.01</v>
      </c>
    </row>
    <row r="1029" spans="1:8" x14ac:dyDescent="0.25">
      <c r="A1029">
        <v>200003099</v>
      </c>
      <c r="B1029" t="s">
        <v>2156</v>
      </c>
      <c r="C1029" s="2">
        <v>41736</v>
      </c>
      <c r="D1029" t="s">
        <v>1260</v>
      </c>
      <c r="E1029">
        <v>152</v>
      </c>
      <c r="F1029">
        <v>14</v>
      </c>
      <c r="G1029">
        <v>1</v>
      </c>
      <c r="H1029">
        <v>0</v>
      </c>
    </row>
    <row r="1030" spans="1:8" x14ac:dyDescent="0.25">
      <c r="A1030">
        <v>200002787</v>
      </c>
      <c r="B1030" t="s">
        <v>2157</v>
      </c>
      <c r="C1030" s="2">
        <v>41918</v>
      </c>
      <c r="D1030" t="s">
        <v>1260</v>
      </c>
      <c r="E1030">
        <v>101</v>
      </c>
      <c r="F1030">
        <v>1</v>
      </c>
      <c r="G1030">
        <v>1</v>
      </c>
      <c r="H1030">
        <v>0</v>
      </c>
    </row>
    <row r="1031" spans="1:8" x14ac:dyDescent="0.25">
      <c r="A1031">
        <v>200002788</v>
      </c>
      <c r="B1031" t="s">
        <v>2158</v>
      </c>
      <c r="C1031" s="2">
        <v>41918</v>
      </c>
      <c r="D1031" t="s">
        <v>1260</v>
      </c>
      <c r="E1031">
        <v>152</v>
      </c>
      <c r="F1031">
        <v>0</v>
      </c>
      <c r="G1031">
        <v>2</v>
      </c>
      <c r="H1031">
        <v>0</v>
      </c>
    </row>
    <row r="1032" spans="1:8" x14ac:dyDescent="0.25">
      <c r="A1032">
        <v>200002786</v>
      </c>
      <c r="B1032" t="s">
        <v>1399</v>
      </c>
      <c r="C1032" s="2">
        <v>41736</v>
      </c>
      <c r="D1032" t="s">
        <v>1260</v>
      </c>
      <c r="E1032">
        <v>87</v>
      </c>
      <c r="F1032">
        <v>23</v>
      </c>
      <c r="G1032">
        <v>6</v>
      </c>
      <c r="H1032">
        <v>0.01</v>
      </c>
    </row>
    <row r="1033" spans="1:8" x14ac:dyDescent="0.25">
      <c r="A1033">
        <v>200006058</v>
      </c>
      <c r="B1033" t="s">
        <v>2159</v>
      </c>
      <c r="C1033" s="2">
        <v>44902</v>
      </c>
      <c r="D1033" t="s">
        <v>1459</v>
      </c>
      <c r="E1033">
        <v>58.3</v>
      </c>
      <c r="F1033">
        <v>10</v>
      </c>
      <c r="G1033">
        <v>20</v>
      </c>
      <c r="H1033">
        <v>0.05</v>
      </c>
    </row>
    <row r="1034" spans="1:8" x14ac:dyDescent="0.25">
      <c r="A1034">
        <v>200003642</v>
      </c>
      <c r="B1034" t="s">
        <v>838</v>
      </c>
      <c r="C1034" s="2">
        <v>42635</v>
      </c>
      <c r="D1034" t="s">
        <v>1400</v>
      </c>
      <c r="E1034">
        <v>72.95</v>
      </c>
      <c r="F1034">
        <v>35</v>
      </c>
      <c r="G1034">
        <v>13</v>
      </c>
      <c r="H1034">
        <v>0.03</v>
      </c>
    </row>
    <row r="1035" spans="1:8" x14ac:dyDescent="0.25">
      <c r="A1035">
        <v>200002217</v>
      </c>
      <c r="B1035" t="s">
        <v>843</v>
      </c>
      <c r="C1035" s="2">
        <v>44907</v>
      </c>
      <c r="D1035" t="s">
        <v>1229</v>
      </c>
      <c r="E1035">
        <v>68.73</v>
      </c>
      <c r="F1035">
        <v>0</v>
      </c>
      <c r="G1035">
        <v>16</v>
      </c>
      <c r="H1035">
        <v>0.04</v>
      </c>
    </row>
    <row r="1036" spans="1:8" x14ac:dyDescent="0.25">
      <c r="A1036">
        <v>200003640</v>
      </c>
      <c r="B1036" t="s">
        <v>844</v>
      </c>
      <c r="C1036" s="2">
        <v>44907</v>
      </c>
      <c r="D1036" t="s">
        <v>1229</v>
      </c>
      <c r="E1036">
        <v>87.85</v>
      </c>
      <c r="F1036">
        <v>46</v>
      </c>
      <c r="G1036">
        <v>17</v>
      </c>
      <c r="H1036">
        <v>0.04</v>
      </c>
    </row>
    <row r="1037" spans="1:8" x14ac:dyDescent="0.25">
      <c r="A1037">
        <v>200003641</v>
      </c>
      <c r="B1037" t="s">
        <v>845</v>
      </c>
      <c r="C1037" s="2">
        <v>44907</v>
      </c>
      <c r="D1037" t="s">
        <v>1229</v>
      </c>
      <c r="E1037">
        <v>109.08</v>
      </c>
      <c r="F1037">
        <v>60</v>
      </c>
      <c r="G1037">
        <v>2</v>
      </c>
      <c r="H1037">
        <v>0</v>
      </c>
    </row>
    <row r="1038" spans="1:8" x14ac:dyDescent="0.25">
      <c r="A1038">
        <v>200000599</v>
      </c>
      <c r="B1038" t="s">
        <v>2160</v>
      </c>
      <c r="C1038" s="2">
        <v>44907</v>
      </c>
      <c r="D1038" t="s">
        <v>1229</v>
      </c>
      <c r="E1038">
        <v>49.47</v>
      </c>
      <c r="F1038">
        <v>53</v>
      </c>
      <c r="G1038">
        <v>6</v>
      </c>
      <c r="H1038">
        <v>0.01</v>
      </c>
    </row>
    <row r="1039" spans="1:8" x14ac:dyDescent="0.25">
      <c r="A1039">
        <v>200003562</v>
      </c>
      <c r="B1039" t="s">
        <v>2161</v>
      </c>
      <c r="C1039" s="2">
        <v>45267</v>
      </c>
      <c r="D1039" t="s">
        <v>2162</v>
      </c>
      <c r="E1039">
        <v>21.5</v>
      </c>
      <c r="F1039">
        <v>0</v>
      </c>
      <c r="G1039">
        <v>15000</v>
      </c>
      <c r="H1039">
        <v>41.09</v>
      </c>
    </row>
    <row r="1040" spans="1:8" x14ac:dyDescent="0.25">
      <c r="A1040">
        <v>200000602</v>
      </c>
      <c r="B1040" t="s">
        <v>1402</v>
      </c>
      <c r="C1040" s="2">
        <v>45274</v>
      </c>
      <c r="D1040" t="s">
        <v>1852</v>
      </c>
      <c r="E1040">
        <v>14.46</v>
      </c>
      <c r="F1040">
        <v>69</v>
      </c>
      <c r="G1040">
        <v>141</v>
      </c>
      <c r="H1040">
        <v>0.38</v>
      </c>
    </row>
    <row r="1041" spans="1:8" x14ac:dyDescent="0.25">
      <c r="A1041">
        <v>200003498</v>
      </c>
      <c r="B1041" t="s">
        <v>2163</v>
      </c>
      <c r="C1041" s="2">
        <v>43521</v>
      </c>
      <c r="D1041" t="s">
        <v>1481</v>
      </c>
      <c r="E1041">
        <v>74.930000000000007</v>
      </c>
      <c r="F1041">
        <v>0</v>
      </c>
      <c r="G1041">
        <v>21</v>
      </c>
      <c r="H1041">
        <v>0.05</v>
      </c>
    </row>
    <row r="1042" spans="1:8" x14ac:dyDescent="0.25">
      <c r="A1042">
        <v>200004596</v>
      </c>
      <c r="B1042" t="s">
        <v>2164</v>
      </c>
      <c r="C1042" s="2">
        <v>43521</v>
      </c>
      <c r="D1042" t="s">
        <v>1481</v>
      </c>
      <c r="E1042">
        <v>71.599999999999994</v>
      </c>
      <c r="F1042">
        <v>0</v>
      </c>
      <c r="G1042">
        <v>29</v>
      </c>
      <c r="H1042">
        <v>7.0000000000000007E-2</v>
      </c>
    </row>
    <row r="1043" spans="1:8" x14ac:dyDescent="0.25">
      <c r="A1043">
        <v>200005038</v>
      </c>
      <c r="B1043" t="s">
        <v>2165</v>
      </c>
      <c r="C1043" s="2">
        <v>44160</v>
      </c>
      <c r="D1043" t="s">
        <v>1199</v>
      </c>
      <c r="E1043">
        <v>18.489999999999998</v>
      </c>
      <c r="F1043">
        <v>0</v>
      </c>
      <c r="G1043">
        <v>50</v>
      </c>
      <c r="H1043">
        <v>0.13</v>
      </c>
    </row>
    <row r="1044" spans="1:8" x14ac:dyDescent="0.25">
      <c r="A1044">
        <v>200005488</v>
      </c>
      <c r="B1044" t="s">
        <v>2166</v>
      </c>
      <c r="C1044" s="2">
        <v>45153</v>
      </c>
      <c r="D1044" t="s">
        <v>1757</v>
      </c>
      <c r="E1044">
        <v>12.37</v>
      </c>
      <c r="F1044">
        <v>0</v>
      </c>
      <c r="G1044">
        <v>250</v>
      </c>
      <c r="H1044">
        <v>0.68</v>
      </c>
    </row>
    <row r="1045" spans="1:8" x14ac:dyDescent="0.25">
      <c r="A1045">
        <v>200005489</v>
      </c>
      <c r="B1045" t="s">
        <v>2167</v>
      </c>
      <c r="C1045" s="2">
        <v>45153</v>
      </c>
      <c r="D1045" t="s">
        <v>1757</v>
      </c>
      <c r="E1045">
        <v>15</v>
      </c>
      <c r="F1045">
        <v>300</v>
      </c>
      <c r="G1045">
        <v>500</v>
      </c>
      <c r="H1045">
        <v>1.36</v>
      </c>
    </row>
    <row r="1046" spans="1:8" x14ac:dyDescent="0.25">
      <c r="A1046">
        <v>200004523</v>
      </c>
      <c r="B1046" t="s">
        <v>2168</v>
      </c>
      <c r="C1046" s="2">
        <v>43214</v>
      </c>
      <c r="D1046" t="s">
        <v>1481</v>
      </c>
      <c r="E1046">
        <v>16.97</v>
      </c>
      <c r="F1046">
        <v>0</v>
      </c>
      <c r="G1046">
        <v>8</v>
      </c>
      <c r="H1046">
        <v>0.02</v>
      </c>
    </row>
    <row r="1047" spans="1:8" x14ac:dyDescent="0.25">
      <c r="A1047">
        <v>200004520</v>
      </c>
      <c r="B1047" t="s">
        <v>2169</v>
      </c>
      <c r="C1047" s="2">
        <v>43214</v>
      </c>
      <c r="D1047" t="s">
        <v>1481</v>
      </c>
      <c r="E1047">
        <v>14.99</v>
      </c>
      <c r="F1047">
        <v>0</v>
      </c>
      <c r="G1047">
        <v>8</v>
      </c>
      <c r="H1047">
        <v>0.02</v>
      </c>
    </row>
    <row r="1048" spans="1:8" x14ac:dyDescent="0.25">
      <c r="A1048">
        <v>200004521</v>
      </c>
      <c r="B1048" t="s">
        <v>2170</v>
      </c>
      <c r="C1048" s="2">
        <v>43214</v>
      </c>
      <c r="D1048" t="s">
        <v>1481</v>
      </c>
      <c r="E1048">
        <v>12.83</v>
      </c>
      <c r="F1048">
        <v>0</v>
      </c>
      <c r="G1048">
        <v>8</v>
      </c>
      <c r="H1048">
        <v>0.02</v>
      </c>
    </row>
    <row r="1049" spans="1:8" x14ac:dyDescent="0.25">
      <c r="A1049">
        <v>200004522</v>
      </c>
      <c r="B1049" t="s">
        <v>2171</v>
      </c>
      <c r="C1049" s="2">
        <v>43214</v>
      </c>
      <c r="D1049" t="s">
        <v>1481</v>
      </c>
      <c r="E1049">
        <v>14.3</v>
      </c>
      <c r="F1049">
        <v>0</v>
      </c>
      <c r="G1049">
        <v>8</v>
      </c>
      <c r="H1049">
        <v>0.02</v>
      </c>
    </row>
    <row r="1050" spans="1:8" x14ac:dyDescent="0.25">
      <c r="A1050">
        <v>200006330</v>
      </c>
      <c r="B1050" t="s">
        <v>854</v>
      </c>
      <c r="C1050" s="2">
        <v>45035</v>
      </c>
      <c r="D1050" t="s">
        <v>2172</v>
      </c>
      <c r="E1050">
        <v>17</v>
      </c>
      <c r="F1050">
        <v>6</v>
      </c>
      <c r="G1050">
        <v>22</v>
      </c>
      <c r="H1050">
        <v>0.06</v>
      </c>
    </row>
    <row r="1051" spans="1:8" x14ac:dyDescent="0.25">
      <c r="A1051">
        <v>200000604</v>
      </c>
      <c r="B1051" t="s">
        <v>855</v>
      </c>
      <c r="C1051" s="2">
        <v>45202</v>
      </c>
      <c r="D1051" t="s">
        <v>1229</v>
      </c>
      <c r="E1051">
        <v>23.51</v>
      </c>
      <c r="F1051">
        <v>37</v>
      </c>
      <c r="G1051">
        <v>43</v>
      </c>
      <c r="H1051">
        <v>0.11</v>
      </c>
    </row>
    <row r="1052" spans="1:8" x14ac:dyDescent="0.25">
      <c r="A1052">
        <v>200001599</v>
      </c>
      <c r="B1052" t="s">
        <v>856</v>
      </c>
      <c r="C1052" s="2">
        <v>45202</v>
      </c>
      <c r="D1052" t="s">
        <v>1229</v>
      </c>
      <c r="E1052">
        <v>10.9</v>
      </c>
      <c r="F1052">
        <v>214</v>
      </c>
      <c r="G1052">
        <v>395</v>
      </c>
      <c r="H1052">
        <v>1.08</v>
      </c>
    </row>
    <row r="1053" spans="1:8" x14ac:dyDescent="0.25">
      <c r="A1053">
        <v>200001843</v>
      </c>
      <c r="B1053" t="s">
        <v>2173</v>
      </c>
      <c r="C1053" s="2">
        <v>45266</v>
      </c>
      <c r="D1053" t="s">
        <v>1247</v>
      </c>
      <c r="E1053">
        <v>96.61</v>
      </c>
      <c r="F1053">
        <v>166</v>
      </c>
      <c r="G1053">
        <v>265</v>
      </c>
      <c r="H1053">
        <v>0.72</v>
      </c>
    </row>
    <row r="1054" spans="1:8" x14ac:dyDescent="0.25">
      <c r="A1054">
        <v>200001619</v>
      </c>
      <c r="B1054" t="s">
        <v>857</v>
      </c>
      <c r="C1054" s="2">
        <v>45068</v>
      </c>
      <c r="D1054" t="s">
        <v>1229</v>
      </c>
      <c r="E1054">
        <v>31.63</v>
      </c>
      <c r="F1054">
        <v>31</v>
      </c>
      <c r="G1054">
        <v>153</v>
      </c>
      <c r="H1054">
        <v>0.41</v>
      </c>
    </row>
    <row r="1055" spans="1:8" x14ac:dyDescent="0.25">
      <c r="A1055">
        <v>200003675</v>
      </c>
      <c r="B1055" t="s">
        <v>858</v>
      </c>
      <c r="C1055" s="2">
        <v>45202</v>
      </c>
      <c r="D1055" t="s">
        <v>1229</v>
      </c>
      <c r="E1055">
        <v>37.22</v>
      </c>
      <c r="F1055">
        <v>119</v>
      </c>
      <c r="G1055">
        <v>185</v>
      </c>
      <c r="H1055">
        <v>0.5</v>
      </c>
    </row>
    <row r="1056" spans="1:8" x14ac:dyDescent="0.25">
      <c r="A1056">
        <v>200001594</v>
      </c>
      <c r="B1056" t="s">
        <v>860</v>
      </c>
      <c r="C1056" s="2">
        <v>45202</v>
      </c>
      <c r="D1056" t="s">
        <v>1229</v>
      </c>
      <c r="E1056">
        <v>17.690000000000001</v>
      </c>
      <c r="F1056">
        <v>91</v>
      </c>
      <c r="G1056">
        <v>237</v>
      </c>
      <c r="H1056">
        <v>0.64</v>
      </c>
    </row>
    <row r="1057" spans="1:8" x14ac:dyDescent="0.25">
      <c r="A1057">
        <v>200000595</v>
      </c>
      <c r="B1057" t="s">
        <v>1403</v>
      </c>
      <c r="C1057" s="2">
        <v>45280</v>
      </c>
      <c r="D1057" t="s">
        <v>1196</v>
      </c>
      <c r="E1057">
        <v>2.8</v>
      </c>
      <c r="F1057">
        <v>37</v>
      </c>
      <c r="G1057">
        <v>79</v>
      </c>
      <c r="H1057">
        <v>0.21</v>
      </c>
    </row>
    <row r="1058" spans="1:8" x14ac:dyDescent="0.25">
      <c r="A1058">
        <v>200001821</v>
      </c>
      <c r="B1058" t="s">
        <v>1404</v>
      </c>
      <c r="C1058" s="2">
        <v>41731</v>
      </c>
      <c r="D1058" t="s">
        <v>1405</v>
      </c>
      <c r="E1058">
        <v>70.010000000000005</v>
      </c>
      <c r="F1058">
        <v>8</v>
      </c>
      <c r="G1058">
        <v>5</v>
      </c>
      <c r="H1058">
        <v>0.01</v>
      </c>
    </row>
    <row r="1059" spans="1:8" x14ac:dyDescent="0.25">
      <c r="A1059">
        <v>200000609</v>
      </c>
      <c r="B1059" t="s">
        <v>2174</v>
      </c>
      <c r="C1059" s="2">
        <v>44295</v>
      </c>
      <c r="D1059" t="s">
        <v>2175</v>
      </c>
      <c r="E1059">
        <v>21.06</v>
      </c>
      <c r="F1059">
        <v>102</v>
      </c>
      <c r="G1059">
        <v>55</v>
      </c>
      <c r="H1059">
        <v>0.15</v>
      </c>
    </row>
    <row r="1060" spans="1:8" x14ac:dyDescent="0.25">
      <c r="A1060">
        <v>200000610</v>
      </c>
      <c r="B1060" t="s">
        <v>862</v>
      </c>
      <c r="C1060" s="2">
        <v>45246</v>
      </c>
      <c r="D1060" t="s">
        <v>1229</v>
      </c>
      <c r="E1060">
        <v>4.22</v>
      </c>
      <c r="F1060">
        <v>953</v>
      </c>
      <c r="G1060">
        <v>1659</v>
      </c>
      <c r="H1060">
        <v>4.54</v>
      </c>
    </row>
    <row r="1061" spans="1:8" x14ac:dyDescent="0.25">
      <c r="A1061">
        <v>200000944</v>
      </c>
      <c r="B1061" t="s">
        <v>1406</v>
      </c>
      <c r="C1061" s="2">
        <v>45280</v>
      </c>
      <c r="D1061" t="s">
        <v>1196</v>
      </c>
      <c r="E1061">
        <v>0.38</v>
      </c>
      <c r="F1061">
        <v>2374</v>
      </c>
      <c r="G1061">
        <v>3222</v>
      </c>
      <c r="H1061">
        <v>8.82</v>
      </c>
    </row>
    <row r="1062" spans="1:8" x14ac:dyDescent="0.25">
      <c r="A1062">
        <v>200004184</v>
      </c>
      <c r="B1062" t="s">
        <v>2176</v>
      </c>
      <c r="C1062" s="2">
        <v>44441</v>
      </c>
      <c r="D1062" t="s">
        <v>1196</v>
      </c>
      <c r="E1062">
        <v>0.15</v>
      </c>
      <c r="F1062">
        <v>4100</v>
      </c>
      <c r="G1062">
        <v>1120</v>
      </c>
      <c r="H1062">
        <v>3.06</v>
      </c>
    </row>
    <row r="1063" spans="1:8" x14ac:dyDescent="0.25">
      <c r="A1063">
        <v>200003479</v>
      </c>
      <c r="B1063" t="s">
        <v>2177</v>
      </c>
      <c r="C1063" s="2">
        <v>44693</v>
      </c>
      <c r="D1063" t="s">
        <v>1396</v>
      </c>
      <c r="E1063">
        <v>2.62</v>
      </c>
      <c r="F1063">
        <v>0</v>
      </c>
      <c r="G1063">
        <v>90</v>
      </c>
      <c r="H1063">
        <v>0.24</v>
      </c>
    </row>
    <row r="1064" spans="1:8" x14ac:dyDescent="0.25">
      <c r="A1064">
        <v>200003480</v>
      </c>
      <c r="B1064" t="s">
        <v>2178</v>
      </c>
      <c r="C1064" s="2">
        <v>44693</v>
      </c>
      <c r="D1064" t="s">
        <v>1396</v>
      </c>
      <c r="E1064">
        <v>3</v>
      </c>
      <c r="F1064">
        <v>0</v>
      </c>
      <c r="G1064">
        <v>90</v>
      </c>
      <c r="H1064">
        <v>0.24</v>
      </c>
    </row>
    <row r="1065" spans="1:8" x14ac:dyDescent="0.25">
      <c r="A1065">
        <v>200000614</v>
      </c>
      <c r="B1065" t="s">
        <v>867</v>
      </c>
      <c r="C1065" s="2">
        <v>44907</v>
      </c>
      <c r="D1065" t="s">
        <v>1229</v>
      </c>
      <c r="E1065">
        <v>24.07</v>
      </c>
      <c r="F1065">
        <v>104</v>
      </c>
      <c r="G1065">
        <v>13</v>
      </c>
      <c r="H1065">
        <v>0.03</v>
      </c>
    </row>
    <row r="1066" spans="1:8" x14ac:dyDescent="0.25">
      <c r="A1066">
        <v>200001617</v>
      </c>
      <c r="B1066" t="s">
        <v>868</v>
      </c>
      <c r="C1066" s="2">
        <v>45202</v>
      </c>
      <c r="D1066" t="s">
        <v>1229</v>
      </c>
      <c r="E1066">
        <v>69.709999999999994</v>
      </c>
      <c r="F1066">
        <v>26</v>
      </c>
      <c r="G1066">
        <v>46</v>
      </c>
      <c r="H1066">
        <v>0.12</v>
      </c>
    </row>
    <row r="1067" spans="1:8" x14ac:dyDescent="0.25">
      <c r="A1067">
        <v>200001618</v>
      </c>
      <c r="B1067" t="s">
        <v>869</v>
      </c>
      <c r="C1067" s="2">
        <v>45202</v>
      </c>
      <c r="D1067" t="s">
        <v>1229</v>
      </c>
      <c r="E1067">
        <v>127.01</v>
      </c>
      <c r="F1067">
        <v>10</v>
      </c>
      <c r="G1067">
        <v>18</v>
      </c>
      <c r="H1067">
        <v>0.04</v>
      </c>
    </row>
    <row r="1068" spans="1:8" x14ac:dyDescent="0.25">
      <c r="A1068">
        <v>200003822</v>
      </c>
      <c r="B1068" t="s">
        <v>2179</v>
      </c>
      <c r="C1068" s="2">
        <v>42558</v>
      </c>
      <c r="D1068" t="s">
        <v>1505</v>
      </c>
      <c r="E1068">
        <v>260</v>
      </c>
      <c r="F1068">
        <v>0</v>
      </c>
      <c r="G1068">
        <v>3</v>
      </c>
      <c r="H1068">
        <v>0</v>
      </c>
    </row>
    <row r="1069" spans="1:8" x14ac:dyDescent="0.25">
      <c r="A1069">
        <v>200002099</v>
      </c>
      <c r="B1069" t="s">
        <v>2180</v>
      </c>
      <c r="C1069" s="2">
        <v>44629</v>
      </c>
      <c r="D1069" t="s">
        <v>1434</v>
      </c>
      <c r="E1069">
        <v>246.79</v>
      </c>
      <c r="F1069">
        <v>24</v>
      </c>
      <c r="G1069">
        <v>21</v>
      </c>
      <c r="H1069">
        <v>0.05</v>
      </c>
    </row>
    <row r="1070" spans="1:8" x14ac:dyDescent="0.25">
      <c r="A1070">
        <v>200006306</v>
      </c>
      <c r="B1070" t="s">
        <v>2181</v>
      </c>
      <c r="C1070" s="2">
        <v>45120</v>
      </c>
      <c r="D1070" t="s">
        <v>1750</v>
      </c>
      <c r="E1070">
        <v>29.1</v>
      </c>
      <c r="F1070">
        <v>0</v>
      </c>
      <c r="G1070">
        <v>135</v>
      </c>
      <c r="H1070">
        <v>0.36</v>
      </c>
    </row>
    <row r="1071" spans="1:8" x14ac:dyDescent="0.25">
      <c r="A1071">
        <v>200002549</v>
      </c>
      <c r="B1071" t="s">
        <v>2182</v>
      </c>
      <c r="C1071" s="2">
        <v>44838</v>
      </c>
      <c r="D1071" t="s">
        <v>1163</v>
      </c>
      <c r="E1071">
        <v>68.959999999999994</v>
      </c>
      <c r="F1071">
        <v>1499</v>
      </c>
      <c r="G1071">
        <v>17</v>
      </c>
      <c r="H1071">
        <v>0.04</v>
      </c>
    </row>
    <row r="1072" spans="1:8" x14ac:dyDescent="0.25">
      <c r="A1072">
        <v>200002551</v>
      </c>
      <c r="B1072" t="s">
        <v>2183</v>
      </c>
      <c r="C1072" s="2">
        <v>41883</v>
      </c>
      <c r="D1072" t="s">
        <v>1760</v>
      </c>
      <c r="E1072">
        <v>19.23</v>
      </c>
      <c r="F1072">
        <v>69</v>
      </c>
      <c r="G1072">
        <v>7</v>
      </c>
      <c r="H1072">
        <v>0.01</v>
      </c>
    </row>
    <row r="1073" spans="1:8" x14ac:dyDescent="0.25">
      <c r="A1073">
        <v>200002550</v>
      </c>
      <c r="B1073" t="s">
        <v>2184</v>
      </c>
      <c r="C1073" s="2">
        <v>41883</v>
      </c>
      <c r="D1073" t="s">
        <v>1760</v>
      </c>
      <c r="E1073">
        <v>19.350000000000001</v>
      </c>
      <c r="F1073">
        <v>59</v>
      </c>
      <c r="G1073">
        <v>7</v>
      </c>
      <c r="H1073">
        <v>0.01</v>
      </c>
    </row>
    <row r="1074" spans="1:8" x14ac:dyDescent="0.25">
      <c r="A1074">
        <v>200002552</v>
      </c>
      <c r="B1074" t="s">
        <v>2185</v>
      </c>
      <c r="C1074" s="2">
        <v>41883</v>
      </c>
      <c r="D1074" t="s">
        <v>1760</v>
      </c>
      <c r="E1074">
        <v>26.68</v>
      </c>
      <c r="F1074">
        <v>62</v>
      </c>
      <c r="G1074">
        <v>6</v>
      </c>
      <c r="H1074">
        <v>0.01</v>
      </c>
    </row>
    <row r="1075" spans="1:8" x14ac:dyDescent="0.25">
      <c r="A1075">
        <v>200002057</v>
      </c>
      <c r="B1075" t="s">
        <v>873</v>
      </c>
      <c r="C1075" s="2">
        <v>44910</v>
      </c>
      <c r="D1075" t="s">
        <v>1229</v>
      </c>
      <c r="E1075">
        <v>155.16999999999999</v>
      </c>
      <c r="F1075">
        <v>143</v>
      </c>
      <c r="G1075">
        <v>23</v>
      </c>
      <c r="H1075">
        <v>0.06</v>
      </c>
    </row>
    <row r="1076" spans="1:8" x14ac:dyDescent="0.25">
      <c r="A1076">
        <v>200004892</v>
      </c>
      <c r="B1076" t="s">
        <v>874</v>
      </c>
      <c r="C1076" s="2">
        <v>44321</v>
      </c>
      <c r="D1076" t="s">
        <v>1442</v>
      </c>
      <c r="E1076">
        <v>153.26</v>
      </c>
      <c r="F1076">
        <v>0</v>
      </c>
      <c r="G1076">
        <v>1</v>
      </c>
      <c r="H1076">
        <v>0</v>
      </c>
    </row>
    <row r="1077" spans="1:8" x14ac:dyDescent="0.25">
      <c r="A1077">
        <v>200001036</v>
      </c>
      <c r="B1077" t="s">
        <v>2186</v>
      </c>
      <c r="C1077" s="2">
        <v>44910</v>
      </c>
      <c r="D1077" t="s">
        <v>1229</v>
      </c>
      <c r="E1077">
        <v>258.24</v>
      </c>
      <c r="F1077">
        <v>14</v>
      </c>
      <c r="G1077">
        <v>26</v>
      </c>
      <c r="H1077">
        <v>7.0000000000000007E-2</v>
      </c>
    </row>
    <row r="1078" spans="1:8" x14ac:dyDescent="0.25">
      <c r="A1078">
        <v>200002058</v>
      </c>
      <c r="B1078" t="s">
        <v>876</v>
      </c>
      <c r="C1078" s="2">
        <v>44910</v>
      </c>
      <c r="D1078" t="s">
        <v>1229</v>
      </c>
      <c r="E1078">
        <v>161.35</v>
      </c>
      <c r="F1078">
        <v>61</v>
      </c>
      <c r="G1078">
        <v>8</v>
      </c>
      <c r="H1078">
        <v>0.02</v>
      </c>
    </row>
    <row r="1079" spans="1:8" x14ac:dyDescent="0.25">
      <c r="A1079">
        <v>200004985</v>
      </c>
      <c r="B1079" t="s">
        <v>877</v>
      </c>
      <c r="C1079" s="2">
        <v>44890</v>
      </c>
      <c r="D1079" t="s">
        <v>1229</v>
      </c>
      <c r="E1079">
        <v>12.19</v>
      </c>
      <c r="F1079">
        <v>12</v>
      </c>
      <c r="G1079">
        <v>163</v>
      </c>
      <c r="H1079">
        <v>0.44</v>
      </c>
    </row>
    <row r="1080" spans="1:8" x14ac:dyDescent="0.25">
      <c r="A1080">
        <v>200001011</v>
      </c>
      <c r="B1080" t="s">
        <v>880</v>
      </c>
      <c r="C1080" s="2">
        <v>45251</v>
      </c>
      <c r="D1080" t="s">
        <v>1229</v>
      </c>
      <c r="E1080">
        <v>31.97</v>
      </c>
      <c r="F1080">
        <v>0</v>
      </c>
      <c r="G1080">
        <v>270</v>
      </c>
      <c r="H1080">
        <v>0.73</v>
      </c>
    </row>
    <row r="1081" spans="1:8" x14ac:dyDescent="0.25">
      <c r="A1081">
        <v>200001555</v>
      </c>
      <c r="B1081" t="s">
        <v>2187</v>
      </c>
      <c r="C1081" s="2">
        <v>40441</v>
      </c>
      <c r="D1081" t="s">
        <v>2188</v>
      </c>
      <c r="E1081">
        <v>160</v>
      </c>
      <c r="F1081">
        <v>0</v>
      </c>
      <c r="G1081">
        <v>1</v>
      </c>
      <c r="H1081">
        <v>0</v>
      </c>
    </row>
    <row r="1082" spans="1:8" x14ac:dyDescent="0.25">
      <c r="A1082">
        <v>200006060</v>
      </c>
      <c r="B1082" t="s">
        <v>2189</v>
      </c>
      <c r="C1082" s="2">
        <v>45035</v>
      </c>
      <c r="D1082" t="s">
        <v>2190</v>
      </c>
      <c r="E1082">
        <v>240</v>
      </c>
      <c r="F1082">
        <v>0</v>
      </c>
      <c r="G1082">
        <v>50</v>
      </c>
      <c r="H1082">
        <v>0.13</v>
      </c>
    </row>
    <row r="1083" spans="1:8" x14ac:dyDescent="0.25">
      <c r="A1083">
        <v>200001520</v>
      </c>
      <c r="B1083" t="s">
        <v>2191</v>
      </c>
      <c r="C1083" s="2">
        <v>42558</v>
      </c>
      <c r="D1083" t="s">
        <v>1505</v>
      </c>
      <c r="E1083">
        <v>24</v>
      </c>
      <c r="F1083">
        <v>0</v>
      </c>
      <c r="G1083">
        <v>18</v>
      </c>
      <c r="H1083">
        <v>0.04</v>
      </c>
    </row>
    <row r="1084" spans="1:8" x14ac:dyDescent="0.25">
      <c r="A1084">
        <v>200002286</v>
      </c>
      <c r="B1084" t="s">
        <v>882</v>
      </c>
      <c r="C1084" s="2">
        <v>42796</v>
      </c>
      <c r="D1084" t="s">
        <v>2192</v>
      </c>
      <c r="E1084">
        <v>11.2</v>
      </c>
      <c r="F1084">
        <v>0</v>
      </c>
      <c r="G1084">
        <v>25</v>
      </c>
      <c r="H1084">
        <v>0.06</v>
      </c>
    </row>
    <row r="1085" spans="1:8" x14ac:dyDescent="0.25">
      <c r="A1085">
        <v>200002184</v>
      </c>
      <c r="B1085" t="s">
        <v>2193</v>
      </c>
      <c r="C1085" s="2">
        <v>44851</v>
      </c>
      <c r="D1085" t="s">
        <v>1180</v>
      </c>
      <c r="E1085">
        <v>195</v>
      </c>
      <c r="F1085">
        <v>25</v>
      </c>
      <c r="G1085">
        <v>3</v>
      </c>
      <c r="H1085">
        <v>0</v>
      </c>
    </row>
    <row r="1086" spans="1:8" x14ac:dyDescent="0.25">
      <c r="A1086">
        <v>200002277</v>
      </c>
      <c r="B1086" t="s">
        <v>884</v>
      </c>
      <c r="C1086" s="2">
        <v>45202</v>
      </c>
      <c r="D1086" t="s">
        <v>1229</v>
      </c>
      <c r="E1086">
        <v>26.6</v>
      </c>
      <c r="F1086">
        <v>109</v>
      </c>
      <c r="G1086">
        <v>223</v>
      </c>
      <c r="H1086">
        <v>0.61</v>
      </c>
    </row>
    <row r="1087" spans="1:8" x14ac:dyDescent="0.25">
      <c r="A1087">
        <v>200006193</v>
      </c>
      <c r="B1087" t="s">
        <v>2194</v>
      </c>
      <c r="C1087" s="2">
        <v>44902</v>
      </c>
      <c r="D1087" t="s">
        <v>1459</v>
      </c>
      <c r="E1087">
        <v>23</v>
      </c>
      <c r="F1087">
        <v>10</v>
      </c>
      <c r="G1087">
        <v>4</v>
      </c>
      <c r="H1087">
        <v>0.01</v>
      </c>
    </row>
    <row r="1088" spans="1:8" x14ac:dyDescent="0.25">
      <c r="A1088">
        <v>200005685</v>
      </c>
      <c r="B1088" t="s">
        <v>2195</v>
      </c>
      <c r="C1088" s="2">
        <v>45170</v>
      </c>
      <c r="D1088" t="s">
        <v>1724</v>
      </c>
      <c r="E1088">
        <v>523.29999999999995</v>
      </c>
      <c r="F1088">
        <v>1</v>
      </c>
      <c r="G1088">
        <v>3</v>
      </c>
      <c r="H1088">
        <v>0</v>
      </c>
    </row>
    <row r="1089" spans="1:8" x14ac:dyDescent="0.25">
      <c r="A1089">
        <v>200000714</v>
      </c>
      <c r="B1089" t="s">
        <v>885</v>
      </c>
      <c r="C1089" s="2">
        <v>44727</v>
      </c>
      <c r="D1089" t="s">
        <v>2196</v>
      </c>
      <c r="E1089">
        <v>45</v>
      </c>
      <c r="F1089">
        <v>8</v>
      </c>
      <c r="G1089">
        <v>32</v>
      </c>
      <c r="H1089">
        <v>0.08</v>
      </c>
    </row>
    <row r="1090" spans="1:8" x14ac:dyDescent="0.25">
      <c r="A1090">
        <v>200004974</v>
      </c>
      <c r="B1090" t="s">
        <v>2197</v>
      </c>
      <c r="C1090" s="2">
        <v>44579</v>
      </c>
      <c r="D1090" t="s">
        <v>1207</v>
      </c>
      <c r="E1090">
        <v>2.2000000000000002</v>
      </c>
      <c r="F1090">
        <v>13</v>
      </c>
      <c r="G1090">
        <v>50</v>
      </c>
      <c r="H1090">
        <v>0.13</v>
      </c>
    </row>
    <row r="1091" spans="1:8" x14ac:dyDescent="0.25">
      <c r="A1091">
        <v>200004392</v>
      </c>
      <c r="B1091" t="s">
        <v>2198</v>
      </c>
      <c r="C1091" s="2">
        <v>44012</v>
      </c>
      <c r="D1091" t="s">
        <v>1333</v>
      </c>
      <c r="E1091">
        <v>1.58</v>
      </c>
      <c r="F1091">
        <v>3955</v>
      </c>
      <c r="G1091">
        <v>51</v>
      </c>
      <c r="H1091">
        <v>0.13</v>
      </c>
    </row>
    <row r="1092" spans="1:8" x14ac:dyDescent="0.25">
      <c r="A1092">
        <v>200000625</v>
      </c>
      <c r="B1092" t="s">
        <v>887</v>
      </c>
      <c r="C1092" s="2">
        <v>44910</v>
      </c>
      <c r="D1092" t="s">
        <v>1229</v>
      </c>
      <c r="E1092">
        <v>42.54</v>
      </c>
      <c r="F1092">
        <v>26</v>
      </c>
      <c r="G1092">
        <v>5</v>
      </c>
      <c r="H1092">
        <v>0.01</v>
      </c>
    </row>
    <row r="1093" spans="1:8" x14ac:dyDescent="0.25">
      <c r="A1093">
        <v>200000626</v>
      </c>
      <c r="B1093" t="s">
        <v>2199</v>
      </c>
      <c r="C1093" s="2">
        <v>44890</v>
      </c>
      <c r="D1093" t="s">
        <v>1229</v>
      </c>
      <c r="E1093">
        <v>6.78</v>
      </c>
      <c r="F1093">
        <v>10</v>
      </c>
      <c r="G1093">
        <v>17</v>
      </c>
      <c r="H1093">
        <v>0.04</v>
      </c>
    </row>
    <row r="1094" spans="1:8" x14ac:dyDescent="0.25">
      <c r="A1094">
        <v>200004922</v>
      </c>
      <c r="B1094" t="s">
        <v>2200</v>
      </c>
      <c r="C1094" s="2">
        <v>43872</v>
      </c>
      <c r="D1094" t="s">
        <v>1523</v>
      </c>
      <c r="E1094">
        <v>124.78</v>
      </c>
      <c r="F1094">
        <v>30</v>
      </c>
      <c r="G1094">
        <v>2</v>
      </c>
      <c r="H1094">
        <v>0</v>
      </c>
    </row>
    <row r="1095" spans="1:8" x14ac:dyDescent="0.25">
      <c r="A1095">
        <v>200000632</v>
      </c>
      <c r="B1095" t="s">
        <v>1407</v>
      </c>
      <c r="C1095" s="2">
        <v>44908</v>
      </c>
      <c r="D1095" t="s">
        <v>1344</v>
      </c>
      <c r="E1095">
        <v>3.25</v>
      </c>
      <c r="F1095">
        <v>1868</v>
      </c>
      <c r="G1095">
        <v>2397</v>
      </c>
      <c r="H1095">
        <v>6.56</v>
      </c>
    </row>
    <row r="1096" spans="1:8" x14ac:dyDescent="0.25">
      <c r="A1096">
        <v>200001471</v>
      </c>
      <c r="B1096" t="s">
        <v>1408</v>
      </c>
      <c r="C1096" s="2">
        <v>45205</v>
      </c>
      <c r="D1096" t="s">
        <v>1180</v>
      </c>
      <c r="E1096">
        <v>80</v>
      </c>
      <c r="F1096">
        <v>161</v>
      </c>
      <c r="G1096">
        <v>30</v>
      </c>
      <c r="H1096">
        <v>0.08</v>
      </c>
    </row>
    <row r="1097" spans="1:8" x14ac:dyDescent="0.25">
      <c r="A1097">
        <v>200005463</v>
      </c>
      <c r="B1097" t="s">
        <v>2201</v>
      </c>
      <c r="C1097" s="2">
        <v>44160</v>
      </c>
      <c r="D1097" t="s">
        <v>2202</v>
      </c>
      <c r="E1097">
        <v>12.5</v>
      </c>
      <c r="F1097">
        <v>30</v>
      </c>
      <c r="G1097">
        <v>16</v>
      </c>
      <c r="H1097">
        <v>0.04</v>
      </c>
    </row>
    <row r="1098" spans="1:8" x14ac:dyDescent="0.25">
      <c r="A1098">
        <v>200006214</v>
      </c>
      <c r="B1098" t="s">
        <v>2203</v>
      </c>
      <c r="C1098" s="2">
        <v>44929</v>
      </c>
      <c r="D1098" t="s">
        <v>1180</v>
      </c>
      <c r="E1098">
        <v>85</v>
      </c>
      <c r="F1098">
        <v>0</v>
      </c>
      <c r="G1098">
        <v>16</v>
      </c>
      <c r="H1098">
        <v>0.04</v>
      </c>
    </row>
    <row r="1099" spans="1:8" x14ac:dyDescent="0.25">
      <c r="A1099">
        <v>200003176</v>
      </c>
      <c r="B1099" t="s">
        <v>889</v>
      </c>
      <c r="C1099" s="2">
        <v>45202</v>
      </c>
      <c r="D1099" t="s">
        <v>1229</v>
      </c>
      <c r="E1099">
        <v>12.45</v>
      </c>
      <c r="F1099">
        <v>104</v>
      </c>
      <c r="G1099">
        <v>188</v>
      </c>
      <c r="H1099">
        <v>0.51</v>
      </c>
    </row>
    <row r="1100" spans="1:8" x14ac:dyDescent="0.25">
      <c r="A1100">
        <v>200005447</v>
      </c>
      <c r="B1100" t="s">
        <v>1409</v>
      </c>
      <c r="C1100" s="2">
        <v>44517</v>
      </c>
      <c r="D1100" t="s">
        <v>1302</v>
      </c>
      <c r="E1100">
        <v>260</v>
      </c>
      <c r="F1100">
        <v>0</v>
      </c>
      <c r="G1100">
        <v>32</v>
      </c>
      <c r="H1100">
        <v>0.08</v>
      </c>
    </row>
    <row r="1101" spans="1:8" x14ac:dyDescent="0.25">
      <c r="A1101">
        <v>200005448</v>
      </c>
      <c r="B1101" t="s">
        <v>2204</v>
      </c>
      <c r="C1101" s="2">
        <v>44517</v>
      </c>
      <c r="D1101" t="s">
        <v>1302</v>
      </c>
      <c r="E1101">
        <v>500</v>
      </c>
      <c r="F1101">
        <v>0</v>
      </c>
      <c r="G1101">
        <v>5</v>
      </c>
      <c r="H1101">
        <v>0.01</v>
      </c>
    </row>
    <row r="1102" spans="1:8" x14ac:dyDescent="0.25">
      <c r="A1102">
        <v>200005446</v>
      </c>
      <c r="B1102" t="s">
        <v>1410</v>
      </c>
      <c r="C1102" s="2">
        <v>44517</v>
      </c>
      <c r="D1102" t="s">
        <v>1302</v>
      </c>
      <c r="E1102">
        <v>170</v>
      </c>
      <c r="F1102">
        <v>0</v>
      </c>
      <c r="G1102">
        <v>2</v>
      </c>
      <c r="H1102">
        <v>0</v>
      </c>
    </row>
    <row r="1103" spans="1:8" x14ac:dyDescent="0.25">
      <c r="A1103">
        <v>200004938</v>
      </c>
      <c r="B1103" t="s">
        <v>2205</v>
      </c>
      <c r="C1103" s="2">
        <v>44593</v>
      </c>
      <c r="D1103" t="s">
        <v>1441</v>
      </c>
      <c r="E1103">
        <v>9.58</v>
      </c>
      <c r="F1103">
        <v>229</v>
      </c>
      <c r="G1103">
        <v>10</v>
      </c>
      <c r="H1103">
        <v>0.02</v>
      </c>
    </row>
    <row r="1104" spans="1:8" x14ac:dyDescent="0.25">
      <c r="A1104">
        <v>200001695</v>
      </c>
      <c r="B1104" t="s">
        <v>2206</v>
      </c>
      <c r="C1104" s="2">
        <v>44838</v>
      </c>
      <c r="D1104" t="s">
        <v>1163</v>
      </c>
      <c r="E1104">
        <v>10.3</v>
      </c>
      <c r="F1104">
        <v>439</v>
      </c>
      <c r="G1104">
        <v>10</v>
      </c>
      <c r="H1104">
        <v>0.02</v>
      </c>
    </row>
    <row r="1105" spans="1:8" x14ac:dyDescent="0.25">
      <c r="A1105">
        <v>200000779</v>
      </c>
      <c r="B1105" t="s">
        <v>2207</v>
      </c>
      <c r="C1105" s="2">
        <v>42122</v>
      </c>
      <c r="D1105" t="s">
        <v>1159</v>
      </c>
      <c r="E1105">
        <v>4</v>
      </c>
      <c r="F1105">
        <v>712</v>
      </c>
      <c r="G1105">
        <v>12</v>
      </c>
      <c r="H1105">
        <v>0.03</v>
      </c>
    </row>
    <row r="1106" spans="1:8" x14ac:dyDescent="0.25">
      <c r="A1106">
        <v>200002548</v>
      </c>
      <c r="B1106" t="s">
        <v>2208</v>
      </c>
      <c r="C1106" s="2">
        <v>44805</v>
      </c>
      <c r="D1106" t="s">
        <v>1163</v>
      </c>
      <c r="E1106">
        <v>32.36</v>
      </c>
      <c r="F1106">
        <v>2992</v>
      </c>
      <c r="G1106">
        <v>42</v>
      </c>
      <c r="H1106">
        <v>0.11</v>
      </c>
    </row>
    <row r="1107" spans="1:8" x14ac:dyDescent="0.25">
      <c r="A1107">
        <v>200005814</v>
      </c>
      <c r="B1107" t="s">
        <v>2209</v>
      </c>
      <c r="C1107" s="2">
        <v>44981</v>
      </c>
      <c r="D1107" t="s">
        <v>1813</v>
      </c>
      <c r="E1107">
        <v>60</v>
      </c>
      <c r="F1107">
        <v>7</v>
      </c>
      <c r="G1107">
        <v>23</v>
      </c>
      <c r="H1107">
        <v>0.06</v>
      </c>
    </row>
    <row r="1108" spans="1:8" x14ac:dyDescent="0.25">
      <c r="A1108">
        <v>200003891</v>
      </c>
      <c r="B1108" t="s">
        <v>2210</v>
      </c>
      <c r="C1108" s="2">
        <v>45114</v>
      </c>
      <c r="D1108" t="s">
        <v>1813</v>
      </c>
      <c r="E1108">
        <v>50</v>
      </c>
      <c r="F1108">
        <v>2</v>
      </c>
      <c r="G1108">
        <v>20</v>
      </c>
      <c r="H1108">
        <v>0.05</v>
      </c>
    </row>
    <row r="1109" spans="1:8" x14ac:dyDescent="0.25">
      <c r="A1109">
        <v>200001037</v>
      </c>
      <c r="B1109" t="s">
        <v>924</v>
      </c>
      <c r="C1109" s="2">
        <v>43892</v>
      </c>
      <c r="D1109" t="s">
        <v>1338</v>
      </c>
      <c r="E1109">
        <v>1.5</v>
      </c>
      <c r="F1109">
        <v>20</v>
      </c>
      <c r="G1109">
        <v>15</v>
      </c>
      <c r="H1109">
        <v>0.04</v>
      </c>
    </row>
    <row r="1110" spans="1:8" x14ac:dyDescent="0.25">
      <c r="A1110">
        <v>200002028</v>
      </c>
      <c r="B1110" t="s">
        <v>927</v>
      </c>
      <c r="C1110" s="2">
        <v>40728</v>
      </c>
      <c r="D1110" t="s">
        <v>1451</v>
      </c>
      <c r="E1110">
        <v>2.14</v>
      </c>
      <c r="F1110">
        <v>19</v>
      </c>
      <c r="G1110">
        <v>30</v>
      </c>
      <c r="H1110">
        <v>0.08</v>
      </c>
    </row>
    <row r="1111" spans="1:8" x14ac:dyDescent="0.25">
      <c r="A1111">
        <v>200001579</v>
      </c>
      <c r="B1111" t="s">
        <v>928</v>
      </c>
      <c r="C1111" s="2">
        <v>44531</v>
      </c>
      <c r="D1111" t="s">
        <v>1200</v>
      </c>
      <c r="E1111">
        <v>10.1</v>
      </c>
      <c r="F1111">
        <v>123</v>
      </c>
      <c r="G1111">
        <v>3</v>
      </c>
      <c r="H1111">
        <v>0</v>
      </c>
    </row>
    <row r="1112" spans="1:8" x14ac:dyDescent="0.25">
      <c r="A1112">
        <v>200001580</v>
      </c>
      <c r="B1112" t="s">
        <v>929</v>
      </c>
      <c r="C1112" s="2">
        <v>43893</v>
      </c>
      <c r="D1112" t="s">
        <v>1338</v>
      </c>
      <c r="E1112">
        <v>4</v>
      </c>
      <c r="F1112">
        <v>123</v>
      </c>
      <c r="G1112">
        <v>10</v>
      </c>
      <c r="H1112">
        <v>0.02</v>
      </c>
    </row>
    <row r="1113" spans="1:8" x14ac:dyDescent="0.25">
      <c r="A1113">
        <v>200000639</v>
      </c>
      <c r="B1113" t="s">
        <v>930</v>
      </c>
      <c r="C1113" s="2">
        <v>44055</v>
      </c>
      <c r="D1113" t="s">
        <v>1338</v>
      </c>
      <c r="E1113">
        <v>0.5</v>
      </c>
      <c r="F1113">
        <v>35</v>
      </c>
      <c r="G1113">
        <v>2</v>
      </c>
      <c r="H1113">
        <v>0</v>
      </c>
    </row>
    <row r="1114" spans="1:8" x14ac:dyDescent="0.25">
      <c r="A1114">
        <v>200000640</v>
      </c>
      <c r="B1114" t="s">
        <v>931</v>
      </c>
      <c r="C1114" s="2">
        <v>44055</v>
      </c>
      <c r="D1114" t="s">
        <v>1338</v>
      </c>
      <c r="E1114">
        <v>0.8</v>
      </c>
      <c r="F1114">
        <v>0</v>
      </c>
      <c r="G1114">
        <v>5</v>
      </c>
      <c r="H1114">
        <v>0.01</v>
      </c>
    </row>
    <row r="1115" spans="1:8" x14ac:dyDescent="0.25">
      <c r="A1115">
        <v>200001039</v>
      </c>
      <c r="B1115" t="s">
        <v>932</v>
      </c>
      <c r="C1115" s="2">
        <v>44055</v>
      </c>
      <c r="D1115" t="s">
        <v>1338</v>
      </c>
      <c r="E1115">
        <v>2</v>
      </c>
      <c r="F1115">
        <v>0</v>
      </c>
      <c r="G1115">
        <v>1</v>
      </c>
      <c r="H1115">
        <v>0</v>
      </c>
    </row>
    <row r="1116" spans="1:8" x14ac:dyDescent="0.25">
      <c r="A1116">
        <v>200002033</v>
      </c>
      <c r="B1116" t="s">
        <v>933</v>
      </c>
      <c r="C1116" s="2">
        <v>44531</v>
      </c>
      <c r="D1116" t="s">
        <v>1200</v>
      </c>
      <c r="E1116">
        <v>10.06</v>
      </c>
      <c r="F1116">
        <v>0</v>
      </c>
      <c r="G1116">
        <v>4</v>
      </c>
      <c r="H1116">
        <v>0.01</v>
      </c>
    </row>
    <row r="1117" spans="1:8" x14ac:dyDescent="0.25">
      <c r="A1117">
        <v>200002036</v>
      </c>
      <c r="B1117" t="s">
        <v>935</v>
      </c>
      <c r="C1117" s="2">
        <v>43893</v>
      </c>
      <c r="D1117" t="s">
        <v>1338</v>
      </c>
      <c r="E1117">
        <v>15</v>
      </c>
      <c r="F1117">
        <v>14</v>
      </c>
      <c r="G1117">
        <v>10</v>
      </c>
      <c r="H1117">
        <v>0.02</v>
      </c>
    </row>
    <row r="1118" spans="1:8" x14ac:dyDescent="0.25">
      <c r="A1118">
        <v>200001435</v>
      </c>
      <c r="B1118" t="s">
        <v>2211</v>
      </c>
      <c r="C1118" s="2">
        <v>42513</v>
      </c>
      <c r="D1118" t="s">
        <v>1505</v>
      </c>
      <c r="E1118">
        <v>263.39999999999998</v>
      </c>
      <c r="F1118">
        <v>0</v>
      </c>
      <c r="G1118">
        <v>14</v>
      </c>
      <c r="H1118">
        <v>0.03</v>
      </c>
    </row>
    <row r="1119" spans="1:8" x14ac:dyDescent="0.25">
      <c r="A1119">
        <v>200005407</v>
      </c>
      <c r="B1119" t="s">
        <v>948</v>
      </c>
      <c r="C1119" s="2">
        <v>44970</v>
      </c>
      <c r="D1119" t="s">
        <v>1477</v>
      </c>
      <c r="E1119">
        <v>80</v>
      </c>
      <c r="F1119">
        <v>50</v>
      </c>
      <c r="G1119">
        <v>4</v>
      </c>
      <c r="H1119">
        <v>0.01</v>
      </c>
    </row>
    <row r="1120" spans="1:8" x14ac:dyDescent="0.25">
      <c r="A1120">
        <v>200005060</v>
      </c>
      <c r="B1120" t="s">
        <v>2212</v>
      </c>
      <c r="C1120" s="2">
        <v>44489</v>
      </c>
      <c r="D1120" t="s">
        <v>1180</v>
      </c>
      <c r="E1120">
        <v>10</v>
      </c>
      <c r="F1120">
        <v>112</v>
      </c>
      <c r="G1120">
        <v>22</v>
      </c>
      <c r="H1120">
        <v>0.06</v>
      </c>
    </row>
    <row r="1121" spans="1:8" x14ac:dyDescent="0.25">
      <c r="A1121">
        <v>200005063</v>
      </c>
      <c r="B1121" t="s">
        <v>2213</v>
      </c>
      <c r="C1121" s="2">
        <v>44489</v>
      </c>
      <c r="D1121" t="s">
        <v>1180</v>
      </c>
      <c r="E1121">
        <v>10</v>
      </c>
      <c r="F1121">
        <v>1</v>
      </c>
      <c r="G1121">
        <v>27</v>
      </c>
      <c r="H1121">
        <v>7.0000000000000007E-2</v>
      </c>
    </row>
    <row r="1122" spans="1:8" x14ac:dyDescent="0.25">
      <c r="A1122">
        <v>200002798</v>
      </c>
      <c r="B1122" t="s">
        <v>2214</v>
      </c>
      <c r="C1122" s="2">
        <v>42928</v>
      </c>
      <c r="D1122" t="s">
        <v>2215</v>
      </c>
      <c r="E1122">
        <v>10</v>
      </c>
      <c r="F1122">
        <v>20</v>
      </c>
      <c r="G1122">
        <v>12</v>
      </c>
      <c r="H1122">
        <v>0.03</v>
      </c>
    </row>
    <row r="1123" spans="1:8" x14ac:dyDescent="0.25">
      <c r="A1123">
        <v>200002795</v>
      </c>
      <c r="B1123" t="s">
        <v>2216</v>
      </c>
      <c r="C1123" s="2">
        <v>44578</v>
      </c>
      <c r="D1123" t="s">
        <v>1207</v>
      </c>
      <c r="E1123">
        <v>7</v>
      </c>
      <c r="F1123">
        <v>0</v>
      </c>
      <c r="G1123">
        <v>19</v>
      </c>
      <c r="H1123">
        <v>0.05</v>
      </c>
    </row>
    <row r="1124" spans="1:8" x14ac:dyDescent="0.25">
      <c r="A1124">
        <v>200002796</v>
      </c>
      <c r="B1124" t="s">
        <v>2217</v>
      </c>
      <c r="C1124" s="2">
        <v>42187</v>
      </c>
      <c r="D1124" t="s">
        <v>1229</v>
      </c>
      <c r="E1124">
        <v>4.5199999999999996</v>
      </c>
      <c r="F1124">
        <v>0</v>
      </c>
      <c r="G1124">
        <v>18</v>
      </c>
      <c r="H1124">
        <v>0.04</v>
      </c>
    </row>
    <row r="1125" spans="1:8" x14ac:dyDescent="0.25">
      <c r="A1125">
        <v>200002797</v>
      </c>
      <c r="B1125" t="s">
        <v>2218</v>
      </c>
      <c r="C1125" s="2">
        <v>44578</v>
      </c>
      <c r="D1125" t="s">
        <v>1207</v>
      </c>
      <c r="E1125">
        <v>14.35</v>
      </c>
      <c r="F1125">
        <v>0</v>
      </c>
      <c r="G1125">
        <v>29</v>
      </c>
      <c r="H1125">
        <v>7.0000000000000007E-2</v>
      </c>
    </row>
    <row r="1126" spans="1:8" x14ac:dyDescent="0.25">
      <c r="A1126">
        <v>200002799</v>
      </c>
      <c r="B1126" t="s">
        <v>2219</v>
      </c>
      <c r="C1126" s="2">
        <v>41920</v>
      </c>
      <c r="D1126" t="s">
        <v>1260</v>
      </c>
      <c r="E1126">
        <v>4.2699999999999996</v>
      </c>
      <c r="F1126">
        <v>8</v>
      </c>
      <c r="G1126">
        <v>9</v>
      </c>
      <c r="H1126">
        <v>0.02</v>
      </c>
    </row>
    <row r="1127" spans="1:8" x14ac:dyDescent="0.25">
      <c r="A1127">
        <v>200002800</v>
      </c>
      <c r="B1127" t="s">
        <v>2220</v>
      </c>
      <c r="C1127" s="2">
        <v>42187</v>
      </c>
      <c r="D1127" t="s">
        <v>1229</v>
      </c>
      <c r="E1127">
        <v>5.7</v>
      </c>
      <c r="F1127">
        <v>48</v>
      </c>
      <c r="G1127">
        <v>8</v>
      </c>
      <c r="H1127">
        <v>0.02</v>
      </c>
    </row>
    <row r="1128" spans="1:8" x14ac:dyDescent="0.25">
      <c r="A1128">
        <v>200002270</v>
      </c>
      <c r="B1128" t="s">
        <v>2221</v>
      </c>
      <c r="C1128" s="2">
        <v>41982</v>
      </c>
      <c r="D1128" t="s">
        <v>2222</v>
      </c>
      <c r="E1128">
        <v>56.5</v>
      </c>
      <c r="F1128">
        <v>6</v>
      </c>
      <c r="G1128">
        <v>3</v>
      </c>
      <c r="H1128">
        <v>0</v>
      </c>
    </row>
    <row r="1129" spans="1:8" x14ac:dyDescent="0.25">
      <c r="A1129">
        <v>200000647</v>
      </c>
      <c r="B1129" t="s">
        <v>1411</v>
      </c>
      <c r="C1129" s="2">
        <v>45280</v>
      </c>
      <c r="D1129" t="s">
        <v>1196</v>
      </c>
      <c r="E1129">
        <v>5</v>
      </c>
      <c r="F1129">
        <v>70</v>
      </c>
      <c r="G1129">
        <v>123</v>
      </c>
      <c r="H1129">
        <v>0.33</v>
      </c>
    </row>
    <row r="1130" spans="1:8" x14ac:dyDescent="0.25">
      <c r="A1130">
        <v>200006324</v>
      </c>
      <c r="B1130" t="s">
        <v>2223</v>
      </c>
      <c r="C1130" s="2">
        <v>45142</v>
      </c>
      <c r="D1130" t="s">
        <v>2224</v>
      </c>
      <c r="E1130">
        <v>529.79999999999995</v>
      </c>
      <c r="F1130">
        <v>0</v>
      </c>
      <c r="G1130">
        <v>10</v>
      </c>
      <c r="H1130">
        <v>0.02</v>
      </c>
    </row>
    <row r="1131" spans="1:8" x14ac:dyDescent="0.25">
      <c r="A1131">
        <v>200001091</v>
      </c>
      <c r="B1131" t="s">
        <v>959</v>
      </c>
      <c r="C1131" s="2">
        <v>45159</v>
      </c>
      <c r="D1131" t="s">
        <v>2225</v>
      </c>
      <c r="E1131">
        <v>96</v>
      </c>
      <c r="F1131">
        <v>0</v>
      </c>
      <c r="G1131">
        <v>32</v>
      </c>
      <c r="H1131">
        <v>0.08</v>
      </c>
    </row>
    <row r="1132" spans="1:8" x14ac:dyDescent="0.25">
      <c r="A1132">
        <v>200006329</v>
      </c>
      <c r="B1132" t="s">
        <v>964</v>
      </c>
      <c r="C1132" s="2">
        <v>45035</v>
      </c>
      <c r="D1132" t="s">
        <v>2172</v>
      </c>
      <c r="E1132">
        <v>224.23</v>
      </c>
      <c r="F1132">
        <v>20</v>
      </c>
      <c r="G1132">
        <v>57</v>
      </c>
      <c r="H1132">
        <v>0.15</v>
      </c>
    </row>
    <row r="1133" spans="1:8" x14ac:dyDescent="0.25">
      <c r="A1133">
        <v>200001092</v>
      </c>
      <c r="B1133" t="s">
        <v>968</v>
      </c>
      <c r="C1133" s="2">
        <v>45247</v>
      </c>
      <c r="D1133" t="s">
        <v>2225</v>
      </c>
      <c r="E1133">
        <v>121.4</v>
      </c>
      <c r="F1133">
        <v>51</v>
      </c>
      <c r="G1133">
        <v>48</v>
      </c>
      <c r="H1133">
        <v>0.13</v>
      </c>
    </row>
    <row r="1134" spans="1:8" x14ac:dyDescent="0.25">
      <c r="A1134">
        <v>200003809</v>
      </c>
      <c r="B1134" t="s">
        <v>969</v>
      </c>
      <c r="C1134" s="2">
        <v>45247</v>
      </c>
      <c r="D1134" t="s">
        <v>2225</v>
      </c>
      <c r="E1134">
        <v>127</v>
      </c>
      <c r="F1134">
        <v>28</v>
      </c>
      <c r="G1134">
        <v>111</v>
      </c>
      <c r="H1134">
        <v>0.3</v>
      </c>
    </row>
    <row r="1135" spans="1:8" x14ac:dyDescent="0.25">
      <c r="A1135">
        <v>200001215</v>
      </c>
      <c r="B1135" t="s">
        <v>976</v>
      </c>
      <c r="C1135" s="2">
        <v>45247</v>
      </c>
      <c r="D1135" t="s">
        <v>2225</v>
      </c>
      <c r="E1135">
        <v>127.77</v>
      </c>
      <c r="F1135">
        <v>75</v>
      </c>
      <c r="G1135">
        <v>106</v>
      </c>
      <c r="H1135">
        <v>0.28999999999999998</v>
      </c>
    </row>
    <row r="1136" spans="1:8" x14ac:dyDescent="0.25">
      <c r="A1136">
        <v>200001212</v>
      </c>
      <c r="B1136" t="s">
        <v>979</v>
      </c>
      <c r="C1136" s="2">
        <v>45247</v>
      </c>
      <c r="D1136" t="s">
        <v>2225</v>
      </c>
      <c r="E1136">
        <v>127.78</v>
      </c>
      <c r="F1136">
        <v>33</v>
      </c>
      <c r="G1136">
        <v>45</v>
      </c>
      <c r="H1136">
        <v>0.12</v>
      </c>
    </row>
    <row r="1137" spans="1:8" x14ac:dyDescent="0.25">
      <c r="A1137">
        <v>200005525</v>
      </c>
      <c r="B1137" t="s">
        <v>981</v>
      </c>
      <c r="C1137" s="2">
        <v>44775</v>
      </c>
      <c r="D1137" t="s">
        <v>2226</v>
      </c>
      <c r="E1137">
        <v>94.99</v>
      </c>
      <c r="F1137">
        <v>0</v>
      </c>
      <c r="G1137">
        <v>17</v>
      </c>
      <c r="H1137">
        <v>0.04</v>
      </c>
    </row>
    <row r="1138" spans="1:8" x14ac:dyDescent="0.25">
      <c r="A1138">
        <v>200000749</v>
      </c>
      <c r="B1138" t="s">
        <v>984</v>
      </c>
      <c r="C1138" s="2">
        <v>44910</v>
      </c>
      <c r="D1138" t="s">
        <v>1509</v>
      </c>
      <c r="E1138">
        <v>186.87</v>
      </c>
      <c r="F1138">
        <v>24</v>
      </c>
      <c r="G1138">
        <v>57</v>
      </c>
      <c r="H1138">
        <v>0.15</v>
      </c>
    </row>
    <row r="1139" spans="1:8" x14ac:dyDescent="0.25">
      <c r="A1139">
        <v>200000660</v>
      </c>
      <c r="B1139" t="s">
        <v>985</v>
      </c>
      <c r="C1139" s="2">
        <v>45247</v>
      </c>
      <c r="D1139" t="s">
        <v>2225</v>
      </c>
      <c r="E1139">
        <v>95</v>
      </c>
      <c r="F1139">
        <v>4</v>
      </c>
      <c r="G1139">
        <v>668</v>
      </c>
      <c r="H1139">
        <v>1.83</v>
      </c>
    </row>
    <row r="1140" spans="1:8" x14ac:dyDescent="0.25">
      <c r="A1140">
        <v>200002346</v>
      </c>
      <c r="B1140" t="s">
        <v>986</v>
      </c>
      <c r="C1140" s="2">
        <v>45247</v>
      </c>
      <c r="D1140" t="s">
        <v>2225</v>
      </c>
      <c r="E1140">
        <v>96</v>
      </c>
      <c r="F1140">
        <v>7</v>
      </c>
      <c r="G1140">
        <v>56</v>
      </c>
      <c r="H1140">
        <v>0.15</v>
      </c>
    </row>
    <row r="1141" spans="1:8" x14ac:dyDescent="0.25">
      <c r="A1141">
        <v>200002480</v>
      </c>
      <c r="B1141" t="s">
        <v>1414</v>
      </c>
      <c r="C1141" s="2">
        <v>45280</v>
      </c>
      <c r="D1141" t="s">
        <v>1196</v>
      </c>
      <c r="E1141">
        <v>4</v>
      </c>
      <c r="F1141">
        <v>65</v>
      </c>
      <c r="G1141">
        <v>134</v>
      </c>
      <c r="H1141">
        <v>0.36</v>
      </c>
    </row>
    <row r="1142" spans="1:8" x14ac:dyDescent="0.25">
      <c r="A1142">
        <v>200002482</v>
      </c>
      <c r="B1142" t="s">
        <v>2227</v>
      </c>
      <c r="C1142" s="2">
        <v>45280</v>
      </c>
      <c r="D1142" t="s">
        <v>1196</v>
      </c>
      <c r="E1142">
        <v>4</v>
      </c>
      <c r="F1142">
        <v>20</v>
      </c>
      <c r="G1142">
        <v>21</v>
      </c>
      <c r="H1142">
        <v>0.05</v>
      </c>
    </row>
    <row r="1143" spans="1:8" x14ac:dyDescent="0.25">
      <c r="A1143">
        <v>200001620</v>
      </c>
      <c r="B1143" t="s">
        <v>989</v>
      </c>
      <c r="C1143" s="2">
        <v>45247</v>
      </c>
      <c r="D1143" t="s">
        <v>2225</v>
      </c>
      <c r="E1143">
        <v>59</v>
      </c>
      <c r="F1143">
        <v>22</v>
      </c>
      <c r="G1143">
        <v>96</v>
      </c>
      <c r="H1143">
        <v>0.26</v>
      </c>
    </row>
    <row r="1144" spans="1:8" x14ac:dyDescent="0.25">
      <c r="A1144">
        <v>200001621</v>
      </c>
      <c r="B1144" t="s">
        <v>990</v>
      </c>
      <c r="C1144" s="2">
        <v>44775</v>
      </c>
      <c r="D1144" t="s">
        <v>2226</v>
      </c>
      <c r="E1144">
        <v>54.68</v>
      </c>
      <c r="F1144">
        <v>0</v>
      </c>
      <c r="G1144">
        <v>11</v>
      </c>
      <c r="H1144">
        <v>0.03</v>
      </c>
    </row>
    <row r="1145" spans="1:8" x14ac:dyDescent="0.25">
      <c r="A1145">
        <v>200001624</v>
      </c>
      <c r="B1145" t="s">
        <v>991</v>
      </c>
      <c r="C1145" s="2">
        <v>45247</v>
      </c>
      <c r="D1145" t="s">
        <v>2225</v>
      </c>
      <c r="E1145">
        <v>60</v>
      </c>
      <c r="F1145">
        <v>13</v>
      </c>
      <c r="G1145">
        <v>26</v>
      </c>
      <c r="H1145">
        <v>7.0000000000000007E-2</v>
      </c>
    </row>
    <row r="1146" spans="1:8" x14ac:dyDescent="0.25">
      <c r="A1146">
        <v>200005524</v>
      </c>
      <c r="B1146" t="s">
        <v>992</v>
      </c>
      <c r="C1146" s="2">
        <v>45247</v>
      </c>
      <c r="D1146" t="s">
        <v>2225</v>
      </c>
      <c r="E1146">
        <v>59</v>
      </c>
      <c r="F1146">
        <v>29</v>
      </c>
      <c r="G1146">
        <v>80</v>
      </c>
      <c r="H1146">
        <v>0.21</v>
      </c>
    </row>
    <row r="1147" spans="1:8" x14ac:dyDescent="0.25">
      <c r="A1147">
        <v>200001623</v>
      </c>
      <c r="B1147" t="s">
        <v>994</v>
      </c>
      <c r="C1147" s="2">
        <v>45159</v>
      </c>
      <c r="D1147" t="s">
        <v>2225</v>
      </c>
      <c r="E1147">
        <v>59</v>
      </c>
      <c r="F1147">
        <v>71</v>
      </c>
      <c r="G1147">
        <v>82</v>
      </c>
      <c r="H1147">
        <v>0.22</v>
      </c>
    </row>
    <row r="1148" spans="1:8" x14ac:dyDescent="0.25">
      <c r="A1148">
        <v>200001625</v>
      </c>
      <c r="B1148" t="s">
        <v>995</v>
      </c>
      <c r="C1148" s="2">
        <v>45159</v>
      </c>
      <c r="D1148" t="s">
        <v>2225</v>
      </c>
      <c r="E1148">
        <v>59</v>
      </c>
      <c r="F1148">
        <v>39</v>
      </c>
      <c r="G1148">
        <v>32</v>
      </c>
      <c r="H1148">
        <v>0.08</v>
      </c>
    </row>
    <row r="1149" spans="1:8" x14ac:dyDescent="0.25">
      <c r="A1149">
        <v>200004953</v>
      </c>
      <c r="B1149" t="s">
        <v>2228</v>
      </c>
      <c r="C1149" s="2">
        <v>44113</v>
      </c>
      <c r="D1149" t="s">
        <v>1229</v>
      </c>
      <c r="E1149">
        <v>14.17</v>
      </c>
      <c r="F1149">
        <v>0</v>
      </c>
      <c r="G1149">
        <v>10</v>
      </c>
      <c r="H1149">
        <v>0.02</v>
      </c>
    </row>
    <row r="1150" spans="1:8" x14ac:dyDescent="0.25">
      <c r="A1150">
        <v>200004582</v>
      </c>
      <c r="B1150" t="s">
        <v>2229</v>
      </c>
      <c r="C1150" s="2">
        <v>44113</v>
      </c>
      <c r="D1150" t="s">
        <v>1229</v>
      </c>
      <c r="E1150">
        <v>27.45</v>
      </c>
      <c r="F1150">
        <v>0</v>
      </c>
      <c r="G1150">
        <v>49</v>
      </c>
      <c r="H1150">
        <v>0.13</v>
      </c>
    </row>
    <row r="1151" spans="1:8" x14ac:dyDescent="0.25">
      <c r="A1151">
        <v>200003488</v>
      </c>
      <c r="B1151" t="s">
        <v>2230</v>
      </c>
      <c r="C1151" s="2">
        <v>45126</v>
      </c>
      <c r="D1151" t="s">
        <v>1459</v>
      </c>
      <c r="E1151">
        <v>20</v>
      </c>
      <c r="F1151">
        <v>9</v>
      </c>
      <c r="G1151">
        <v>20</v>
      </c>
      <c r="H1151">
        <v>0.05</v>
      </c>
    </row>
    <row r="1152" spans="1:8" x14ac:dyDescent="0.25">
      <c r="A1152">
        <v>200004581</v>
      </c>
      <c r="B1152" t="s">
        <v>2231</v>
      </c>
      <c r="C1152" s="2">
        <v>44902</v>
      </c>
      <c r="D1152" t="s">
        <v>1459</v>
      </c>
      <c r="E1152">
        <v>20</v>
      </c>
      <c r="F1152">
        <v>0</v>
      </c>
      <c r="G1152">
        <v>15</v>
      </c>
      <c r="H1152">
        <v>0.04</v>
      </c>
    </row>
    <row r="1153" spans="1:8" x14ac:dyDescent="0.25">
      <c r="A1153">
        <v>200003486</v>
      </c>
      <c r="B1153" t="s">
        <v>2232</v>
      </c>
      <c r="C1153" s="2">
        <v>44113</v>
      </c>
      <c r="D1153" t="s">
        <v>1229</v>
      </c>
      <c r="E1153">
        <v>15.7</v>
      </c>
      <c r="F1153">
        <v>0</v>
      </c>
      <c r="G1153">
        <v>63</v>
      </c>
      <c r="H1153">
        <v>0.17</v>
      </c>
    </row>
    <row r="1154" spans="1:8" x14ac:dyDescent="0.25">
      <c r="A1154">
        <v>200003483</v>
      </c>
      <c r="B1154" t="s">
        <v>2233</v>
      </c>
      <c r="C1154" s="2">
        <v>44113</v>
      </c>
      <c r="D1154" t="s">
        <v>1229</v>
      </c>
      <c r="E1154">
        <v>17.649999999999999</v>
      </c>
      <c r="F1154">
        <v>9</v>
      </c>
      <c r="G1154">
        <v>2</v>
      </c>
      <c r="H1154">
        <v>0</v>
      </c>
    </row>
    <row r="1155" spans="1:8" x14ac:dyDescent="0.25">
      <c r="A1155">
        <v>200002606</v>
      </c>
      <c r="B1155" t="s">
        <v>2234</v>
      </c>
      <c r="C1155" s="2">
        <v>44113</v>
      </c>
      <c r="D1155" t="s">
        <v>1229</v>
      </c>
      <c r="E1155">
        <v>20.2</v>
      </c>
      <c r="F1155">
        <v>0</v>
      </c>
      <c r="G1155">
        <v>29</v>
      </c>
      <c r="H1155">
        <v>7.0000000000000007E-2</v>
      </c>
    </row>
    <row r="1156" spans="1:8" x14ac:dyDescent="0.25">
      <c r="A1156">
        <v>200006341</v>
      </c>
      <c r="B1156" t="s">
        <v>2235</v>
      </c>
      <c r="C1156" s="2">
        <v>45096</v>
      </c>
      <c r="D1156" t="s">
        <v>2005</v>
      </c>
      <c r="E1156">
        <v>2214.33</v>
      </c>
      <c r="F1156">
        <v>0</v>
      </c>
      <c r="G1156">
        <v>1</v>
      </c>
      <c r="H1156">
        <v>0</v>
      </c>
    </row>
    <row r="1157" spans="1:8" x14ac:dyDescent="0.25">
      <c r="A1157">
        <v>200001221</v>
      </c>
      <c r="B1157" t="s">
        <v>1415</v>
      </c>
      <c r="C1157" s="2">
        <v>44424</v>
      </c>
      <c r="D1157" t="s">
        <v>1157</v>
      </c>
      <c r="E1157">
        <v>5.3</v>
      </c>
      <c r="F1157">
        <v>0</v>
      </c>
      <c r="G1157">
        <v>144</v>
      </c>
      <c r="H1157">
        <v>0.39</v>
      </c>
    </row>
    <row r="1158" spans="1:8" x14ac:dyDescent="0.25">
      <c r="A1158">
        <v>200002103</v>
      </c>
      <c r="B1158" t="s">
        <v>2236</v>
      </c>
      <c r="C1158" s="2">
        <v>44854</v>
      </c>
      <c r="D1158" t="s">
        <v>1157</v>
      </c>
      <c r="E1158">
        <v>3.96</v>
      </c>
      <c r="F1158">
        <v>628</v>
      </c>
      <c r="G1158">
        <v>229</v>
      </c>
      <c r="H1158">
        <v>0.62</v>
      </c>
    </row>
    <row r="1159" spans="1:8" x14ac:dyDescent="0.25">
      <c r="A1159">
        <v>200004920</v>
      </c>
      <c r="B1159" t="s">
        <v>2237</v>
      </c>
      <c r="C1159" s="2">
        <v>43810</v>
      </c>
      <c r="D1159" t="s">
        <v>1523</v>
      </c>
      <c r="E1159">
        <v>9.33</v>
      </c>
      <c r="F1159">
        <v>18</v>
      </c>
      <c r="G1159">
        <v>4</v>
      </c>
      <c r="H1159">
        <v>0.01</v>
      </c>
    </row>
    <row r="1160" spans="1:8" x14ac:dyDescent="0.25">
      <c r="A1160">
        <v>200001514</v>
      </c>
      <c r="B1160" t="s">
        <v>2238</v>
      </c>
      <c r="C1160" s="2">
        <v>44355</v>
      </c>
      <c r="D1160" t="s">
        <v>1221</v>
      </c>
      <c r="E1160">
        <v>16</v>
      </c>
      <c r="F1160">
        <v>644</v>
      </c>
      <c r="G1160">
        <v>210</v>
      </c>
      <c r="H1160">
        <v>0.56999999999999995</v>
      </c>
    </row>
    <row r="1161" spans="1:8" x14ac:dyDescent="0.25">
      <c r="A1161">
        <v>200004593</v>
      </c>
      <c r="B1161" t="s">
        <v>1416</v>
      </c>
      <c r="C1161" s="2">
        <v>44743</v>
      </c>
      <c r="D1161" t="s">
        <v>1221</v>
      </c>
      <c r="E1161">
        <v>24</v>
      </c>
      <c r="F1161">
        <v>1695</v>
      </c>
      <c r="G1161">
        <v>780</v>
      </c>
      <c r="H1161">
        <v>2.13</v>
      </c>
    </row>
    <row r="1162" spans="1:8" x14ac:dyDescent="0.25">
      <c r="A1162">
        <v>200004924</v>
      </c>
      <c r="B1162" t="s">
        <v>2239</v>
      </c>
      <c r="C1162" s="2">
        <v>43811</v>
      </c>
      <c r="D1162" t="s">
        <v>1523</v>
      </c>
      <c r="E1162">
        <v>47.03</v>
      </c>
      <c r="F1162">
        <v>23</v>
      </c>
      <c r="G1162">
        <v>2</v>
      </c>
      <c r="H1162">
        <v>0</v>
      </c>
    </row>
    <row r="1163" spans="1:8" x14ac:dyDescent="0.25">
      <c r="A1163">
        <v>200002104</v>
      </c>
      <c r="B1163" t="s">
        <v>1417</v>
      </c>
      <c r="C1163" s="2">
        <v>44854</v>
      </c>
      <c r="D1163" t="s">
        <v>1157</v>
      </c>
      <c r="E1163">
        <v>6.09</v>
      </c>
      <c r="F1163">
        <v>1666</v>
      </c>
      <c r="G1163">
        <v>1472</v>
      </c>
      <c r="H1163">
        <v>4.03</v>
      </c>
    </row>
    <row r="1164" spans="1:8" x14ac:dyDescent="0.25">
      <c r="A1164">
        <v>200002105</v>
      </c>
      <c r="B1164" t="s">
        <v>1418</v>
      </c>
      <c r="C1164" s="2">
        <v>44854</v>
      </c>
      <c r="D1164" t="s">
        <v>1157</v>
      </c>
      <c r="E1164">
        <v>5.99</v>
      </c>
      <c r="F1164">
        <v>207</v>
      </c>
      <c r="G1164">
        <v>628</v>
      </c>
      <c r="H1164">
        <v>1.72</v>
      </c>
    </row>
    <row r="1165" spans="1:8" x14ac:dyDescent="0.25">
      <c r="A1165">
        <v>200002059</v>
      </c>
      <c r="B1165" t="s">
        <v>2240</v>
      </c>
      <c r="C1165" s="2">
        <v>44890</v>
      </c>
      <c r="D1165" t="s">
        <v>1229</v>
      </c>
      <c r="E1165">
        <v>19.41</v>
      </c>
      <c r="F1165">
        <v>10</v>
      </c>
      <c r="G1165">
        <v>11</v>
      </c>
      <c r="H1165">
        <v>0.03</v>
      </c>
    </row>
    <row r="1166" spans="1:8" x14ac:dyDescent="0.25">
      <c r="A1166">
        <v>200005464</v>
      </c>
      <c r="B1166" t="s">
        <v>2241</v>
      </c>
      <c r="C1166" s="2">
        <v>44890</v>
      </c>
      <c r="D1166" t="s">
        <v>1229</v>
      </c>
      <c r="E1166">
        <v>31.32</v>
      </c>
      <c r="F1166">
        <v>8</v>
      </c>
      <c r="G1166">
        <v>7</v>
      </c>
      <c r="H1166">
        <v>0.01</v>
      </c>
    </row>
    <row r="1167" spans="1:8" x14ac:dyDescent="0.25">
      <c r="A1167">
        <v>200002218</v>
      </c>
      <c r="B1167" t="s">
        <v>1001</v>
      </c>
      <c r="C1167" s="2">
        <v>44907</v>
      </c>
      <c r="D1167" t="s">
        <v>1229</v>
      </c>
      <c r="E1167">
        <v>119.33</v>
      </c>
      <c r="F1167">
        <v>11</v>
      </c>
      <c r="G1167">
        <v>1</v>
      </c>
      <c r="H1167">
        <v>0</v>
      </c>
    </row>
    <row r="1168" spans="1:8" x14ac:dyDescent="0.25">
      <c r="A1168">
        <v>200002219</v>
      </c>
      <c r="B1168" t="s">
        <v>1002</v>
      </c>
      <c r="C1168" s="2">
        <v>44907</v>
      </c>
      <c r="D1168" t="s">
        <v>1229</v>
      </c>
      <c r="E1168">
        <v>415.87</v>
      </c>
      <c r="F1168">
        <v>27</v>
      </c>
      <c r="G1168">
        <v>2</v>
      </c>
      <c r="H1168">
        <v>0</v>
      </c>
    </row>
    <row r="1169" spans="1:8" x14ac:dyDescent="0.25">
      <c r="A1169">
        <v>200005231</v>
      </c>
      <c r="B1169" t="s">
        <v>1007</v>
      </c>
      <c r="C1169" s="2">
        <v>44820</v>
      </c>
      <c r="D1169" t="s">
        <v>1229</v>
      </c>
      <c r="E1169">
        <v>278.33</v>
      </c>
      <c r="F1169">
        <v>69</v>
      </c>
      <c r="G1169">
        <v>9</v>
      </c>
      <c r="H1169">
        <v>0.02</v>
      </c>
    </row>
    <row r="1170" spans="1:8" x14ac:dyDescent="0.25">
      <c r="A1170">
        <v>200003671</v>
      </c>
      <c r="B1170" t="s">
        <v>1009</v>
      </c>
      <c r="C1170" s="2">
        <v>44820</v>
      </c>
      <c r="D1170" t="s">
        <v>1229</v>
      </c>
      <c r="E1170">
        <v>408.5</v>
      </c>
      <c r="F1170">
        <v>36</v>
      </c>
      <c r="G1170">
        <v>10</v>
      </c>
      <c r="H1170">
        <v>0.02</v>
      </c>
    </row>
    <row r="1171" spans="1:8" x14ac:dyDescent="0.25">
      <c r="A1171">
        <v>200003672</v>
      </c>
      <c r="B1171" t="s">
        <v>1010</v>
      </c>
      <c r="C1171" s="2">
        <v>44820</v>
      </c>
      <c r="D1171" t="s">
        <v>1229</v>
      </c>
      <c r="E1171">
        <v>243.56</v>
      </c>
      <c r="F1171">
        <v>62</v>
      </c>
      <c r="G1171">
        <v>75</v>
      </c>
      <c r="H1171">
        <v>0.2</v>
      </c>
    </row>
    <row r="1172" spans="1:8" x14ac:dyDescent="0.25">
      <c r="A1172">
        <v>200004133</v>
      </c>
      <c r="B1172" t="s">
        <v>1014</v>
      </c>
      <c r="C1172" s="2">
        <v>44820</v>
      </c>
      <c r="D1172" t="s">
        <v>1229</v>
      </c>
      <c r="E1172">
        <v>268.25</v>
      </c>
      <c r="F1172">
        <v>5</v>
      </c>
      <c r="G1172">
        <v>36</v>
      </c>
      <c r="H1172">
        <v>0.09</v>
      </c>
    </row>
    <row r="1173" spans="1:8" x14ac:dyDescent="0.25">
      <c r="A1173">
        <v>200002224</v>
      </c>
      <c r="B1173" t="s">
        <v>1026</v>
      </c>
      <c r="C1173" s="2">
        <v>44820</v>
      </c>
      <c r="D1173" t="s">
        <v>1229</v>
      </c>
      <c r="E1173">
        <v>93</v>
      </c>
      <c r="F1173">
        <v>114</v>
      </c>
      <c r="G1173">
        <v>40</v>
      </c>
      <c r="H1173">
        <v>0.1</v>
      </c>
    </row>
    <row r="1174" spans="1:8" x14ac:dyDescent="0.25">
      <c r="A1174">
        <v>200002525</v>
      </c>
      <c r="B1174" t="s">
        <v>2242</v>
      </c>
      <c r="C1174" s="2">
        <v>42558</v>
      </c>
      <c r="D1174" t="s">
        <v>1505</v>
      </c>
      <c r="E1174">
        <v>29.91</v>
      </c>
      <c r="F1174">
        <v>0</v>
      </c>
      <c r="G1174">
        <v>26</v>
      </c>
      <c r="H1174">
        <v>7.0000000000000007E-2</v>
      </c>
    </row>
    <row r="1175" spans="1:8" x14ac:dyDescent="0.25">
      <c r="A1175">
        <v>200005992</v>
      </c>
      <c r="B1175" t="s">
        <v>1028</v>
      </c>
      <c r="C1175" s="2">
        <v>44537</v>
      </c>
      <c r="D1175" t="s">
        <v>1302</v>
      </c>
      <c r="E1175">
        <v>136.63999999999999</v>
      </c>
      <c r="F1175">
        <v>0</v>
      </c>
      <c r="G1175">
        <v>13</v>
      </c>
      <c r="H1175">
        <v>0.03</v>
      </c>
    </row>
    <row r="1176" spans="1:8" x14ac:dyDescent="0.25">
      <c r="A1176">
        <v>200006079</v>
      </c>
      <c r="B1176" t="s">
        <v>2243</v>
      </c>
      <c r="C1176" s="2">
        <v>44980</v>
      </c>
      <c r="D1176" t="s">
        <v>1167</v>
      </c>
      <c r="E1176">
        <v>3.13</v>
      </c>
      <c r="F1176">
        <v>35</v>
      </c>
      <c r="G1176">
        <v>114</v>
      </c>
      <c r="H1176">
        <v>0.31</v>
      </c>
    </row>
    <row r="1177" spans="1:8" x14ac:dyDescent="0.25">
      <c r="A1177">
        <v>200000682</v>
      </c>
      <c r="B1177" t="s">
        <v>1419</v>
      </c>
      <c r="C1177" s="2">
        <v>45202</v>
      </c>
      <c r="D1177" t="s">
        <v>1229</v>
      </c>
      <c r="E1177">
        <v>8.07</v>
      </c>
      <c r="F1177">
        <v>151</v>
      </c>
      <c r="G1177">
        <v>259</v>
      </c>
      <c r="H1177">
        <v>0.7</v>
      </c>
    </row>
    <row r="1178" spans="1:8" x14ac:dyDescent="0.25">
      <c r="A1178">
        <v>200000683</v>
      </c>
      <c r="B1178" t="s">
        <v>1420</v>
      </c>
      <c r="C1178" s="2">
        <v>45202</v>
      </c>
      <c r="D1178" t="s">
        <v>1229</v>
      </c>
      <c r="E1178">
        <v>11.81</v>
      </c>
      <c r="F1178">
        <v>240</v>
      </c>
      <c r="G1178">
        <v>658</v>
      </c>
      <c r="H1178">
        <v>1.8</v>
      </c>
    </row>
    <row r="1179" spans="1:8" x14ac:dyDescent="0.25">
      <c r="A1179">
        <v>200001642</v>
      </c>
      <c r="B1179" t="s">
        <v>1421</v>
      </c>
      <c r="C1179" s="2">
        <v>45202</v>
      </c>
      <c r="D1179" t="s">
        <v>1229</v>
      </c>
      <c r="E1179">
        <v>14.53</v>
      </c>
      <c r="F1179">
        <v>101</v>
      </c>
      <c r="G1179">
        <v>271</v>
      </c>
      <c r="H1179">
        <v>0.74</v>
      </c>
    </row>
    <row r="1180" spans="1:8" x14ac:dyDescent="0.25">
      <c r="A1180">
        <v>200004399</v>
      </c>
      <c r="B1180" t="s">
        <v>2244</v>
      </c>
      <c r="C1180" s="2">
        <v>45096</v>
      </c>
      <c r="D1180" t="s">
        <v>2005</v>
      </c>
      <c r="E1180">
        <v>303</v>
      </c>
      <c r="F1180">
        <v>0</v>
      </c>
      <c r="G1180">
        <v>4</v>
      </c>
      <c r="H1180">
        <v>0.01</v>
      </c>
    </row>
    <row r="1181" spans="1:8" x14ac:dyDescent="0.25">
      <c r="A1181">
        <v>200003552</v>
      </c>
      <c r="B1181" t="s">
        <v>2245</v>
      </c>
      <c r="C1181" s="2">
        <v>45078</v>
      </c>
      <c r="D1181" t="s">
        <v>1581</v>
      </c>
      <c r="E1181">
        <v>2286</v>
      </c>
      <c r="F1181">
        <v>0</v>
      </c>
      <c r="G1181">
        <v>3</v>
      </c>
      <c r="H1181">
        <v>0</v>
      </c>
    </row>
    <row r="1182" spans="1:8" x14ac:dyDescent="0.25">
      <c r="A1182">
        <v>200002189</v>
      </c>
      <c r="B1182" t="s">
        <v>2246</v>
      </c>
      <c r="C1182" s="2">
        <v>44147</v>
      </c>
      <c r="D1182" t="s">
        <v>1180</v>
      </c>
      <c r="E1182">
        <v>5.8</v>
      </c>
      <c r="F1182">
        <v>151</v>
      </c>
      <c r="G1182">
        <v>10</v>
      </c>
      <c r="H1182">
        <v>0.02</v>
      </c>
    </row>
    <row r="1183" spans="1:8" x14ac:dyDescent="0.25">
      <c r="A1183">
        <v>200005710</v>
      </c>
      <c r="B1183" t="s">
        <v>1422</v>
      </c>
      <c r="C1183" s="2">
        <v>45273</v>
      </c>
      <c r="D1183" t="s">
        <v>1180</v>
      </c>
      <c r="E1183">
        <v>378</v>
      </c>
      <c r="F1183">
        <v>49</v>
      </c>
      <c r="G1183">
        <v>36</v>
      </c>
      <c r="H1183">
        <v>0.09</v>
      </c>
    </row>
    <row r="1184" spans="1:8" x14ac:dyDescent="0.25">
      <c r="A1184">
        <v>200005711</v>
      </c>
      <c r="B1184" t="s">
        <v>1423</v>
      </c>
      <c r="C1184" s="2">
        <v>45273</v>
      </c>
      <c r="D1184" t="s">
        <v>1180</v>
      </c>
      <c r="E1184">
        <v>182</v>
      </c>
      <c r="F1184">
        <v>91</v>
      </c>
      <c r="G1184">
        <v>70</v>
      </c>
      <c r="H1184">
        <v>0.19</v>
      </c>
    </row>
    <row r="1185" spans="1:8" x14ac:dyDescent="0.25">
      <c r="A1185">
        <v>200005713</v>
      </c>
      <c r="B1185" t="s">
        <v>2247</v>
      </c>
      <c r="C1185" s="2">
        <v>45273</v>
      </c>
      <c r="D1185" t="s">
        <v>1180</v>
      </c>
      <c r="E1185">
        <v>590</v>
      </c>
      <c r="F1185">
        <v>15</v>
      </c>
      <c r="G1185">
        <v>4</v>
      </c>
      <c r="H1185">
        <v>0.01</v>
      </c>
    </row>
    <row r="1186" spans="1:8" x14ac:dyDescent="0.25">
      <c r="A1186">
        <v>200005712</v>
      </c>
      <c r="B1186" t="s">
        <v>1424</v>
      </c>
      <c r="C1186" s="2">
        <v>45273</v>
      </c>
      <c r="D1186" t="s">
        <v>1180</v>
      </c>
      <c r="E1186">
        <v>279.97000000000003</v>
      </c>
      <c r="F1186">
        <v>94</v>
      </c>
      <c r="G1186">
        <v>9</v>
      </c>
      <c r="H1186">
        <v>0.02</v>
      </c>
    </row>
    <row r="1187" spans="1:8" x14ac:dyDescent="0.25">
      <c r="A1187">
        <v>200005714</v>
      </c>
      <c r="B1187" t="s">
        <v>2248</v>
      </c>
      <c r="C1187" s="2">
        <v>45273</v>
      </c>
      <c r="D1187" t="s">
        <v>1180</v>
      </c>
      <c r="E1187">
        <v>461.37</v>
      </c>
      <c r="F1187">
        <v>44</v>
      </c>
      <c r="G1187">
        <v>44</v>
      </c>
      <c r="H1187">
        <v>0.12</v>
      </c>
    </row>
    <row r="1188" spans="1:8" x14ac:dyDescent="0.25">
      <c r="A1188">
        <v>200003673</v>
      </c>
      <c r="B1188" t="s">
        <v>1045</v>
      </c>
      <c r="C1188" s="2">
        <v>44907</v>
      </c>
      <c r="D1188" t="s">
        <v>1229</v>
      </c>
      <c r="E1188">
        <v>36.03</v>
      </c>
      <c r="F1188">
        <v>12</v>
      </c>
      <c r="G1188">
        <v>10</v>
      </c>
      <c r="H1188">
        <v>0.02</v>
      </c>
    </row>
    <row r="1189" spans="1:8" x14ac:dyDescent="0.25">
      <c r="A1189">
        <v>200003666</v>
      </c>
      <c r="B1189" t="s">
        <v>2249</v>
      </c>
      <c r="C1189" s="2">
        <v>42635</v>
      </c>
      <c r="D1189" t="s">
        <v>1400</v>
      </c>
      <c r="E1189">
        <v>66.05</v>
      </c>
      <c r="F1189">
        <v>0</v>
      </c>
      <c r="G1189">
        <v>5</v>
      </c>
      <c r="H1189">
        <v>0.01</v>
      </c>
    </row>
    <row r="1190" spans="1:8" x14ac:dyDescent="0.25">
      <c r="A1190">
        <v>200003667</v>
      </c>
      <c r="B1190" t="s">
        <v>2250</v>
      </c>
      <c r="C1190" s="2">
        <v>42635</v>
      </c>
      <c r="D1190" t="s">
        <v>1400</v>
      </c>
      <c r="E1190">
        <v>32.15</v>
      </c>
      <c r="F1190">
        <v>0</v>
      </c>
      <c r="G1190">
        <v>7</v>
      </c>
      <c r="H1190">
        <v>0.01</v>
      </c>
    </row>
    <row r="1191" spans="1:8" x14ac:dyDescent="0.25">
      <c r="A1191">
        <v>200003669</v>
      </c>
      <c r="B1191" t="s">
        <v>2251</v>
      </c>
      <c r="C1191" s="2">
        <v>42635</v>
      </c>
      <c r="D1191" t="s">
        <v>1400</v>
      </c>
      <c r="E1191">
        <v>66.3</v>
      </c>
      <c r="F1191">
        <v>0</v>
      </c>
      <c r="G1191">
        <v>3</v>
      </c>
      <c r="H1191">
        <v>0</v>
      </c>
    </row>
    <row r="1192" spans="1:8" x14ac:dyDescent="0.25">
      <c r="A1192">
        <v>200000688</v>
      </c>
      <c r="B1192" t="s">
        <v>1057</v>
      </c>
      <c r="C1192" s="2">
        <v>43896</v>
      </c>
      <c r="D1192" t="s">
        <v>1338</v>
      </c>
      <c r="E1192">
        <v>35.01</v>
      </c>
      <c r="F1192">
        <v>0</v>
      </c>
      <c r="G1192">
        <v>11</v>
      </c>
      <c r="H1192">
        <v>0.03</v>
      </c>
    </row>
    <row r="1193" spans="1:8" x14ac:dyDescent="0.25">
      <c r="A1193">
        <v>200002047</v>
      </c>
      <c r="B1193" t="s">
        <v>1060</v>
      </c>
      <c r="C1193" s="2">
        <v>44531</v>
      </c>
      <c r="D1193" t="s">
        <v>1200</v>
      </c>
      <c r="E1193">
        <v>82.94</v>
      </c>
      <c r="F1193">
        <v>0</v>
      </c>
      <c r="G1193">
        <v>3</v>
      </c>
      <c r="H1193">
        <v>0</v>
      </c>
    </row>
    <row r="1194" spans="1:8" x14ac:dyDescent="0.25">
      <c r="A1194">
        <v>200003580</v>
      </c>
      <c r="B1194" t="s">
        <v>1061</v>
      </c>
      <c r="C1194" s="2">
        <v>44531</v>
      </c>
      <c r="D1194" t="s">
        <v>1200</v>
      </c>
      <c r="E1194">
        <v>144.80000000000001</v>
      </c>
      <c r="F1194">
        <v>1</v>
      </c>
      <c r="G1194">
        <v>3</v>
      </c>
      <c r="H1194">
        <v>0</v>
      </c>
    </row>
    <row r="1195" spans="1:8" x14ac:dyDescent="0.25">
      <c r="A1195">
        <v>200003581</v>
      </c>
      <c r="B1195" t="s">
        <v>1062</v>
      </c>
      <c r="C1195" s="2">
        <v>43893</v>
      </c>
      <c r="D1195" t="s">
        <v>1338</v>
      </c>
      <c r="E1195">
        <v>117.45</v>
      </c>
      <c r="F1195">
        <v>3</v>
      </c>
      <c r="G1195">
        <v>4</v>
      </c>
      <c r="H1195">
        <v>0.01</v>
      </c>
    </row>
    <row r="1196" spans="1:8" x14ac:dyDescent="0.25">
      <c r="A1196">
        <v>200002040</v>
      </c>
      <c r="B1196" t="s">
        <v>1063</v>
      </c>
      <c r="C1196" s="2">
        <v>44531</v>
      </c>
      <c r="D1196" t="s">
        <v>1200</v>
      </c>
      <c r="E1196">
        <v>50.25</v>
      </c>
      <c r="F1196">
        <v>0</v>
      </c>
      <c r="G1196">
        <v>2</v>
      </c>
      <c r="H1196">
        <v>0</v>
      </c>
    </row>
    <row r="1197" spans="1:8" x14ac:dyDescent="0.25">
      <c r="A1197">
        <v>200001587</v>
      </c>
      <c r="B1197" t="s">
        <v>1064</v>
      </c>
      <c r="C1197" s="2">
        <v>44531</v>
      </c>
      <c r="D1197" t="s">
        <v>1200</v>
      </c>
      <c r="E1197">
        <v>150.26</v>
      </c>
      <c r="F1197">
        <v>15</v>
      </c>
      <c r="G1197">
        <v>1</v>
      </c>
      <c r="H1197">
        <v>0</v>
      </c>
    </row>
    <row r="1198" spans="1:8" x14ac:dyDescent="0.25">
      <c r="A1198">
        <v>200000686</v>
      </c>
      <c r="B1198" t="s">
        <v>1065</v>
      </c>
      <c r="C1198" s="2">
        <v>43892</v>
      </c>
      <c r="D1198" t="s">
        <v>1338</v>
      </c>
      <c r="E1198">
        <v>12</v>
      </c>
      <c r="F1198">
        <v>0</v>
      </c>
      <c r="G1198">
        <v>7</v>
      </c>
      <c r="H1198">
        <v>0.01</v>
      </c>
    </row>
    <row r="1199" spans="1:8" x14ac:dyDescent="0.25">
      <c r="A1199">
        <v>200001585</v>
      </c>
      <c r="B1199" t="s">
        <v>2252</v>
      </c>
      <c r="C1199" s="2">
        <v>43892</v>
      </c>
      <c r="D1199" t="s">
        <v>1338</v>
      </c>
      <c r="E1199">
        <v>19</v>
      </c>
      <c r="F1199">
        <v>0</v>
      </c>
      <c r="G1199">
        <v>1</v>
      </c>
      <c r="H1199">
        <v>0</v>
      </c>
    </row>
    <row r="1200" spans="1:8" x14ac:dyDescent="0.25">
      <c r="A1200">
        <v>200001586</v>
      </c>
      <c r="B1200" t="s">
        <v>1069</v>
      </c>
      <c r="C1200" s="2">
        <v>43892</v>
      </c>
      <c r="D1200" t="s">
        <v>1338</v>
      </c>
      <c r="E1200">
        <v>26</v>
      </c>
      <c r="F1200">
        <v>1</v>
      </c>
      <c r="G1200">
        <v>21</v>
      </c>
      <c r="H1200">
        <v>0.05</v>
      </c>
    </row>
    <row r="1201" spans="1:8" x14ac:dyDescent="0.25">
      <c r="A1201">
        <v>200004964</v>
      </c>
      <c r="B1201" t="s">
        <v>1425</v>
      </c>
      <c r="C1201" s="2">
        <v>45273</v>
      </c>
      <c r="D1201" t="s">
        <v>1180</v>
      </c>
      <c r="E1201">
        <v>2.44</v>
      </c>
      <c r="F1201">
        <v>669</v>
      </c>
      <c r="G1201">
        <v>185</v>
      </c>
      <c r="H1201">
        <v>0.5</v>
      </c>
    </row>
    <row r="1202" spans="1:8" x14ac:dyDescent="0.25">
      <c r="A1202">
        <v>200005065</v>
      </c>
      <c r="B1202" t="s">
        <v>2253</v>
      </c>
      <c r="C1202" s="2">
        <v>45273</v>
      </c>
      <c r="D1202" t="s">
        <v>1180</v>
      </c>
      <c r="E1202">
        <v>1.56</v>
      </c>
      <c r="F1202">
        <v>903</v>
      </c>
      <c r="G1202">
        <v>222</v>
      </c>
      <c r="H1202">
        <v>0.6</v>
      </c>
    </row>
    <row r="1203" spans="1:8" x14ac:dyDescent="0.25">
      <c r="A1203">
        <v>200004961</v>
      </c>
      <c r="B1203" t="s">
        <v>2254</v>
      </c>
      <c r="C1203" s="2">
        <v>45273</v>
      </c>
      <c r="D1203" t="s">
        <v>1180</v>
      </c>
      <c r="E1203">
        <v>2.91</v>
      </c>
      <c r="F1203">
        <v>310</v>
      </c>
      <c r="G1203">
        <v>7</v>
      </c>
      <c r="H1203">
        <v>0.01</v>
      </c>
    </row>
    <row r="1204" spans="1:8" x14ac:dyDescent="0.25">
      <c r="A1204">
        <v>200004962</v>
      </c>
      <c r="B1204" t="s">
        <v>1426</v>
      </c>
      <c r="C1204" s="2">
        <v>45273</v>
      </c>
      <c r="D1204" t="s">
        <v>1180</v>
      </c>
      <c r="E1204">
        <v>1.93</v>
      </c>
      <c r="F1204">
        <v>916</v>
      </c>
      <c r="G1204">
        <v>60</v>
      </c>
      <c r="H1204">
        <v>0.16</v>
      </c>
    </row>
    <row r="1205" spans="1:8" x14ac:dyDescent="0.25">
      <c r="A1205">
        <v>200004963</v>
      </c>
      <c r="B1205" t="s">
        <v>1427</v>
      </c>
      <c r="C1205" s="2">
        <v>45273</v>
      </c>
      <c r="D1205" t="s">
        <v>1180</v>
      </c>
      <c r="E1205">
        <v>2.65</v>
      </c>
      <c r="F1205">
        <v>756</v>
      </c>
      <c r="G1205">
        <v>87</v>
      </c>
      <c r="H1205">
        <v>0.23</v>
      </c>
    </row>
    <row r="1206" spans="1:8" x14ac:dyDescent="0.25">
      <c r="A1206">
        <v>200002166</v>
      </c>
      <c r="B1206" t="s">
        <v>2255</v>
      </c>
      <c r="C1206" s="2">
        <v>44658</v>
      </c>
      <c r="D1206" t="s">
        <v>1302</v>
      </c>
      <c r="E1206">
        <v>90</v>
      </c>
      <c r="F1206">
        <v>0</v>
      </c>
      <c r="G1206">
        <v>36</v>
      </c>
      <c r="H1206">
        <v>0.09</v>
      </c>
    </row>
    <row r="1207" spans="1:8" x14ac:dyDescent="0.25">
      <c r="A1207">
        <v>200003430</v>
      </c>
      <c r="B1207" t="s">
        <v>1076</v>
      </c>
      <c r="C1207" s="2">
        <v>44658</v>
      </c>
      <c r="D1207" t="s">
        <v>1302</v>
      </c>
      <c r="E1207">
        <v>70</v>
      </c>
      <c r="F1207">
        <v>0</v>
      </c>
      <c r="G1207">
        <v>20</v>
      </c>
      <c r="H1207">
        <v>0.05</v>
      </c>
    </row>
    <row r="1208" spans="1:8" x14ac:dyDescent="0.25">
      <c r="A1208">
        <v>200002351</v>
      </c>
      <c r="B1208" t="s">
        <v>1079</v>
      </c>
      <c r="C1208" s="2">
        <v>43893</v>
      </c>
      <c r="D1208" t="s">
        <v>1338</v>
      </c>
      <c r="E1208">
        <v>13</v>
      </c>
      <c r="F1208">
        <v>0</v>
      </c>
      <c r="G1208">
        <v>5</v>
      </c>
      <c r="H1208">
        <v>0.01</v>
      </c>
    </row>
    <row r="1209" spans="1:8" x14ac:dyDescent="0.25">
      <c r="A1209">
        <v>200002352</v>
      </c>
      <c r="B1209" t="s">
        <v>1080</v>
      </c>
      <c r="C1209" s="2">
        <v>43893</v>
      </c>
      <c r="D1209" t="s">
        <v>1338</v>
      </c>
      <c r="E1209">
        <v>30.11</v>
      </c>
      <c r="F1209">
        <v>34</v>
      </c>
      <c r="G1209">
        <v>4</v>
      </c>
      <c r="H1209">
        <v>0.01</v>
      </c>
    </row>
    <row r="1210" spans="1:8" x14ac:dyDescent="0.25">
      <c r="A1210">
        <v>200003604</v>
      </c>
      <c r="B1210" t="s">
        <v>1087</v>
      </c>
      <c r="C1210" s="2">
        <v>44055</v>
      </c>
      <c r="D1210" t="s">
        <v>1338</v>
      </c>
      <c r="E1210">
        <v>3.59</v>
      </c>
      <c r="F1210">
        <v>27</v>
      </c>
      <c r="G1210">
        <v>3</v>
      </c>
      <c r="H1210">
        <v>0</v>
      </c>
    </row>
    <row r="1211" spans="1:8" x14ac:dyDescent="0.25">
      <c r="A1211">
        <v>200001047</v>
      </c>
      <c r="B1211" t="s">
        <v>1089</v>
      </c>
      <c r="C1211" s="2">
        <v>44055</v>
      </c>
      <c r="D1211" t="s">
        <v>1338</v>
      </c>
      <c r="E1211">
        <v>6</v>
      </c>
      <c r="F1211">
        <v>0</v>
      </c>
      <c r="G1211">
        <v>17</v>
      </c>
      <c r="H1211">
        <v>0.04</v>
      </c>
    </row>
    <row r="1212" spans="1:8" x14ac:dyDescent="0.25">
      <c r="A1212">
        <v>200003606</v>
      </c>
      <c r="B1212" t="s">
        <v>1090</v>
      </c>
      <c r="C1212" s="2">
        <v>43893</v>
      </c>
      <c r="D1212" t="s">
        <v>1338</v>
      </c>
      <c r="E1212">
        <v>12.61</v>
      </c>
      <c r="F1212">
        <v>79</v>
      </c>
      <c r="G1212">
        <v>4</v>
      </c>
      <c r="H1212">
        <v>0.01</v>
      </c>
    </row>
    <row r="1213" spans="1:8" x14ac:dyDescent="0.25">
      <c r="A1213">
        <v>200003607</v>
      </c>
      <c r="B1213" t="s">
        <v>1091</v>
      </c>
      <c r="C1213" s="2">
        <v>44531</v>
      </c>
      <c r="D1213" t="s">
        <v>1200</v>
      </c>
      <c r="E1213">
        <v>129.41</v>
      </c>
      <c r="F1213">
        <v>1</v>
      </c>
      <c r="G1213">
        <v>2</v>
      </c>
      <c r="H1213">
        <v>0</v>
      </c>
    </row>
    <row r="1214" spans="1:8" x14ac:dyDescent="0.25">
      <c r="A1214">
        <v>200005026</v>
      </c>
      <c r="B1214" t="s">
        <v>2256</v>
      </c>
      <c r="C1214" s="2">
        <v>44601</v>
      </c>
      <c r="D1214" t="s">
        <v>2257</v>
      </c>
      <c r="E1214">
        <v>160</v>
      </c>
      <c r="F1214">
        <v>0</v>
      </c>
      <c r="G1214">
        <v>1</v>
      </c>
      <c r="H1214">
        <v>0</v>
      </c>
    </row>
    <row r="1215" spans="1:8" x14ac:dyDescent="0.25">
      <c r="A1215">
        <v>200005027</v>
      </c>
      <c r="B1215" t="s">
        <v>2258</v>
      </c>
      <c r="C1215" s="2">
        <v>44601</v>
      </c>
      <c r="D1215" t="s">
        <v>2257</v>
      </c>
      <c r="E1215">
        <v>192</v>
      </c>
      <c r="F1215">
        <v>0</v>
      </c>
      <c r="G1215">
        <v>1</v>
      </c>
      <c r="H1215">
        <v>0</v>
      </c>
    </row>
    <row r="1216" spans="1:8" x14ac:dyDescent="0.25">
      <c r="A1216">
        <v>200002060</v>
      </c>
      <c r="B1216" t="s">
        <v>1095</v>
      </c>
      <c r="C1216" s="2">
        <v>44890</v>
      </c>
      <c r="D1216" t="s">
        <v>1229</v>
      </c>
      <c r="E1216">
        <v>9.8699999999999992</v>
      </c>
      <c r="F1216">
        <v>159</v>
      </c>
      <c r="G1216">
        <v>11</v>
      </c>
      <c r="H1216">
        <v>0.03</v>
      </c>
    </row>
    <row r="1217" spans="1:8" x14ac:dyDescent="0.25">
      <c r="A1217">
        <v>200004519</v>
      </c>
      <c r="B1217" t="s">
        <v>2259</v>
      </c>
      <c r="C1217" s="2">
        <v>45155</v>
      </c>
      <c r="D1217" t="s">
        <v>2260</v>
      </c>
      <c r="E1217">
        <v>213.9</v>
      </c>
      <c r="F1217">
        <v>69</v>
      </c>
      <c r="G1217">
        <v>18</v>
      </c>
      <c r="H1217">
        <v>0.04</v>
      </c>
    </row>
    <row r="1218" spans="1:8" x14ac:dyDescent="0.25">
      <c r="A1218">
        <v>200006219</v>
      </c>
      <c r="B1218" t="s">
        <v>2261</v>
      </c>
      <c r="C1218" s="2">
        <v>44950</v>
      </c>
      <c r="D1218" t="s">
        <v>2262</v>
      </c>
      <c r="E1218">
        <v>4621.8599999999997</v>
      </c>
      <c r="F1218">
        <v>0</v>
      </c>
      <c r="G1218">
        <v>3</v>
      </c>
      <c r="H1218">
        <v>0</v>
      </c>
    </row>
    <row r="1219" spans="1:8" x14ac:dyDescent="0.25">
      <c r="A1219">
        <v>200006057</v>
      </c>
      <c r="B1219" t="s">
        <v>2263</v>
      </c>
      <c r="C1219" s="2">
        <v>45126</v>
      </c>
      <c r="D1219" t="s">
        <v>1459</v>
      </c>
      <c r="E1219">
        <v>34.99</v>
      </c>
      <c r="F1219">
        <v>5</v>
      </c>
      <c r="G1219">
        <v>6</v>
      </c>
      <c r="H1219">
        <v>0.01</v>
      </c>
    </row>
    <row r="1220" spans="1:8" x14ac:dyDescent="0.25">
      <c r="A1220">
        <v>200004295</v>
      </c>
      <c r="B1220" t="s">
        <v>1100</v>
      </c>
      <c r="C1220" s="2">
        <v>44903</v>
      </c>
      <c r="D1220" t="s">
        <v>1229</v>
      </c>
      <c r="E1220">
        <v>46.23</v>
      </c>
      <c r="F1220">
        <v>6</v>
      </c>
      <c r="G1220">
        <v>14</v>
      </c>
      <c r="H1220">
        <v>0.03</v>
      </c>
    </row>
    <row r="1221" spans="1:8" x14ac:dyDescent="0.25">
      <c r="A1221">
        <v>200005146</v>
      </c>
      <c r="B1221" t="s">
        <v>1102</v>
      </c>
      <c r="C1221" s="2">
        <v>45068</v>
      </c>
      <c r="D1221" t="s">
        <v>1229</v>
      </c>
      <c r="E1221">
        <v>132.68</v>
      </c>
      <c r="F1221">
        <v>0</v>
      </c>
      <c r="G1221">
        <v>24</v>
      </c>
      <c r="H1221">
        <v>0.06</v>
      </c>
    </row>
    <row r="1222" spans="1:8" x14ac:dyDescent="0.25">
      <c r="A1222">
        <v>200003887</v>
      </c>
      <c r="B1222" t="s">
        <v>1106</v>
      </c>
      <c r="C1222" s="2">
        <v>45068</v>
      </c>
      <c r="D1222" t="s">
        <v>1229</v>
      </c>
      <c r="E1222">
        <v>139.72</v>
      </c>
      <c r="F1222">
        <v>4</v>
      </c>
      <c r="G1222">
        <v>6</v>
      </c>
      <c r="H1222">
        <v>0.01</v>
      </c>
    </row>
    <row r="1223" spans="1:8" x14ac:dyDescent="0.25">
      <c r="A1223">
        <v>200003129</v>
      </c>
      <c r="B1223" t="s">
        <v>1111</v>
      </c>
      <c r="C1223" s="2">
        <v>44823</v>
      </c>
      <c r="D1223" t="s">
        <v>2264</v>
      </c>
      <c r="E1223">
        <v>215.3</v>
      </c>
      <c r="F1223">
        <v>74</v>
      </c>
      <c r="G1223">
        <v>86</v>
      </c>
      <c r="H1223">
        <v>0.23</v>
      </c>
    </row>
    <row r="1224" spans="1:8" x14ac:dyDescent="0.25">
      <c r="A1224">
        <v>200000701</v>
      </c>
      <c r="B1224" t="s">
        <v>2265</v>
      </c>
      <c r="C1224" s="2">
        <v>44820</v>
      </c>
      <c r="D1224" t="s">
        <v>1229</v>
      </c>
      <c r="E1224">
        <v>273.02999999999997</v>
      </c>
      <c r="F1224">
        <v>0</v>
      </c>
      <c r="G1224">
        <v>50</v>
      </c>
      <c r="H1224">
        <v>0.13</v>
      </c>
    </row>
    <row r="1225" spans="1:8" x14ac:dyDescent="0.25">
      <c r="A1225">
        <v>200000700</v>
      </c>
      <c r="B1225" t="s">
        <v>2266</v>
      </c>
      <c r="C1225" s="2">
        <v>44910</v>
      </c>
      <c r="D1225" t="s">
        <v>1229</v>
      </c>
      <c r="E1225">
        <v>82.08</v>
      </c>
      <c r="F1225">
        <v>12</v>
      </c>
      <c r="G1225">
        <v>18</v>
      </c>
      <c r="H1225">
        <v>0.04</v>
      </c>
    </row>
    <row r="1226" spans="1:8" x14ac:dyDescent="0.25">
      <c r="A1226">
        <v>200002227</v>
      </c>
      <c r="B1226" t="s">
        <v>1122</v>
      </c>
      <c r="C1226" s="2">
        <v>44910</v>
      </c>
      <c r="D1226" t="s">
        <v>1229</v>
      </c>
      <c r="E1226">
        <v>57.67</v>
      </c>
      <c r="F1226">
        <v>25</v>
      </c>
      <c r="G1226">
        <v>34</v>
      </c>
      <c r="H1226">
        <v>0.09</v>
      </c>
    </row>
    <row r="1227" spans="1:8" x14ac:dyDescent="0.25">
      <c r="A1227">
        <v>200006046</v>
      </c>
      <c r="B1227" t="s">
        <v>2267</v>
      </c>
      <c r="C1227" s="2">
        <v>44820</v>
      </c>
      <c r="D1227" t="s">
        <v>1229</v>
      </c>
      <c r="E1227">
        <v>115.49</v>
      </c>
      <c r="F1227">
        <v>33</v>
      </c>
      <c r="G1227">
        <v>1</v>
      </c>
      <c r="H1227">
        <v>0</v>
      </c>
    </row>
    <row r="1228" spans="1:8" x14ac:dyDescent="0.25">
      <c r="A1228">
        <v>200003684</v>
      </c>
      <c r="B1228" t="s">
        <v>1125</v>
      </c>
      <c r="C1228" s="2">
        <v>44652</v>
      </c>
      <c r="D1228" t="s">
        <v>1163</v>
      </c>
      <c r="E1228">
        <v>85.72</v>
      </c>
      <c r="F1228">
        <v>4</v>
      </c>
      <c r="G1228">
        <v>2</v>
      </c>
      <c r="H1228">
        <v>0</v>
      </c>
    </row>
    <row r="1229" spans="1:8" x14ac:dyDescent="0.25">
      <c r="A1229">
        <v>200004841</v>
      </c>
      <c r="B1229" t="s">
        <v>2268</v>
      </c>
      <c r="C1229" s="2">
        <v>44841</v>
      </c>
      <c r="D1229" t="s">
        <v>1180</v>
      </c>
      <c r="E1229">
        <v>5</v>
      </c>
      <c r="F1229">
        <v>0</v>
      </c>
      <c r="G1229">
        <v>53</v>
      </c>
      <c r="H1229">
        <v>0.14000000000000001</v>
      </c>
    </row>
    <row r="1230" spans="1:8" x14ac:dyDescent="0.25">
      <c r="A1230">
        <v>200004893</v>
      </c>
      <c r="B1230" t="s">
        <v>1127</v>
      </c>
      <c r="C1230" s="2">
        <v>43879</v>
      </c>
      <c r="D1230" t="s">
        <v>1355</v>
      </c>
      <c r="E1230">
        <v>295.7</v>
      </c>
      <c r="F1230">
        <v>15</v>
      </c>
      <c r="G1230">
        <v>2</v>
      </c>
      <c r="H1230">
        <v>0</v>
      </c>
    </row>
    <row r="1231" spans="1:8" x14ac:dyDescent="0.25">
      <c r="A1231">
        <v>200006047</v>
      </c>
      <c r="B1231" t="s">
        <v>2269</v>
      </c>
      <c r="C1231" s="2">
        <v>44820</v>
      </c>
      <c r="D1231" t="s">
        <v>1229</v>
      </c>
      <c r="E1231">
        <v>296.31</v>
      </c>
      <c r="F1231">
        <v>30</v>
      </c>
      <c r="G1231">
        <v>2</v>
      </c>
      <c r="H1231">
        <v>0</v>
      </c>
    </row>
    <row r="1232" spans="1:8" x14ac:dyDescent="0.25">
      <c r="A1232">
        <v>200002226</v>
      </c>
      <c r="B1232" t="s">
        <v>1133</v>
      </c>
      <c r="C1232" s="2">
        <v>44907</v>
      </c>
      <c r="D1232" t="s">
        <v>1229</v>
      </c>
      <c r="E1232">
        <v>23.79</v>
      </c>
      <c r="F1232">
        <v>15</v>
      </c>
      <c r="G1232">
        <v>29</v>
      </c>
      <c r="H1232">
        <v>7.0000000000000007E-2</v>
      </c>
    </row>
    <row r="1233" spans="1:8" x14ac:dyDescent="0.25">
      <c r="A1233">
        <v>200003682</v>
      </c>
      <c r="B1233" t="s">
        <v>1137</v>
      </c>
      <c r="C1233" s="2">
        <v>44820</v>
      </c>
      <c r="D1233" t="s">
        <v>1229</v>
      </c>
      <c r="E1233">
        <v>127.51</v>
      </c>
      <c r="F1233">
        <v>54</v>
      </c>
      <c r="G1233">
        <v>3</v>
      </c>
      <c r="H1233">
        <v>0</v>
      </c>
    </row>
    <row r="1234" spans="1:8" x14ac:dyDescent="0.25">
      <c r="A1234">
        <v>200001626</v>
      </c>
      <c r="B1234" t="s">
        <v>1140</v>
      </c>
      <c r="C1234" s="2">
        <v>45202</v>
      </c>
      <c r="D1234" t="s">
        <v>1229</v>
      </c>
      <c r="E1234">
        <v>142.97</v>
      </c>
      <c r="F1234">
        <v>15</v>
      </c>
      <c r="G1234">
        <v>18</v>
      </c>
      <c r="H1234">
        <v>0.04</v>
      </c>
    </row>
    <row r="1235" spans="1:8" x14ac:dyDescent="0.25">
      <c r="A1235">
        <v>200005245</v>
      </c>
      <c r="B1235" t="s">
        <v>1429</v>
      </c>
      <c r="C1235" s="2">
        <v>44082</v>
      </c>
      <c r="D1235" t="s">
        <v>1430</v>
      </c>
      <c r="E1235">
        <v>12.8</v>
      </c>
      <c r="F1235">
        <v>0</v>
      </c>
      <c r="G1235">
        <v>727</v>
      </c>
      <c r="H1235">
        <v>1.99</v>
      </c>
    </row>
    <row r="1236" spans="1:8" x14ac:dyDescent="0.25">
      <c r="A1236">
        <v>200006350</v>
      </c>
      <c r="B1236" t="s">
        <v>2270</v>
      </c>
      <c r="C1236" s="2">
        <v>45132</v>
      </c>
      <c r="D1236" t="s">
        <v>1521</v>
      </c>
      <c r="E1236">
        <v>8.7799999999999994</v>
      </c>
      <c r="F1236">
        <v>78</v>
      </c>
      <c r="G1236">
        <v>46</v>
      </c>
      <c r="H1236">
        <v>0.12</v>
      </c>
    </row>
    <row r="1237" spans="1:8" x14ac:dyDescent="0.25">
      <c r="A1237">
        <v>200001772</v>
      </c>
      <c r="B1237" t="s">
        <v>1431</v>
      </c>
      <c r="C1237" s="2">
        <v>45261</v>
      </c>
      <c r="D1237" t="s">
        <v>1521</v>
      </c>
      <c r="E1237">
        <v>6.66</v>
      </c>
      <c r="F1237">
        <v>109</v>
      </c>
      <c r="G1237">
        <v>116</v>
      </c>
      <c r="H1237">
        <v>0.31</v>
      </c>
    </row>
    <row r="1238" spans="1:8" x14ac:dyDescent="0.25">
      <c r="A1238">
        <v>200002360</v>
      </c>
      <c r="B1238" t="s">
        <v>1141</v>
      </c>
      <c r="C1238" s="2">
        <v>41975</v>
      </c>
      <c r="D1238" t="s">
        <v>1556</v>
      </c>
      <c r="E1238">
        <v>19</v>
      </c>
      <c r="F1238">
        <v>0</v>
      </c>
      <c r="G1238">
        <v>7</v>
      </c>
      <c r="H1238">
        <v>0.01</v>
      </c>
    </row>
    <row r="1239" spans="1:8" x14ac:dyDescent="0.25">
      <c r="A1239">
        <v>200002361</v>
      </c>
      <c r="B1239" t="s">
        <v>1142</v>
      </c>
      <c r="C1239" s="2">
        <v>41975</v>
      </c>
      <c r="D1239" t="s">
        <v>1556</v>
      </c>
      <c r="E1239">
        <v>22</v>
      </c>
      <c r="F1239">
        <v>2</v>
      </c>
      <c r="G1239">
        <v>6</v>
      </c>
      <c r="H1239">
        <v>0.01</v>
      </c>
    </row>
    <row r="1240" spans="1:8" x14ac:dyDescent="0.25">
      <c r="A1240">
        <v>200001837</v>
      </c>
      <c r="B1240" t="s">
        <v>1143</v>
      </c>
      <c r="C1240" s="2">
        <v>45251</v>
      </c>
      <c r="D1240" t="s">
        <v>1229</v>
      </c>
      <c r="E1240">
        <v>21.33</v>
      </c>
      <c r="F1240">
        <v>3</v>
      </c>
      <c r="G1240">
        <v>124</v>
      </c>
      <c r="H1240">
        <v>0.33</v>
      </c>
    </row>
    <row r="1241" spans="1:8" x14ac:dyDescent="0.25">
      <c r="A1241">
        <v>200006054</v>
      </c>
      <c r="B1241" t="s">
        <v>2271</v>
      </c>
      <c r="C1241" s="2">
        <v>45126</v>
      </c>
      <c r="D1241" t="s">
        <v>1459</v>
      </c>
      <c r="E1241">
        <v>11</v>
      </c>
      <c r="F1241">
        <v>15</v>
      </c>
      <c r="G1241">
        <v>22</v>
      </c>
      <c r="H1241">
        <v>0.06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3A066-7A18-46E0-9B5B-EFF4908078AB}">
  <sheetPr codeName="Planilha3">
    <pageSetUpPr fitToPage="1"/>
  </sheetPr>
  <dimension ref="A1:G28"/>
  <sheetViews>
    <sheetView showGridLines="0" workbookViewId="0">
      <selection activeCell="P23" sqref="P23"/>
    </sheetView>
  </sheetViews>
  <sheetFormatPr defaultRowHeight="15" x14ac:dyDescent="0.25"/>
  <cols>
    <col min="1" max="1" width="10" bestFit="1" customWidth="1"/>
    <col min="2" max="2" width="81.140625" bestFit="1" customWidth="1"/>
    <col min="3" max="3" width="7.7109375" bestFit="1" customWidth="1"/>
    <col min="4" max="4" width="8.140625" bestFit="1" customWidth="1"/>
    <col min="5" max="5" width="15.85546875" bestFit="1" customWidth="1"/>
    <col min="6" max="6" width="23.7109375" bestFit="1" customWidth="1"/>
    <col min="7" max="9" width="10.42578125" bestFit="1" customWidth="1"/>
    <col min="10" max="10" width="8.140625" customWidth="1"/>
    <col min="11" max="11" width="12" customWidth="1"/>
    <col min="12" max="12" width="1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200007112</v>
      </c>
      <c r="B2" s="19" t="s">
        <v>92</v>
      </c>
      <c r="C2" s="19" t="s">
        <v>9</v>
      </c>
      <c r="D2">
        <v>0</v>
      </c>
      <c r="E2" s="15">
        <v>109.96</v>
      </c>
      <c r="F2">
        <v>0</v>
      </c>
      <c r="G2">
        <v>200</v>
      </c>
    </row>
    <row r="3" spans="1:7" x14ac:dyDescent="0.25">
      <c r="A3">
        <v>200007113</v>
      </c>
      <c r="B3" s="19" t="s">
        <v>93</v>
      </c>
      <c r="C3" s="19" t="s">
        <v>9</v>
      </c>
      <c r="D3">
        <v>0</v>
      </c>
      <c r="E3" s="15">
        <v>30.03</v>
      </c>
      <c r="F3">
        <v>0</v>
      </c>
      <c r="G3">
        <v>10</v>
      </c>
    </row>
    <row r="4" spans="1:7" x14ac:dyDescent="0.25">
      <c r="A4">
        <v>200006710</v>
      </c>
      <c r="B4" s="19" t="s">
        <v>94</v>
      </c>
      <c r="C4" s="19" t="s">
        <v>86</v>
      </c>
      <c r="D4">
        <v>0</v>
      </c>
      <c r="E4" s="15">
        <v>18.79</v>
      </c>
      <c r="F4">
        <v>0</v>
      </c>
      <c r="G4">
        <v>60</v>
      </c>
    </row>
    <row r="5" spans="1:7" x14ac:dyDescent="0.25">
      <c r="A5">
        <v>200007110</v>
      </c>
      <c r="B5" s="19" t="s">
        <v>107</v>
      </c>
      <c r="C5" s="19" t="s">
        <v>108</v>
      </c>
      <c r="D5">
        <v>12</v>
      </c>
      <c r="E5" s="15">
        <v>0</v>
      </c>
      <c r="F5">
        <v>0</v>
      </c>
      <c r="G5">
        <v>0</v>
      </c>
    </row>
    <row r="6" spans="1:7" x14ac:dyDescent="0.25">
      <c r="A6">
        <v>200005812</v>
      </c>
      <c r="B6" s="19" t="s">
        <v>344</v>
      </c>
      <c r="C6" s="19" t="s">
        <v>9</v>
      </c>
      <c r="D6">
        <v>40.75</v>
      </c>
      <c r="E6" s="15">
        <v>6.99</v>
      </c>
      <c r="F6">
        <v>0</v>
      </c>
      <c r="G6">
        <v>292</v>
      </c>
    </row>
    <row r="7" spans="1:7" x14ac:dyDescent="0.25">
      <c r="A7">
        <v>200000288</v>
      </c>
      <c r="B7" s="19" t="s">
        <v>354</v>
      </c>
      <c r="C7" s="19" t="s">
        <v>9</v>
      </c>
      <c r="D7">
        <v>0</v>
      </c>
      <c r="E7" s="15">
        <v>7.63</v>
      </c>
      <c r="F7">
        <v>0</v>
      </c>
      <c r="G7">
        <v>19</v>
      </c>
    </row>
    <row r="8" spans="1:7" x14ac:dyDescent="0.25">
      <c r="A8">
        <v>200005813</v>
      </c>
      <c r="B8" s="19" t="s">
        <v>382</v>
      </c>
      <c r="C8" s="19" t="s">
        <v>9</v>
      </c>
      <c r="D8">
        <v>2.37</v>
      </c>
      <c r="E8" s="15">
        <v>88.8</v>
      </c>
      <c r="F8">
        <v>0</v>
      </c>
      <c r="G8">
        <v>187</v>
      </c>
    </row>
    <row r="9" spans="1:7" x14ac:dyDescent="0.25">
      <c r="A9">
        <v>200001206</v>
      </c>
      <c r="B9" s="19" t="s">
        <v>383</v>
      </c>
      <c r="C9" s="19" t="s">
        <v>9</v>
      </c>
      <c r="D9">
        <v>0.33</v>
      </c>
      <c r="E9" s="15">
        <v>94.24</v>
      </c>
      <c r="F9">
        <v>0</v>
      </c>
      <c r="G9">
        <v>6</v>
      </c>
    </row>
    <row r="10" spans="1:7" x14ac:dyDescent="0.25">
      <c r="A10">
        <v>200006304</v>
      </c>
      <c r="B10" s="19" t="s">
        <v>608</v>
      </c>
      <c r="C10" s="19" t="s">
        <v>9</v>
      </c>
      <c r="D10">
        <v>0</v>
      </c>
      <c r="E10" s="15">
        <v>30.52</v>
      </c>
      <c r="F10">
        <v>0</v>
      </c>
      <c r="G10">
        <v>200</v>
      </c>
    </row>
    <row r="11" spans="1:7" x14ac:dyDescent="0.25">
      <c r="A11">
        <v>200003309</v>
      </c>
      <c r="B11" s="19" t="s">
        <v>632</v>
      </c>
      <c r="C11" s="19" t="s">
        <v>9</v>
      </c>
      <c r="D11">
        <v>40.619999999999997</v>
      </c>
      <c r="E11" s="15">
        <v>161.29</v>
      </c>
      <c r="F11">
        <v>0</v>
      </c>
      <c r="G11">
        <v>499</v>
      </c>
    </row>
    <row r="12" spans="1:7" x14ac:dyDescent="0.25">
      <c r="A12">
        <v>200006039</v>
      </c>
      <c r="B12" s="19" t="s">
        <v>633</v>
      </c>
      <c r="C12" s="19" t="s">
        <v>9</v>
      </c>
      <c r="D12">
        <v>26.87</v>
      </c>
      <c r="E12" s="15">
        <v>154.26</v>
      </c>
      <c r="F12">
        <v>14</v>
      </c>
      <c r="G12">
        <v>152</v>
      </c>
    </row>
    <row r="13" spans="1:7" x14ac:dyDescent="0.25">
      <c r="A13">
        <v>200005815</v>
      </c>
      <c r="B13" s="19" t="s">
        <v>695</v>
      </c>
      <c r="C13" s="19" t="s">
        <v>696</v>
      </c>
      <c r="D13">
        <v>3.42</v>
      </c>
      <c r="E13" s="15">
        <v>6.11</v>
      </c>
      <c r="F13">
        <v>0</v>
      </c>
      <c r="G13">
        <v>175</v>
      </c>
    </row>
    <row r="14" spans="1:7" x14ac:dyDescent="0.25">
      <c r="A14">
        <v>200005098</v>
      </c>
      <c r="B14" s="19" t="s">
        <v>700</v>
      </c>
      <c r="C14" s="19" t="s">
        <v>696</v>
      </c>
      <c r="D14">
        <v>0.66</v>
      </c>
      <c r="E14" s="15">
        <v>34.04</v>
      </c>
      <c r="F14">
        <v>0</v>
      </c>
      <c r="G14">
        <v>5</v>
      </c>
    </row>
    <row r="15" spans="1:7" x14ac:dyDescent="0.25">
      <c r="A15">
        <v>200001210</v>
      </c>
      <c r="B15" s="19" t="s">
        <v>701</v>
      </c>
      <c r="C15" s="19" t="s">
        <v>9</v>
      </c>
      <c r="D15">
        <v>1.83</v>
      </c>
      <c r="E15" s="15">
        <v>19.440000000000001</v>
      </c>
      <c r="F15">
        <v>0</v>
      </c>
      <c r="G15">
        <v>1922</v>
      </c>
    </row>
    <row r="16" spans="1:7" x14ac:dyDescent="0.25">
      <c r="A16">
        <v>200003314</v>
      </c>
      <c r="B16" s="19" t="s">
        <v>702</v>
      </c>
      <c r="C16" s="19" t="s">
        <v>9</v>
      </c>
      <c r="D16">
        <v>28.87</v>
      </c>
      <c r="E16" s="15">
        <v>20.9</v>
      </c>
      <c r="F16">
        <v>210</v>
      </c>
      <c r="G16">
        <v>921</v>
      </c>
    </row>
    <row r="17" spans="1:7" x14ac:dyDescent="0.25">
      <c r="A17">
        <v>200003311</v>
      </c>
      <c r="B17" s="19" t="s">
        <v>703</v>
      </c>
      <c r="C17" s="19" t="s">
        <v>9</v>
      </c>
      <c r="D17">
        <v>46</v>
      </c>
      <c r="E17" s="15">
        <v>17.93</v>
      </c>
      <c r="F17">
        <v>0</v>
      </c>
      <c r="G17">
        <v>5384</v>
      </c>
    </row>
    <row r="18" spans="1:7" x14ac:dyDescent="0.25">
      <c r="A18">
        <v>200000886</v>
      </c>
      <c r="B18" s="19" t="s">
        <v>704</v>
      </c>
      <c r="C18" s="19" t="s">
        <v>9</v>
      </c>
      <c r="D18">
        <v>23.28</v>
      </c>
      <c r="E18" s="15">
        <v>14.49</v>
      </c>
      <c r="F18">
        <v>16</v>
      </c>
      <c r="G18">
        <v>5538</v>
      </c>
    </row>
    <row r="19" spans="1:7" x14ac:dyDescent="0.25">
      <c r="A19">
        <v>200003312</v>
      </c>
      <c r="B19" s="19" t="s">
        <v>705</v>
      </c>
      <c r="C19" s="19" t="s">
        <v>9</v>
      </c>
      <c r="D19">
        <v>81.5</v>
      </c>
      <c r="E19" s="15">
        <v>14.46</v>
      </c>
      <c r="F19">
        <v>210</v>
      </c>
      <c r="G19">
        <v>7816</v>
      </c>
    </row>
    <row r="20" spans="1:7" x14ac:dyDescent="0.25">
      <c r="A20">
        <v>200000887</v>
      </c>
      <c r="B20" s="19" t="s">
        <v>706</v>
      </c>
      <c r="C20" s="19" t="s">
        <v>9</v>
      </c>
      <c r="D20">
        <v>41</v>
      </c>
      <c r="E20" s="15">
        <v>10.96</v>
      </c>
      <c r="F20">
        <v>32</v>
      </c>
      <c r="G20">
        <v>10566</v>
      </c>
    </row>
    <row r="21" spans="1:7" x14ac:dyDescent="0.25">
      <c r="A21">
        <v>200004193</v>
      </c>
      <c r="B21" s="19" t="s">
        <v>711</v>
      </c>
      <c r="C21" s="19" t="s">
        <v>9</v>
      </c>
      <c r="D21">
        <v>3.66</v>
      </c>
      <c r="E21" s="15">
        <v>0</v>
      </c>
      <c r="F21">
        <v>0</v>
      </c>
      <c r="G21">
        <v>0</v>
      </c>
    </row>
    <row r="22" spans="1:7" x14ac:dyDescent="0.25">
      <c r="A22">
        <v>200004118</v>
      </c>
      <c r="B22" s="19" t="s">
        <v>733</v>
      </c>
      <c r="C22" s="19" t="s">
        <v>9</v>
      </c>
      <c r="D22">
        <v>0</v>
      </c>
      <c r="E22" s="15">
        <v>42.73</v>
      </c>
      <c r="F22">
        <v>484</v>
      </c>
      <c r="G22">
        <v>0</v>
      </c>
    </row>
    <row r="23" spans="1:7" x14ac:dyDescent="0.25">
      <c r="A23">
        <v>200003710</v>
      </c>
      <c r="B23" s="19" t="s">
        <v>756</v>
      </c>
      <c r="C23" s="19" t="s">
        <v>9</v>
      </c>
      <c r="D23">
        <v>0.66</v>
      </c>
      <c r="E23" s="15">
        <v>151.91</v>
      </c>
      <c r="F23">
        <v>0</v>
      </c>
      <c r="G23">
        <v>2</v>
      </c>
    </row>
    <row r="24" spans="1:7" x14ac:dyDescent="0.25">
      <c r="A24">
        <v>200003310</v>
      </c>
      <c r="B24" s="19" t="s">
        <v>758</v>
      </c>
      <c r="C24" s="19" t="s">
        <v>9</v>
      </c>
      <c r="D24">
        <v>0.87</v>
      </c>
      <c r="E24" s="15">
        <v>150.4</v>
      </c>
      <c r="F24">
        <v>0</v>
      </c>
      <c r="G24">
        <v>97</v>
      </c>
    </row>
    <row r="25" spans="1:7" x14ac:dyDescent="0.25">
      <c r="A25">
        <v>200004125</v>
      </c>
      <c r="B25" s="19" t="s">
        <v>760</v>
      </c>
      <c r="C25" s="19" t="s">
        <v>9</v>
      </c>
      <c r="D25">
        <v>0</v>
      </c>
      <c r="E25" s="15">
        <v>176.67</v>
      </c>
      <c r="F25">
        <v>0</v>
      </c>
      <c r="G25">
        <v>4</v>
      </c>
    </row>
    <row r="26" spans="1:7" x14ac:dyDescent="0.25">
      <c r="A26">
        <v>200004620</v>
      </c>
      <c r="B26" s="19" t="s">
        <v>761</v>
      </c>
      <c r="C26" s="19" t="s">
        <v>9</v>
      </c>
      <c r="D26">
        <v>0.12</v>
      </c>
      <c r="E26" s="15">
        <v>175.1</v>
      </c>
      <c r="F26">
        <v>0</v>
      </c>
      <c r="G26">
        <v>103</v>
      </c>
    </row>
    <row r="27" spans="1:7" x14ac:dyDescent="0.25">
      <c r="A27">
        <v>200005814</v>
      </c>
      <c r="B27" s="19" t="s">
        <v>911</v>
      </c>
      <c r="C27" s="19" t="s">
        <v>294</v>
      </c>
      <c r="D27">
        <v>1.25</v>
      </c>
      <c r="E27" s="15">
        <v>47.48</v>
      </c>
      <c r="F27">
        <v>0</v>
      </c>
      <c r="G27">
        <v>1</v>
      </c>
    </row>
    <row r="28" spans="1:7" x14ac:dyDescent="0.25">
      <c r="A28">
        <v>200003891</v>
      </c>
      <c r="B28" s="19" t="s">
        <v>914</v>
      </c>
      <c r="C28" s="19" t="s">
        <v>294</v>
      </c>
      <c r="D28">
        <v>0.33</v>
      </c>
      <c r="E28" s="15">
        <v>47.58</v>
      </c>
      <c r="F28">
        <v>0</v>
      </c>
      <c r="G28">
        <v>7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scale="63" fitToHeight="0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7CF68-9E05-4832-9285-E8DDB43420F6}">
  <sheetPr codeName="Planilha8">
    <pageSetUpPr fitToPage="1"/>
  </sheetPr>
  <dimension ref="A1:XFC1212"/>
  <sheetViews>
    <sheetView showGridLines="0" topLeftCell="A297" workbookViewId="0">
      <selection activeCell="B309" sqref="B309"/>
    </sheetView>
  </sheetViews>
  <sheetFormatPr defaultRowHeight="15" x14ac:dyDescent="0.25"/>
  <cols>
    <col min="1" max="1" width="10" bestFit="1" customWidth="1"/>
    <col min="2" max="2" width="109" customWidth="1"/>
    <col min="3" max="3" width="6.5703125" bestFit="1" customWidth="1"/>
    <col min="4" max="4" width="10.42578125" bestFit="1" customWidth="1"/>
    <col min="5" max="5" width="38.5703125" bestFit="1" customWidth="1"/>
    <col min="6" max="6" width="17.85546875" bestFit="1" customWidth="1"/>
    <col min="7" max="7" width="10" bestFit="1" customWidth="1"/>
    <col min="11" max="11" width="10.7109375" bestFit="1" customWidth="1"/>
    <col min="41" max="41" width="10.7109375" bestFit="1" customWidth="1"/>
    <col min="62" max="62" width="9" customWidth="1"/>
  </cols>
  <sheetData>
    <row r="1" spans="1:7 16383:16383" ht="15.75" thickBot="1" x14ac:dyDescent="0.3">
      <c r="A1" s="3" t="s">
        <v>2272</v>
      </c>
      <c r="B1" s="4" t="s">
        <v>2273</v>
      </c>
      <c r="C1" s="4" t="s">
        <v>2274</v>
      </c>
      <c r="D1" s="4" t="s">
        <v>6</v>
      </c>
      <c r="E1" s="4" t="s">
        <v>2275</v>
      </c>
      <c r="F1" s="4" t="s">
        <v>2276</v>
      </c>
      <c r="G1" s="5" t="s">
        <v>3</v>
      </c>
      <c r="XFC1" t="s">
        <v>2277</v>
      </c>
    </row>
    <row r="2" spans="1:7 16383:16383" ht="16.5" thickTop="1" thickBot="1" x14ac:dyDescent="0.3">
      <c r="A2">
        <v>200003177</v>
      </c>
      <c r="B2" t="s">
        <v>364</v>
      </c>
      <c r="C2" t="s">
        <v>9</v>
      </c>
      <c r="D2" s="9" t="e">
        <f>VLOOKUP(Tabela8[[#This Row],[Cód.]],#REF!,7,0)</f>
        <v>#REF!</v>
      </c>
      <c r="E2" s="9" t="s">
        <v>2278</v>
      </c>
      <c r="F2" s="9" t="s">
        <v>2279</v>
      </c>
      <c r="G2" s="9" t="e">
        <f>VLOOKUP(Tabela8[[#This Row],[Cód.]],CENTRAL[#All],9,0)</f>
        <v>#REF!</v>
      </c>
      <c r="XFC2" t="s">
        <v>2278</v>
      </c>
    </row>
    <row r="3" spans="1:7 16383:16383" ht="16.5" thickTop="1" thickBot="1" x14ac:dyDescent="0.3">
      <c r="A3">
        <v>200003686</v>
      </c>
      <c r="B3" t="s">
        <v>371</v>
      </c>
      <c r="C3" t="s">
        <v>86</v>
      </c>
      <c r="D3" s="10" t="e">
        <f>VLOOKUP(Tabela8[[#This Row],[Cód.]],#REF!,7,0)</f>
        <v>#REF!</v>
      </c>
      <c r="E3" s="9" t="s">
        <v>2278</v>
      </c>
      <c r="F3" s="10" t="s">
        <v>2279</v>
      </c>
      <c r="G3" s="8" t="e">
        <f>VLOOKUP(Tabela8[[#This Row],[Cód.]],CENTRAL[#All],9,0)</f>
        <v>#REF!</v>
      </c>
      <c r="XFC3" t="s">
        <v>2280</v>
      </c>
    </row>
    <row r="4" spans="1:7 16383:16383" ht="16.5" thickTop="1" thickBot="1" x14ac:dyDescent="0.3">
      <c r="A4">
        <v>200006002</v>
      </c>
      <c r="B4" t="s">
        <v>409</v>
      </c>
      <c r="C4" t="s">
        <v>294</v>
      </c>
      <c r="D4" s="10" t="e">
        <f>VLOOKUP(Tabela8[[#This Row],[Cód.]],#REF!,7,0)</f>
        <v>#REF!</v>
      </c>
      <c r="E4" s="9" t="s">
        <v>2278</v>
      </c>
      <c r="F4" s="10" t="s">
        <v>2279</v>
      </c>
      <c r="G4" s="8" t="e">
        <f>VLOOKUP(Tabela8[[#This Row],[Cód.]],CENTRAL[#All],9,0)</f>
        <v>#REF!</v>
      </c>
      <c r="XFC4" t="s">
        <v>2281</v>
      </c>
    </row>
    <row r="5" spans="1:7 16383:16383" ht="16.5" thickTop="1" thickBot="1" x14ac:dyDescent="0.3">
      <c r="A5">
        <v>200006003</v>
      </c>
      <c r="B5" t="s">
        <v>410</v>
      </c>
      <c r="C5" t="s">
        <v>294</v>
      </c>
      <c r="D5" s="10" t="e">
        <f>VLOOKUP(Tabela8[[#This Row],[Cód.]],#REF!,7,0)</f>
        <v>#REF!</v>
      </c>
      <c r="E5" s="9" t="s">
        <v>2278</v>
      </c>
      <c r="F5" s="10" t="s">
        <v>2279</v>
      </c>
      <c r="G5" s="8" t="e">
        <f>VLOOKUP(Tabela8[[#This Row],[Cód.]],CENTRAL[#All],9,0)</f>
        <v>#REF!</v>
      </c>
      <c r="XFC5" t="s">
        <v>2282</v>
      </c>
    </row>
    <row r="6" spans="1:7 16383:16383" ht="16.5" thickTop="1" thickBot="1" x14ac:dyDescent="0.3">
      <c r="A6">
        <v>200002716</v>
      </c>
      <c r="B6" t="s">
        <v>531</v>
      </c>
      <c r="C6" t="s">
        <v>9</v>
      </c>
      <c r="D6" s="10" t="e">
        <f>VLOOKUP(Tabela8[[#This Row],[Cód.]],#REF!,7,0)</f>
        <v>#REF!</v>
      </c>
      <c r="E6" s="9" t="s">
        <v>2278</v>
      </c>
      <c r="F6" s="10" t="s">
        <v>2279</v>
      </c>
      <c r="G6" s="8" t="e">
        <f>VLOOKUP(Tabela8[[#This Row],[Cód.]],CENTRAL[#All],9,0)</f>
        <v>#REF!</v>
      </c>
      <c r="XFC6" t="s">
        <v>2283</v>
      </c>
    </row>
    <row r="7" spans="1:7 16383:16383" ht="16.5" thickTop="1" thickBot="1" x14ac:dyDescent="0.3">
      <c r="A7">
        <v>200002717</v>
      </c>
      <c r="B7" t="s">
        <v>532</v>
      </c>
      <c r="C7" t="s">
        <v>9</v>
      </c>
      <c r="D7" s="10" t="e">
        <f>VLOOKUP(Tabela8[[#This Row],[Cód.]],#REF!,7,0)</f>
        <v>#REF!</v>
      </c>
      <c r="E7" s="9" t="s">
        <v>2278</v>
      </c>
      <c r="F7" s="10" t="s">
        <v>2279</v>
      </c>
      <c r="G7" s="8" t="e">
        <f>VLOOKUP(Tabela8[[#This Row],[Cód.]],CENTRAL[#All],9,0)</f>
        <v>#REF!</v>
      </c>
      <c r="XFC7" t="s">
        <v>2284</v>
      </c>
    </row>
    <row r="8" spans="1:7 16383:16383" ht="16.5" thickTop="1" thickBot="1" x14ac:dyDescent="0.3">
      <c r="A8">
        <v>200007183</v>
      </c>
      <c r="B8" t="s">
        <v>533</v>
      </c>
      <c r="C8" t="s">
        <v>9</v>
      </c>
      <c r="D8" s="10" t="e">
        <f>VLOOKUP(Tabela8[[#This Row],[Cód.]],#REF!,7,0)</f>
        <v>#REF!</v>
      </c>
      <c r="E8" s="9" t="s">
        <v>2278</v>
      </c>
      <c r="F8" s="10" t="s">
        <v>2279</v>
      </c>
      <c r="G8" s="8" t="e">
        <f>VLOOKUP(Tabela8[[#This Row],[Cód.]],CENTRAL[#All],9,0)</f>
        <v>#REF!</v>
      </c>
      <c r="XFC8" t="s">
        <v>2285</v>
      </c>
    </row>
    <row r="9" spans="1:7 16383:16383" ht="15.75" thickTop="1" x14ac:dyDescent="0.25">
      <c r="A9">
        <v>200000456</v>
      </c>
      <c r="B9" t="s">
        <v>534</v>
      </c>
      <c r="C9" t="s">
        <v>9</v>
      </c>
      <c r="D9" s="10" t="e">
        <f>VLOOKUP(Tabela8[[#This Row],[Cód.]],#REF!,7,0)</f>
        <v>#REF!</v>
      </c>
      <c r="E9" s="9" t="s">
        <v>2278</v>
      </c>
      <c r="F9" s="10" t="s">
        <v>2279</v>
      </c>
      <c r="G9" s="8" t="e">
        <f>VLOOKUP(Tabela8[[#This Row],[Cód.]],CENTRAL[#All],9,0)</f>
        <v>#REF!</v>
      </c>
      <c r="XFC9" t="s">
        <v>2286</v>
      </c>
    </row>
    <row r="10" spans="1:7 16383:16383" ht="15.75" thickBot="1" x14ac:dyDescent="0.3">
      <c r="A10">
        <v>200001615</v>
      </c>
      <c r="B10" t="s">
        <v>538</v>
      </c>
      <c r="C10" t="s">
        <v>9</v>
      </c>
      <c r="D10" s="10" t="e">
        <f>VLOOKUP(Tabela8[[#This Row],[Cód.]],#REF!,7,0)</f>
        <v>#REF!</v>
      </c>
      <c r="E10" s="10" t="s">
        <v>2278</v>
      </c>
      <c r="F10" s="10" t="s">
        <v>2279</v>
      </c>
      <c r="G10" s="8" t="e">
        <f>VLOOKUP(Tabela8[[#This Row],[Cód.]],CENTRAL[#All],9,0)</f>
        <v>#REF!</v>
      </c>
      <c r="XFC10" t="s">
        <v>2287</v>
      </c>
    </row>
    <row r="11" spans="1:7 16383:16383" ht="16.5" thickTop="1" thickBot="1" x14ac:dyDescent="0.3">
      <c r="A11">
        <v>200001643</v>
      </c>
      <c r="B11" t="s">
        <v>604</v>
      </c>
      <c r="C11" t="s">
        <v>67</v>
      </c>
      <c r="D11" s="10" t="e">
        <f>VLOOKUP(Tabela8[[#This Row],[Cód.]],#REF!,7,0)</f>
        <v>#REF!</v>
      </c>
      <c r="E11" s="9" t="s">
        <v>2278</v>
      </c>
      <c r="F11" s="10" t="s">
        <v>2279</v>
      </c>
      <c r="G11" s="8" t="e">
        <f>VLOOKUP(Tabela8[[#This Row],[Cód.]],CENTRAL[#All],9,0)</f>
        <v>#REF!</v>
      </c>
      <c r="XFC11" t="s">
        <v>2288</v>
      </c>
    </row>
    <row r="12" spans="1:7 16383:16383" ht="16.5" thickTop="1" thickBot="1" x14ac:dyDescent="0.3">
      <c r="A12">
        <v>200000489</v>
      </c>
      <c r="B12" t="s">
        <v>607</v>
      </c>
      <c r="C12" t="s">
        <v>67</v>
      </c>
      <c r="D12" s="10" t="e">
        <f>VLOOKUP(Tabela8[[#This Row],[Cód.]],#REF!,7,0)</f>
        <v>#REF!</v>
      </c>
      <c r="E12" s="9" t="s">
        <v>2278</v>
      </c>
      <c r="F12" s="10" t="s">
        <v>2279</v>
      </c>
      <c r="G12" s="8" t="e">
        <f>VLOOKUP(Tabela8[[#This Row],[Cód.]],CENTRAL[#All],9,0)</f>
        <v>#REF!</v>
      </c>
      <c r="XFC12" t="s">
        <v>2289</v>
      </c>
    </row>
    <row r="13" spans="1:7 16383:16383" ht="16.5" thickTop="1" thickBot="1" x14ac:dyDescent="0.3">
      <c r="A13">
        <v>200000530</v>
      </c>
      <c r="B13" t="s">
        <v>713</v>
      </c>
      <c r="C13" t="s">
        <v>714</v>
      </c>
      <c r="D13" s="10" t="e">
        <f>VLOOKUP(Tabela8[[#This Row],[Cód.]],#REF!,7,0)</f>
        <v>#REF!</v>
      </c>
      <c r="E13" s="9" t="s">
        <v>2278</v>
      </c>
      <c r="F13" s="10" t="s">
        <v>2279</v>
      </c>
      <c r="G13" s="8" t="e">
        <f>VLOOKUP(Tabela8[[#This Row],[Cód.]],CENTRAL[#All],9,0)</f>
        <v>#REF!</v>
      </c>
      <c r="XFC13" t="s">
        <v>2290</v>
      </c>
    </row>
    <row r="14" spans="1:7 16383:16383" ht="16.5" thickTop="1" thickBot="1" x14ac:dyDescent="0.3">
      <c r="A14">
        <v>200000531</v>
      </c>
      <c r="B14" t="s">
        <v>715</v>
      </c>
      <c r="C14" t="s">
        <v>714</v>
      </c>
      <c r="D14" s="10" t="e">
        <f>VLOOKUP(Tabela8[[#This Row],[Cód.]],#REF!,7,0)</f>
        <v>#REF!</v>
      </c>
      <c r="E14" s="9" t="s">
        <v>2278</v>
      </c>
      <c r="F14" s="10" t="s">
        <v>2279</v>
      </c>
      <c r="G14" s="8" t="e">
        <f>VLOOKUP(Tabela8[[#This Row],[Cód.]],CENTRAL[#All],9,0)</f>
        <v>#REF!</v>
      </c>
      <c r="XFC14" t="s">
        <v>2291</v>
      </c>
    </row>
    <row r="15" spans="1:7 16383:16383" ht="16.5" thickTop="1" thickBot="1" x14ac:dyDescent="0.3">
      <c r="A15">
        <v>200000532</v>
      </c>
      <c r="B15" t="s">
        <v>716</v>
      </c>
      <c r="C15" t="s">
        <v>714</v>
      </c>
      <c r="D15" s="10" t="e">
        <f>VLOOKUP(Tabela8[[#This Row],[Cód.]],#REF!,7,0)</f>
        <v>#REF!</v>
      </c>
      <c r="E15" s="9" t="s">
        <v>2278</v>
      </c>
      <c r="F15" s="10" t="s">
        <v>2279</v>
      </c>
      <c r="G15" s="8" t="e">
        <f>VLOOKUP(Tabela8[[#This Row],[Cód.]],CENTRAL[#All],9,0)</f>
        <v>#REF!</v>
      </c>
      <c r="XFC15" t="s">
        <v>2292</v>
      </c>
    </row>
    <row r="16" spans="1:7 16383:16383" ht="16.5" thickTop="1" thickBot="1" x14ac:dyDescent="0.3">
      <c r="A16">
        <v>200000533</v>
      </c>
      <c r="B16" t="s">
        <v>717</v>
      </c>
      <c r="C16" t="s">
        <v>714</v>
      </c>
      <c r="D16" s="10" t="e">
        <f>VLOOKUP(Tabela8[[#This Row],[Cód.]],#REF!,7,0)</f>
        <v>#REF!</v>
      </c>
      <c r="E16" s="9" t="s">
        <v>2278</v>
      </c>
      <c r="F16" s="10" t="s">
        <v>2279</v>
      </c>
      <c r="G16" s="8" t="e">
        <f>VLOOKUP(Tabela8[[#This Row],[Cód.]],CENTRAL[#All],9,0)</f>
        <v>#REF!</v>
      </c>
      <c r="XFC16" t="s">
        <v>2293</v>
      </c>
    </row>
    <row r="17" spans="1:7 16383:16383" ht="16.5" thickTop="1" thickBot="1" x14ac:dyDescent="0.3">
      <c r="A17">
        <v>200004296</v>
      </c>
      <c r="B17" t="s">
        <v>811</v>
      </c>
      <c r="C17" t="s">
        <v>546</v>
      </c>
      <c r="D17" s="10" t="e">
        <f>VLOOKUP(Tabela8[[#This Row],[Cód.]],#REF!,7,0)</f>
        <v>#REF!</v>
      </c>
      <c r="E17" s="9" t="s">
        <v>2278</v>
      </c>
      <c r="F17" s="10" t="s">
        <v>2279</v>
      </c>
      <c r="G17" s="8" t="e">
        <f>VLOOKUP(Tabela8[[#This Row],[Cód.]],CENTRAL[#All],9,0)</f>
        <v>#REF!</v>
      </c>
      <c r="XFC17" t="s">
        <v>2294</v>
      </c>
    </row>
    <row r="18" spans="1:7 16383:16383" ht="16.5" thickTop="1" thickBot="1" x14ac:dyDescent="0.3">
      <c r="A18">
        <v>200000604</v>
      </c>
      <c r="B18" t="s">
        <v>855</v>
      </c>
      <c r="C18" t="s">
        <v>9</v>
      </c>
      <c r="D18" s="10" t="e">
        <f>VLOOKUP(Tabela8[[#This Row],[Cód.]],#REF!,7,0)</f>
        <v>#REF!</v>
      </c>
      <c r="E18" s="9" t="s">
        <v>2278</v>
      </c>
      <c r="F18" s="10" t="s">
        <v>2279</v>
      </c>
      <c r="G18" s="8" t="e">
        <f>VLOOKUP(Tabela8[[#This Row],[Cód.]],CENTRAL[#All],9,0)</f>
        <v>#REF!</v>
      </c>
      <c r="XFC18" t="s">
        <v>2295</v>
      </c>
    </row>
    <row r="19" spans="1:7 16383:16383" ht="16.5" thickTop="1" thickBot="1" x14ac:dyDescent="0.3">
      <c r="A19">
        <v>200000604</v>
      </c>
      <c r="B19" t="s">
        <v>855</v>
      </c>
      <c r="C19" t="s">
        <v>9</v>
      </c>
      <c r="D19" s="10" t="e">
        <f>VLOOKUP(Tabela8[[#This Row],[Cód.]],#REF!,7,0)</f>
        <v>#REF!</v>
      </c>
      <c r="E19" s="9" t="s">
        <v>2278</v>
      </c>
      <c r="F19" s="10" t="s">
        <v>2279</v>
      </c>
      <c r="G19" s="8" t="e">
        <f>VLOOKUP(Tabela8[[#This Row],[Cód.]],CENTRAL[#All],9,0)</f>
        <v>#REF!</v>
      </c>
      <c r="XFC19" t="s">
        <v>2296</v>
      </c>
    </row>
    <row r="20" spans="1:7 16383:16383" ht="16.5" thickTop="1" thickBot="1" x14ac:dyDescent="0.3">
      <c r="A20">
        <v>200001599</v>
      </c>
      <c r="B20" t="s">
        <v>856</v>
      </c>
      <c r="C20" t="s">
        <v>9</v>
      </c>
      <c r="D20" s="10" t="e">
        <f>VLOOKUP(Tabela8[[#This Row],[Cód.]],#REF!,7,0)</f>
        <v>#REF!</v>
      </c>
      <c r="E20" s="9" t="s">
        <v>2278</v>
      </c>
      <c r="F20" s="10" t="s">
        <v>2279</v>
      </c>
      <c r="G20" s="8" t="e">
        <f>VLOOKUP(Tabela8[[#This Row],[Cód.]],CENTRAL[#All],9,0)</f>
        <v>#REF!</v>
      </c>
      <c r="XFC20" t="s">
        <v>2297</v>
      </c>
    </row>
    <row r="21" spans="1:7 16383:16383" ht="16.5" thickTop="1" thickBot="1" x14ac:dyDescent="0.3">
      <c r="A21">
        <v>200001619</v>
      </c>
      <c r="B21" t="s">
        <v>857</v>
      </c>
      <c r="C21" t="s">
        <v>9</v>
      </c>
      <c r="D21" s="10" t="e">
        <f>VLOOKUP(Tabela8[[#This Row],[Cód.]],#REF!,7,0)</f>
        <v>#REF!</v>
      </c>
      <c r="E21" s="9" t="s">
        <v>2278</v>
      </c>
      <c r="F21" s="10" t="s">
        <v>2279</v>
      </c>
      <c r="G21" s="8" t="e">
        <f>VLOOKUP(Tabela8[[#This Row],[Cód.]],CENTRAL[#All],9,0)</f>
        <v>#REF!</v>
      </c>
      <c r="XFC21" t="s">
        <v>2298</v>
      </c>
    </row>
    <row r="22" spans="1:7 16383:16383" ht="16.5" thickTop="1" thickBot="1" x14ac:dyDescent="0.3">
      <c r="A22">
        <v>200003675</v>
      </c>
      <c r="B22" t="s">
        <v>858</v>
      </c>
      <c r="C22" t="s">
        <v>9</v>
      </c>
      <c r="D22" s="10" t="e">
        <f>VLOOKUP(Tabela8[[#This Row],[Cód.]],#REF!,7,0)</f>
        <v>#REF!</v>
      </c>
      <c r="E22" s="9" t="s">
        <v>2278</v>
      </c>
      <c r="F22" s="10" t="s">
        <v>2279</v>
      </c>
      <c r="G22" s="8" t="e">
        <f>VLOOKUP(Tabela8[[#This Row],[Cód.]],CENTRAL[#All],9,0)</f>
        <v>#REF!</v>
      </c>
    </row>
    <row r="23" spans="1:7 16383:16383" ht="16.5" thickTop="1" thickBot="1" x14ac:dyDescent="0.3">
      <c r="A23">
        <v>200001594</v>
      </c>
      <c r="B23" t="s">
        <v>860</v>
      </c>
      <c r="C23" t="s">
        <v>9</v>
      </c>
      <c r="D23" s="10" t="e">
        <f>VLOOKUP(Tabela8[[#This Row],[Cód.]],#REF!,7,0)</f>
        <v>#REF!</v>
      </c>
      <c r="E23" s="9" t="s">
        <v>2278</v>
      </c>
      <c r="F23" s="10" t="s">
        <v>2279</v>
      </c>
      <c r="G23" s="8" t="e">
        <f>VLOOKUP(Tabela8[[#This Row],[Cód.]],CENTRAL[#All],9,0)</f>
        <v>#REF!</v>
      </c>
    </row>
    <row r="24" spans="1:7 16383:16383" ht="16.5" thickTop="1" thickBot="1" x14ac:dyDescent="0.3">
      <c r="A24">
        <v>200001617</v>
      </c>
      <c r="B24" t="s">
        <v>868</v>
      </c>
      <c r="C24" t="s">
        <v>63</v>
      </c>
      <c r="D24" s="10" t="e">
        <f>VLOOKUP(Tabela8[[#This Row],[Cód.]],#REF!,7,0)</f>
        <v>#REF!</v>
      </c>
      <c r="E24" s="9" t="s">
        <v>2278</v>
      </c>
      <c r="F24" s="10" t="s">
        <v>2279</v>
      </c>
      <c r="G24" s="8" t="e">
        <f>VLOOKUP(Tabela8[[#This Row],[Cód.]],CENTRAL[#All],9,0)</f>
        <v>#REF!</v>
      </c>
    </row>
    <row r="25" spans="1:7 16383:16383" ht="16.5" thickTop="1" thickBot="1" x14ac:dyDescent="0.3">
      <c r="A25">
        <v>200001618</v>
      </c>
      <c r="B25" t="s">
        <v>869</v>
      </c>
      <c r="C25" t="s">
        <v>63</v>
      </c>
      <c r="D25" s="10" t="e">
        <f>VLOOKUP(Tabela8[[#This Row],[Cód.]],#REF!,7,0)</f>
        <v>#REF!</v>
      </c>
      <c r="E25" s="9" t="s">
        <v>2278</v>
      </c>
      <c r="F25" s="10" t="s">
        <v>2279</v>
      </c>
      <c r="G25" s="8" t="e">
        <f>VLOOKUP(Tabela8[[#This Row],[Cód.]],CENTRAL[#All],9,0)</f>
        <v>#REF!</v>
      </c>
    </row>
    <row r="26" spans="1:7 16383:16383" ht="16.5" thickTop="1" thickBot="1" x14ac:dyDescent="0.3">
      <c r="A26">
        <v>200002277</v>
      </c>
      <c r="B26" t="s">
        <v>884</v>
      </c>
      <c r="C26" t="s">
        <v>546</v>
      </c>
      <c r="D26" s="10" t="e">
        <f>VLOOKUP(Tabela8[[#This Row],[Cód.]],#REF!,7,0)</f>
        <v>#REF!</v>
      </c>
      <c r="E26" s="9" t="s">
        <v>2278</v>
      </c>
      <c r="F26" s="10" t="s">
        <v>2279</v>
      </c>
      <c r="G26" s="8" t="e">
        <f>VLOOKUP(Tabela8[[#This Row],[Cód.]],CENTRAL[#All],9,0)</f>
        <v>#REF!</v>
      </c>
    </row>
    <row r="27" spans="1:7 16383:16383" ht="16.5" thickTop="1" thickBot="1" x14ac:dyDescent="0.3">
      <c r="A27">
        <v>200003176</v>
      </c>
      <c r="B27" t="s">
        <v>889</v>
      </c>
      <c r="C27" t="s">
        <v>9</v>
      </c>
      <c r="D27" s="10" t="e">
        <f>VLOOKUP(Tabela8[[#This Row],[Cód.]],#REF!,7,0)</f>
        <v>#REF!</v>
      </c>
      <c r="E27" s="9" t="s">
        <v>2278</v>
      </c>
      <c r="F27" s="10" t="s">
        <v>2279</v>
      </c>
      <c r="G27" s="8" t="e">
        <f>VLOOKUP(Tabela8[[#This Row],[Cód.]],CENTRAL[#All],9,0)</f>
        <v>#REF!</v>
      </c>
    </row>
    <row r="28" spans="1:7 16383:16383" ht="16.5" thickTop="1" thickBot="1" x14ac:dyDescent="0.3">
      <c r="A28">
        <v>200000682</v>
      </c>
      <c r="B28" t="s">
        <v>1033</v>
      </c>
      <c r="C28" t="s">
        <v>9</v>
      </c>
      <c r="D28" s="10" t="e">
        <f>VLOOKUP(Tabela8[[#This Row],[Cód.]],#REF!,7,0)</f>
        <v>#REF!</v>
      </c>
      <c r="E28" s="9" t="s">
        <v>2278</v>
      </c>
      <c r="F28" s="10" t="s">
        <v>2279</v>
      </c>
      <c r="G28" s="8" t="e">
        <f>VLOOKUP(Tabela8[[#This Row],[Cód.]],CENTRAL[#All],9,0)</f>
        <v>#REF!</v>
      </c>
    </row>
    <row r="29" spans="1:7 16383:16383" ht="16.5" thickTop="1" thickBot="1" x14ac:dyDescent="0.3">
      <c r="A29">
        <v>200000683</v>
      </c>
      <c r="B29" t="s">
        <v>1035</v>
      </c>
      <c r="C29" t="s">
        <v>9</v>
      </c>
      <c r="D29" s="10" t="e">
        <f>VLOOKUP(Tabela8[[#This Row],[Cód.]],#REF!,7,0)</f>
        <v>#REF!</v>
      </c>
      <c r="E29" s="9" t="s">
        <v>2278</v>
      </c>
      <c r="F29" s="10" t="s">
        <v>2279</v>
      </c>
      <c r="G29" s="8" t="e">
        <f>VLOOKUP(Tabela8[[#This Row],[Cód.]],CENTRAL[#All],9,0)</f>
        <v>#REF!</v>
      </c>
    </row>
    <row r="30" spans="1:7 16383:16383" ht="16.5" thickTop="1" thickBot="1" x14ac:dyDescent="0.3">
      <c r="A30">
        <v>200001642</v>
      </c>
      <c r="B30" t="s">
        <v>1036</v>
      </c>
      <c r="C30" t="s">
        <v>9</v>
      </c>
      <c r="D30" s="10" t="e">
        <f>VLOOKUP(Tabela8[[#This Row],[Cód.]],#REF!,7,0)</f>
        <v>#REF!</v>
      </c>
      <c r="E30" s="9" t="s">
        <v>2278</v>
      </c>
      <c r="F30" s="10" t="s">
        <v>2279</v>
      </c>
      <c r="G30" s="8" t="e">
        <f>VLOOKUP(Tabela8[[#This Row],[Cód.]],CENTRAL[#All],9,0)</f>
        <v>#REF!</v>
      </c>
    </row>
    <row r="31" spans="1:7 16383:16383" ht="16.5" thickTop="1" thickBot="1" x14ac:dyDescent="0.3">
      <c r="A31">
        <v>200006834</v>
      </c>
      <c r="B31" t="s">
        <v>1099</v>
      </c>
      <c r="C31" t="s">
        <v>63</v>
      </c>
      <c r="D31" s="10" t="e">
        <f>VLOOKUP(Tabela8[[#This Row],[Cód.]],#REF!,7,0)</f>
        <v>#REF!</v>
      </c>
      <c r="E31" s="9" t="s">
        <v>2278</v>
      </c>
      <c r="F31" s="10" t="s">
        <v>2279</v>
      </c>
      <c r="G31" s="8" t="e">
        <f>VLOOKUP(Tabela8[[#This Row],[Cód.]],CENTRAL[#All],9,0)</f>
        <v>#REF!</v>
      </c>
    </row>
    <row r="32" spans="1:7 16383:16383" ht="16.5" thickTop="1" thickBot="1" x14ac:dyDescent="0.3">
      <c r="A32">
        <v>200004295</v>
      </c>
      <c r="B32" t="s">
        <v>1100</v>
      </c>
      <c r="C32" t="s">
        <v>546</v>
      </c>
      <c r="D32" s="10" t="e">
        <f>VLOOKUP(Tabela8[[#This Row],[Cód.]],#REF!,7,0)</f>
        <v>#REF!</v>
      </c>
      <c r="E32" s="9" t="s">
        <v>2278</v>
      </c>
      <c r="F32" s="10" t="s">
        <v>2279</v>
      </c>
      <c r="G32" s="8" t="e">
        <f>VLOOKUP(Tabela8[[#This Row],[Cód.]],CENTRAL[#All],9,0)</f>
        <v>#REF!</v>
      </c>
    </row>
    <row r="33" spans="1:7" ht="16.5" thickTop="1" thickBot="1" x14ac:dyDescent="0.3">
      <c r="A33">
        <v>200005146</v>
      </c>
      <c r="B33" t="s">
        <v>1102</v>
      </c>
      <c r="C33" t="s">
        <v>9</v>
      </c>
      <c r="D33" s="10" t="e">
        <f>VLOOKUP(Tabela8[[#This Row],[Cód.]],#REF!,7,0)</f>
        <v>#REF!</v>
      </c>
      <c r="E33" s="9" t="s">
        <v>2278</v>
      </c>
      <c r="F33" s="10" t="s">
        <v>2279</v>
      </c>
      <c r="G33" s="8" t="e">
        <f>VLOOKUP(Tabela8[[#This Row],[Cód.]],CENTRAL[#All],9,0)</f>
        <v>#REF!</v>
      </c>
    </row>
    <row r="34" spans="1:7" ht="16.5" thickTop="1" thickBot="1" x14ac:dyDescent="0.3">
      <c r="A34">
        <v>200006832</v>
      </c>
      <c r="B34" t="s">
        <v>1104</v>
      </c>
      <c r="C34" t="s">
        <v>63</v>
      </c>
      <c r="D34" s="10" t="e">
        <f>VLOOKUP(Tabela8[[#This Row],[Cód.]],#REF!,7,0)</f>
        <v>#REF!</v>
      </c>
      <c r="E34" s="9" t="s">
        <v>2278</v>
      </c>
      <c r="F34" s="10" t="s">
        <v>2279</v>
      </c>
      <c r="G34" s="8" t="e">
        <f>VLOOKUP(Tabela8[[#This Row],[Cód.]],CENTRAL[#All],9,0)</f>
        <v>#REF!</v>
      </c>
    </row>
    <row r="35" spans="1:7" ht="16.5" thickTop="1" thickBot="1" x14ac:dyDescent="0.3">
      <c r="A35">
        <v>200006833</v>
      </c>
      <c r="B35" t="s">
        <v>1105</v>
      </c>
      <c r="C35" t="s">
        <v>63</v>
      </c>
      <c r="D35" s="10" t="e">
        <f>VLOOKUP(Tabela8[[#This Row],[Cód.]],#REF!,7,0)</f>
        <v>#REF!</v>
      </c>
      <c r="E35" s="9" t="s">
        <v>2278</v>
      </c>
      <c r="F35" s="10" t="s">
        <v>2279</v>
      </c>
      <c r="G35" s="8" t="e">
        <f>VLOOKUP(Tabela8[[#This Row],[Cód.]],CENTRAL[#All],9,0)</f>
        <v>#REF!</v>
      </c>
    </row>
    <row r="36" spans="1:7" ht="16.5" thickTop="1" thickBot="1" x14ac:dyDescent="0.3">
      <c r="A36">
        <v>200003887</v>
      </c>
      <c r="B36" t="s">
        <v>1106</v>
      </c>
      <c r="C36" t="s">
        <v>63</v>
      </c>
      <c r="D36" s="10" t="e">
        <f>VLOOKUP(Tabela8[[#This Row],[Cód.]],#REF!,7,0)</f>
        <v>#REF!</v>
      </c>
      <c r="E36" s="9" t="s">
        <v>2278</v>
      </c>
      <c r="F36" s="10" t="s">
        <v>2279</v>
      </c>
      <c r="G36" s="8" t="e">
        <f>VLOOKUP(Tabela8[[#This Row],[Cód.]],CENTRAL[#All],9,0)</f>
        <v>#REF!</v>
      </c>
    </row>
    <row r="37" spans="1:7" ht="16.5" thickTop="1" thickBot="1" x14ac:dyDescent="0.3">
      <c r="A37">
        <v>200001626</v>
      </c>
      <c r="B37" t="s">
        <v>1140</v>
      </c>
      <c r="C37" t="s">
        <v>63</v>
      </c>
      <c r="D37" s="10" t="e">
        <f>VLOOKUP(Tabela8[[#This Row],[Cód.]],#REF!,7,0)</f>
        <v>#REF!</v>
      </c>
      <c r="E37" s="9" t="s">
        <v>2278</v>
      </c>
      <c r="F37" s="10" t="s">
        <v>2279</v>
      </c>
      <c r="G37" s="8" t="e">
        <f>VLOOKUP(Tabela8[[#This Row],[Cód.]],CENTRAL[#All],9,0)</f>
        <v>#REF!</v>
      </c>
    </row>
    <row r="38" spans="1:7" ht="16.5" thickTop="1" thickBot="1" x14ac:dyDescent="0.3">
      <c r="A38">
        <v>200005812</v>
      </c>
      <c r="B38" t="s">
        <v>344</v>
      </c>
      <c r="C38" t="s">
        <v>9</v>
      </c>
      <c r="D38" s="10" t="e">
        <f>VLOOKUP(Tabela8[[#This Row],[Cód.]],#REF!,7,0)</f>
        <v>#REF!</v>
      </c>
      <c r="E38" s="9" t="s">
        <v>2281</v>
      </c>
      <c r="F38" s="10" t="s">
        <v>2279</v>
      </c>
      <c r="G38" s="8" t="e">
        <f>VLOOKUP(Tabela8[[#This Row],[Cód.]],CENTRAL[#All],9,0)</f>
        <v>#REF!</v>
      </c>
    </row>
    <row r="39" spans="1:7" ht="16.5" thickTop="1" thickBot="1" x14ac:dyDescent="0.3">
      <c r="A39">
        <v>200000288</v>
      </c>
      <c r="B39" t="s">
        <v>354</v>
      </c>
      <c r="C39" t="s">
        <v>9</v>
      </c>
      <c r="D39" s="10" t="e">
        <f>VLOOKUP(Tabela8[[#This Row],[Cód.]],#REF!,7,0)</f>
        <v>#REF!</v>
      </c>
      <c r="E39" s="9" t="s">
        <v>2281</v>
      </c>
      <c r="F39" s="10" t="s">
        <v>2279</v>
      </c>
      <c r="G39" s="8" t="e">
        <f>VLOOKUP(Tabela8[[#This Row],[Cód.]],CENTRAL[#All],9,0)</f>
        <v>#REF!</v>
      </c>
    </row>
    <row r="40" spans="1:7" ht="16.5" thickTop="1" thickBot="1" x14ac:dyDescent="0.3">
      <c r="A40">
        <v>200005813</v>
      </c>
      <c r="B40" t="s">
        <v>382</v>
      </c>
      <c r="C40" t="s">
        <v>9</v>
      </c>
      <c r="D40" s="10" t="e">
        <f>VLOOKUP(Tabela8[[#This Row],[Cód.]],#REF!,7,0)</f>
        <v>#REF!</v>
      </c>
      <c r="E40" s="9" t="s">
        <v>2281</v>
      </c>
      <c r="F40" s="10" t="s">
        <v>2279</v>
      </c>
      <c r="G40" s="8" t="e">
        <f>VLOOKUP(Tabela8[[#This Row],[Cód.]],CENTRAL[#All],9,0)</f>
        <v>#REF!</v>
      </c>
    </row>
    <row r="41" spans="1:7" ht="16.5" thickTop="1" thickBot="1" x14ac:dyDescent="0.3">
      <c r="A41">
        <v>200001206</v>
      </c>
      <c r="B41" t="s">
        <v>383</v>
      </c>
      <c r="C41" t="s">
        <v>9</v>
      </c>
      <c r="D41" s="10" t="e">
        <f>VLOOKUP(Tabela8[[#This Row],[Cód.]],#REF!,7,0)</f>
        <v>#REF!</v>
      </c>
      <c r="E41" s="9" t="s">
        <v>2281</v>
      </c>
      <c r="F41" s="10" t="s">
        <v>2279</v>
      </c>
      <c r="G41" s="8" t="e">
        <f>VLOOKUP(Tabela8[[#This Row],[Cód.]],CENTRAL[#All],9,0)</f>
        <v>#REF!</v>
      </c>
    </row>
    <row r="42" spans="1:7" ht="16.5" thickTop="1" thickBot="1" x14ac:dyDescent="0.3">
      <c r="A42">
        <v>200006039</v>
      </c>
      <c r="B42" t="s">
        <v>633</v>
      </c>
      <c r="C42" t="s">
        <v>9</v>
      </c>
      <c r="D42" s="10" t="e">
        <f>VLOOKUP(Tabela8[[#This Row],[Cód.]],#REF!,7,0)</f>
        <v>#REF!</v>
      </c>
      <c r="E42" s="9" t="s">
        <v>2281</v>
      </c>
      <c r="F42" s="10" t="s">
        <v>2279</v>
      </c>
      <c r="G42" s="8" t="e">
        <f>VLOOKUP(Tabela8[[#This Row],[Cód.]],CENTRAL[#All],9,0)</f>
        <v>#REF!</v>
      </c>
    </row>
    <row r="43" spans="1:7" ht="16.5" thickTop="1" thickBot="1" x14ac:dyDescent="0.3">
      <c r="A43">
        <v>200006198</v>
      </c>
      <c r="B43" t="s">
        <v>634</v>
      </c>
      <c r="C43" t="s">
        <v>9</v>
      </c>
      <c r="D43" s="10" t="e">
        <f>VLOOKUP(Tabela8[[#This Row],[Cód.]],#REF!,7,0)</f>
        <v>#REF!</v>
      </c>
      <c r="E43" s="9" t="s">
        <v>2281</v>
      </c>
      <c r="F43" s="10" t="s">
        <v>2279</v>
      </c>
      <c r="G43" s="8" t="e">
        <f>VLOOKUP(Tabela8[[#This Row],[Cód.]],CENTRAL[#All],9,0)</f>
        <v>#REF!</v>
      </c>
    </row>
    <row r="44" spans="1:7" ht="16.5" thickTop="1" thickBot="1" x14ac:dyDescent="0.3">
      <c r="A44">
        <v>200005815</v>
      </c>
      <c r="B44" t="s">
        <v>695</v>
      </c>
      <c r="C44" t="s">
        <v>696</v>
      </c>
      <c r="D44" s="10" t="e">
        <f>VLOOKUP(Tabela8[[#This Row],[Cód.]],#REF!,7,0)</f>
        <v>#REF!</v>
      </c>
      <c r="E44" s="9" t="s">
        <v>2281</v>
      </c>
      <c r="F44" s="10" t="s">
        <v>2279</v>
      </c>
      <c r="G44" s="8" t="e">
        <f>VLOOKUP(Tabela8[[#This Row],[Cód.]],CENTRAL[#All],9,0)</f>
        <v>#REF!</v>
      </c>
    </row>
    <row r="45" spans="1:7" ht="16.5" thickTop="1" thickBot="1" x14ac:dyDescent="0.3">
      <c r="A45">
        <v>200005098</v>
      </c>
      <c r="B45" t="s">
        <v>700</v>
      </c>
      <c r="C45" t="s">
        <v>696</v>
      </c>
      <c r="D45" s="10" t="e">
        <f>VLOOKUP(Tabela8[[#This Row],[Cód.]],#REF!,7,0)</f>
        <v>#REF!</v>
      </c>
      <c r="E45" s="9" t="s">
        <v>2281</v>
      </c>
      <c r="F45" s="10" t="s">
        <v>2279</v>
      </c>
      <c r="G45" s="8" t="e">
        <f>VLOOKUP(Tabela8[[#This Row],[Cód.]],CENTRAL[#All],9,0)</f>
        <v>#REF!</v>
      </c>
    </row>
    <row r="46" spans="1:7" ht="16.5" thickTop="1" thickBot="1" x14ac:dyDescent="0.3">
      <c r="A46">
        <v>200001210</v>
      </c>
      <c r="B46" t="s">
        <v>701</v>
      </c>
      <c r="C46" t="s">
        <v>9</v>
      </c>
      <c r="D46" s="10" t="e">
        <f>VLOOKUP(Tabela8[[#This Row],[Cód.]],#REF!,7,0)</f>
        <v>#REF!</v>
      </c>
      <c r="E46" s="9" t="s">
        <v>2281</v>
      </c>
      <c r="F46" s="10" t="s">
        <v>2279</v>
      </c>
      <c r="G46" s="8" t="e">
        <f>VLOOKUP(Tabela8[[#This Row],[Cód.]],CENTRAL[#All],9,0)</f>
        <v>#REF!</v>
      </c>
    </row>
    <row r="47" spans="1:7" ht="16.5" thickTop="1" thickBot="1" x14ac:dyDescent="0.3">
      <c r="A47">
        <v>200003314</v>
      </c>
      <c r="B47" t="s">
        <v>702</v>
      </c>
      <c r="C47" t="s">
        <v>9</v>
      </c>
      <c r="D47" s="10" t="e">
        <f>VLOOKUP(Tabela8[[#This Row],[Cód.]],#REF!,7,0)</f>
        <v>#REF!</v>
      </c>
      <c r="E47" s="9" t="s">
        <v>2281</v>
      </c>
      <c r="F47" s="10" t="s">
        <v>2279</v>
      </c>
      <c r="G47" s="8" t="e">
        <f>VLOOKUP(Tabela8[[#This Row],[Cód.]],CENTRAL[#All],9,0)</f>
        <v>#REF!</v>
      </c>
    </row>
    <row r="48" spans="1:7" ht="16.5" thickTop="1" thickBot="1" x14ac:dyDescent="0.3">
      <c r="A48">
        <v>200003311</v>
      </c>
      <c r="B48" t="s">
        <v>703</v>
      </c>
      <c r="C48" t="s">
        <v>9</v>
      </c>
      <c r="D48" s="10" t="e">
        <f>VLOOKUP(Tabela8[[#This Row],[Cód.]],#REF!,7,0)</f>
        <v>#REF!</v>
      </c>
      <c r="E48" s="9" t="s">
        <v>2281</v>
      </c>
      <c r="F48" s="10" t="s">
        <v>2279</v>
      </c>
      <c r="G48" s="8" t="e">
        <f>VLOOKUP(Tabela8[[#This Row],[Cód.]],CENTRAL[#All],9,0)</f>
        <v>#REF!</v>
      </c>
    </row>
    <row r="49" spans="1:7 16382:16382" ht="16.5" thickTop="1" thickBot="1" x14ac:dyDescent="0.3">
      <c r="A49">
        <v>200000886</v>
      </c>
      <c r="B49" t="s">
        <v>704</v>
      </c>
      <c r="C49" t="s">
        <v>9</v>
      </c>
      <c r="D49" s="10" t="e">
        <f>VLOOKUP(Tabela8[[#This Row],[Cód.]],#REF!,7,0)</f>
        <v>#REF!</v>
      </c>
      <c r="E49" s="9" t="s">
        <v>2281</v>
      </c>
      <c r="F49" s="10" t="s">
        <v>2279</v>
      </c>
      <c r="G49" s="8" t="e">
        <f>VLOOKUP(Tabela8[[#This Row],[Cód.]],CENTRAL[#All],9,0)</f>
        <v>#REF!</v>
      </c>
    </row>
    <row r="50" spans="1:7 16382:16382" ht="16.5" thickTop="1" thickBot="1" x14ac:dyDescent="0.3">
      <c r="A50">
        <v>200003312</v>
      </c>
      <c r="B50" t="s">
        <v>705</v>
      </c>
      <c r="C50" t="s">
        <v>9</v>
      </c>
      <c r="D50" s="10" t="e">
        <f>VLOOKUP(Tabela8[[#This Row],[Cód.]],#REF!,7,0)</f>
        <v>#REF!</v>
      </c>
      <c r="E50" s="9" t="s">
        <v>2281</v>
      </c>
      <c r="F50" s="10" t="s">
        <v>2279</v>
      </c>
      <c r="G50" s="8" t="e">
        <f>VLOOKUP(Tabela8[[#This Row],[Cód.]],CENTRAL[#All],9,0)</f>
        <v>#REF!</v>
      </c>
    </row>
    <row r="51" spans="1:7 16382:16382" ht="16.5" thickTop="1" thickBot="1" x14ac:dyDescent="0.3">
      <c r="A51">
        <v>200000887</v>
      </c>
      <c r="B51" t="s">
        <v>706</v>
      </c>
      <c r="C51" t="s">
        <v>9</v>
      </c>
      <c r="D51" s="10" t="e">
        <f>VLOOKUP(Tabela8[[#This Row],[Cód.]],#REF!,7,0)</f>
        <v>#REF!</v>
      </c>
      <c r="E51" s="9" t="s">
        <v>2281</v>
      </c>
      <c r="F51" s="10" t="s">
        <v>2279</v>
      </c>
      <c r="G51" s="8" t="e">
        <f>VLOOKUP(Tabela8[[#This Row],[Cód.]],CENTRAL[#All],9,0)</f>
        <v>#REF!</v>
      </c>
    </row>
    <row r="52" spans="1:7 16382:16382" ht="16.5" thickTop="1" thickBot="1" x14ac:dyDescent="0.3">
      <c r="A52">
        <v>200003710</v>
      </c>
      <c r="B52" t="s">
        <v>756</v>
      </c>
      <c r="C52" t="s">
        <v>9</v>
      </c>
      <c r="D52" s="10" t="e">
        <f>VLOOKUP(Tabela8[[#This Row],[Cód.]],#REF!,7,0)</f>
        <v>#REF!</v>
      </c>
      <c r="E52" s="9" t="s">
        <v>2281</v>
      </c>
      <c r="F52" s="10" t="s">
        <v>2279</v>
      </c>
      <c r="G52" s="8" t="e">
        <f>VLOOKUP(Tabela8[[#This Row],[Cód.]],CENTRAL[#All],9,0)</f>
        <v>#REF!</v>
      </c>
    </row>
    <row r="53" spans="1:7 16382:16382" ht="16.5" thickTop="1" thickBot="1" x14ac:dyDescent="0.3">
      <c r="A53">
        <v>200003310</v>
      </c>
      <c r="B53" t="s">
        <v>758</v>
      </c>
      <c r="C53" t="s">
        <v>9</v>
      </c>
      <c r="D53" s="10" t="e">
        <f>VLOOKUP(Tabela8[[#This Row],[Cód.]],#REF!,7,0)</f>
        <v>#REF!</v>
      </c>
      <c r="E53" s="9" t="s">
        <v>2281</v>
      </c>
      <c r="F53" s="10" t="s">
        <v>2279</v>
      </c>
      <c r="G53" s="8" t="e">
        <f>VLOOKUP(Tabela8[[#This Row],[Cód.]],CENTRAL[#All],9,0)</f>
        <v>#REF!</v>
      </c>
    </row>
    <row r="54" spans="1:7 16382:16382" ht="16.5" thickTop="1" thickBot="1" x14ac:dyDescent="0.3">
      <c r="A54">
        <v>200004125</v>
      </c>
      <c r="B54" t="s">
        <v>760</v>
      </c>
      <c r="C54" t="s">
        <v>9</v>
      </c>
      <c r="D54" s="10" t="e">
        <f>VLOOKUP(Tabela8[[#This Row],[Cód.]],#REF!,7,0)</f>
        <v>#REF!</v>
      </c>
      <c r="E54" s="9" t="s">
        <v>2281</v>
      </c>
      <c r="F54" s="10" t="s">
        <v>2279</v>
      </c>
      <c r="G54" s="8" t="e">
        <f>VLOOKUP(Tabela8[[#This Row],[Cód.]],CENTRAL[#All],9,0)</f>
        <v>#REF!</v>
      </c>
    </row>
    <row r="55" spans="1:7 16382:16382" ht="16.5" thickTop="1" thickBot="1" x14ac:dyDescent="0.3">
      <c r="A55">
        <v>200004620</v>
      </c>
      <c r="B55" t="s">
        <v>761</v>
      </c>
      <c r="C55" t="s">
        <v>9</v>
      </c>
      <c r="D55" s="10" t="e">
        <f>VLOOKUP(Tabela8[[#This Row],[Cód.]],#REF!,7,0)</f>
        <v>#REF!</v>
      </c>
      <c r="E55" s="9" t="s">
        <v>2281</v>
      </c>
      <c r="F55" s="10" t="s">
        <v>2279</v>
      </c>
      <c r="G55" s="8" t="e">
        <f>VLOOKUP(Tabela8[[#This Row],[Cód.]],CENTRAL[#All],9,0)</f>
        <v>#REF!</v>
      </c>
    </row>
    <row r="56" spans="1:7 16382:16382" ht="16.5" thickTop="1" thickBot="1" x14ac:dyDescent="0.3">
      <c r="A56">
        <v>200005814</v>
      </c>
      <c r="B56" t="s">
        <v>911</v>
      </c>
      <c r="C56" t="s">
        <v>294</v>
      </c>
      <c r="D56" s="10" t="e">
        <f>VLOOKUP(Tabela8[[#This Row],[Cód.]],#REF!,7,0)</f>
        <v>#REF!</v>
      </c>
      <c r="E56" s="9" t="s">
        <v>2281</v>
      </c>
      <c r="F56" s="10" t="s">
        <v>2279</v>
      </c>
      <c r="G56" s="8" t="e">
        <f>VLOOKUP(Tabela8[[#This Row],[Cód.]],CENTRAL[#All],9,0)</f>
        <v>#REF!</v>
      </c>
    </row>
    <row r="57" spans="1:7 16382:16382" ht="15.75" thickTop="1" x14ac:dyDescent="0.25">
      <c r="A57">
        <v>200003891</v>
      </c>
      <c r="B57" t="s">
        <v>914</v>
      </c>
      <c r="C57" t="s">
        <v>294</v>
      </c>
      <c r="D57" s="10" t="e">
        <f>VLOOKUP(Tabela8[[#This Row],[Cód.]],#REF!,7,0)</f>
        <v>#REF!</v>
      </c>
      <c r="E57" s="9" t="s">
        <v>2281</v>
      </c>
      <c r="F57" s="10" t="s">
        <v>2279</v>
      </c>
      <c r="G57" s="8" t="e">
        <f>VLOOKUP(Tabela8[[#This Row],[Cód.]],CENTRAL[#All],9,0)</f>
        <v>#REF!</v>
      </c>
      <c r="XFB57">
        <v>200000700</v>
      </c>
    </row>
    <row r="58" spans="1:7 16382:16382" ht="15.75" thickBot="1" x14ac:dyDescent="0.3">
      <c r="A58">
        <v>200004980</v>
      </c>
      <c r="B58" t="s">
        <v>175</v>
      </c>
      <c r="C58" t="s">
        <v>9</v>
      </c>
      <c r="D58" s="10" t="e">
        <f>VLOOKUP(Tabela8[[#This Row],[Cód.]],#REF!,7,0)</f>
        <v>#REF!</v>
      </c>
      <c r="E58" s="10" t="s">
        <v>2282</v>
      </c>
      <c r="F58" s="10" t="s">
        <v>2279</v>
      </c>
      <c r="G58" s="8" t="e">
        <f>VLOOKUP(Tabela8[[#This Row],[Cód.]],CENTRAL[#All],9,0)</f>
        <v>#REF!</v>
      </c>
      <c r="XFB58">
        <v>200002227</v>
      </c>
    </row>
    <row r="59" spans="1:7 16382:16382" ht="16.5" thickTop="1" thickBot="1" x14ac:dyDescent="0.3">
      <c r="A59">
        <v>200004981</v>
      </c>
      <c r="B59" t="s">
        <v>178</v>
      </c>
      <c r="C59" t="s">
        <v>9</v>
      </c>
      <c r="D59" s="10" t="e">
        <f>VLOOKUP(Tabela8[[#This Row],[Cód.]],#REF!,7,0)</f>
        <v>#REF!</v>
      </c>
      <c r="E59" s="9" t="s">
        <v>2282</v>
      </c>
      <c r="F59" s="10" t="s">
        <v>2279</v>
      </c>
      <c r="G59" s="8" t="e">
        <f>VLOOKUP(Tabela8[[#This Row],[Cód.]],CENTRAL[#All],9,0)</f>
        <v>#REF!</v>
      </c>
      <c r="XFB59">
        <v>200002226</v>
      </c>
    </row>
    <row r="60" spans="1:7 16382:16382" ht="16.5" thickTop="1" thickBot="1" x14ac:dyDescent="0.3">
      <c r="A60">
        <v>200000138</v>
      </c>
      <c r="B60" t="s">
        <v>181</v>
      </c>
      <c r="C60" t="s">
        <v>9</v>
      </c>
      <c r="D60" s="10" t="e">
        <f>VLOOKUP(Tabela8[[#This Row],[Cód.]],#REF!,7,0)</f>
        <v>#REF!</v>
      </c>
      <c r="E60" s="9" t="s">
        <v>2282</v>
      </c>
      <c r="F60" s="10" t="s">
        <v>2279</v>
      </c>
      <c r="G60" s="8" t="e">
        <f>VLOOKUP(Tabela8[[#This Row],[Cód.]],CENTRAL[#All],9,0)</f>
        <v>#REF!</v>
      </c>
    </row>
    <row r="61" spans="1:7 16382:16382" ht="16.5" thickTop="1" thickBot="1" x14ac:dyDescent="0.3">
      <c r="A61">
        <v>200005991</v>
      </c>
      <c r="B61" t="s">
        <v>374</v>
      </c>
      <c r="C61" t="s">
        <v>9</v>
      </c>
      <c r="D61" s="10" t="e">
        <f>VLOOKUP(Tabela8[[#This Row],[Cód.]],#REF!,7,0)</f>
        <v>#REF!</v>
      </c>
      <c r="E61" s="9" t="s">
        <v>2282</v>
      </c>
      <c r="F61" s="10" t="s">
        <v>2279</v>
      </c>
      <c r="G61" s="8" t="e">
        <f>VLOOKUP(Tabela8[[#This Row],[Cód.]],CENTRAL[#All],9,0)</f>
        <v>#REF!</v>
      </c>
    </row>
    <row r="62" spans="1:7 16382:16382" ht="16.5" thickTop="1" thickBot="1" x14ac:dyDescent="0.3">
      <c r="A62">
        <v>200003397</v>
      </c>
      <c r="B62" t="s">
        <v>387</v>
      </c>
      <c r="C62" t="s">
        <v>9</v>
      </c>
      <c r="D62" s="10" t="e">
        <f>VLOOKUP(Tabela8[[#This Row],[Cód.]],#REF!,7,0)</f>
        <v>#REF!</v>
      </c>
      <c r="E62" s="9" t="s">
        <v>2282</v>
      </c>
      <c r="F62" s="10" t="s">
        <v>2279</v>
      </c>
      <c r="G62" s="8" t="e">
        <f>VLOOKUP(Tabela8[[#This Row],[Cód.]],CENTRAL[#All],9,0)</f>
        <v>#REF!</v>
      </c>
    </row>
    <row r="63" spans="1:7 16382:16382" ht="16.5" thickTop="1" thickBot="1" x14ac:dyDescent="0.3">
      <c r="A63">
        <v>200002129</v>
      </c>
      <c r="B63" t="s">
        <v>390</v>
      </c>
      <c r="C63" t="s">
        <v>9</v>
      </c>
      <c r="D63" s="10" t="e">
        <f>VLOOKUP(Tabela8[[#This Row],[Cód.]],#REF!,7,0)</f>
        <v>#REF!</v>
      </c>
      <c r="E63" s="9" t="s">
        <v>2282</v>
      </c>
      <c r="F63" s="10" t="s">
        <v>2279</v>
      </c>
      <c r="G63" s="8" t="e">
        <f>VLOOKUP(Tabela8[[#This Row],[Cód.]],CENTRAL[#All],9,0)</f>
        <v>#REF!</v>
      </c>
    </row>
    <row r="64" spans="1:7 16382:16382" ht="16.5" thickTop="1" thickBot="1" x14ac:dyDescent="0.3">
      <c r="A64">
        <v>200003398</v>
      </c>
      <c r="B64" t="s">
        <v>391</v>
      </c>
      <c r="C64" t="s">
        <v>9</v>
      </c>
      <c r="D64" s="10" t="e">
        <f>VLOOKUP(Tabela8[[#This Row],[Cód.]],#REF!,7,0)</f>
        <v>#REF!</v>
      </c>
      <c r="E64" s="9" t="s">
        <v>2282</v>
      </c>
      <c r="F64" s="10" t="s">
        <v>2279</v>
      </c>
      <c r="G64" s="8" t="e">
        <f>VLOOKUP(Tabela8[[#This Row],[Cód.]],CENTRAL[#All],9,0)</f>
        <v>#REF!</v>
      </c>
    </row>
    <row r="65" spans="1:41" ht="16.5" thickTop="1" thickBot="1" x14ac:dyDescent="0.3">
      <c r="A65">
        <v>200003399</v>
      </c>
      <c r="B65" t="s">
        <v>392</v>
      </c>
      <c r="C65" t="s">
        <v>9</v>
      </c>
      <c r="D65" s="10" t="e">
        <f>VLOOKUP(Tabela8[[#This Row],[Cód.]],#REF!,7,0)</f>
        <v>#REF!</v>
      </c>
      <c r="E65" s="9" t="s">
        <v>2282</v>
      </c>
      <c r="F65" s="10" t="s">
        <v>2279</v>
      </c>
      <c r="G65" s="8" t="e">
        <f>VLOOKUP(Tabela8[[#This Row],[Cód.]],CENTRAL[#All],9,0)</f>
        <v>#REF!</v>
      </c>
    </row>
    <row r="66" spans="1:41" ht="16.5" thickTop="1" thickBot="1" x14ac:dyDescent="0.3">
      <c r="A66">
        <v>200004806</v>
      </c>
      <c r="B66" t="s">
        <v>402</v>
      </c>
      <c r="C66" t="s">
        <v>9</v>
      </c>
      <c r="D66" s="10" t="e">
        <f>VLOOKUP(Tabela8[[#This Row],[Cód.]],#REF!,7,0)</f>
        <v>#REF!</v>
      </c>
      <c r="E66" s="9" t="s">
        <v>2282</v>
      </c>
      <c r="F66" s="10" t="s">
        <v>2279</v>
      </c>
      <c r="G66" s="8" t="e">
        <f>VLOOKUP(Tabela8[[#This Row],[Cód.]],CENTRAL[#All],9,0)</f>
        <v>#REF!</v>
      </c>
      <c r="AO66" s="2"/>
    </row>
    <row r="67" spans="1:41" ht="16.5" thickTop="1" thickBot="1" x14ac:dyDescent="0.3">
      <c r="A67">
        <v>200004807</v>
      </c>
      <c r="B67" t="s">
        <v>403</v>
      </c>
      <c r="C67" t="s">
        <v>9</v>
      </c>
      <c r="D67" s="10" t="e">
        <f>VLOOKUP(Tabela8[[#This Row],[Cód.]],#REF!,7,0)</f>
        <v>#REF!</v>
      </c>
      <c r="E67" s="9" t="s">
        <v>2282</v>
      </c>
      <c r="F67" s="10" t="s">
        <v>2279</v>
      </c>
      <c r="G67" s="8" t="e">
        <f>VLOOKUP(Tabela8[[#This Row],[Cód.]],CENTRAL[#All],9,0)</f>
        <v>#REF!</v>
      </c>
    </row>
    <row r="68" spans="1:41" ht="16.5" thickTop="1" thickBot="1" x14ac:dyDescent="0.3">
      <c r="A68">
        <v>200000551</v>
      </c>
      <c r="B68" t="s">
        <v>744</v>
      </c>
      <c r="C68" t="s">
        <v>9</v>
      </c>
      <c r="D68" s="10" t="e">
        <f>VLOOKUP(Tabela8[[#This Row],[Cód.]],#REF!,7,0)</f>
        <v>#REF!</v>
      </c>
      <c r="E68" s="9" t="s">
        <v>2282</v>
      </c>
      <c r="F68" s="10" t="s">
        <v>2279</v>
      </c>
      <c r="G68" s="8" t="e">
        <f>VLOOKUP(Tabela8[[#This Row],[Cód.]],CENTRAL[#All],9,0)</f>
        <v>#REF!</v>
      </c>
    </row>
    <row r="69" spans="1:41" ht="16.5" thickTop="1" thickBot="1" x14ac:dyDescent="0.3">
      <c r="A69">
        <v>200000551</v>
      </c>
      <c r="B69" t="s">
        <v>744</v>
      </c>
      <c r="C69" t="s">
        <v>9</v>
      </c>
      <c r="D69" s="10" t="e">
        <f>VLOOKUP(Tabela8[[#This Row],[Cód.]],#REF!,7,0)</f>
        <v>#REF!</v>
      </c>
      <c r="E69" s="9" t="s">
        <v>2282</v>
      </c>
      <c r="F69" s="10" t="s">
        <v>2279</v>
      </c>
      <c r="G69" s="8" t="e">
        <f>VLOOKUP(Tabela8[[#This Row],[Cód.]],CENTRAL[#All],9,0)</f>
        <v>#REF!</v>
      </c>
    </row>
    <row r="70" spans="1:41" ht="16.5" thickTop="1" thickBot="1" x14ac:dyDescent="0.3">
      <c r="A70">
        <v>200004983</v>
      </c>
      <c r="B70" t="s">
        <v>745</v>
      </c>
      <c r="C70" t="s">
        <v>9</v>
      </c>
      <c r="D70" s="10" t="e">
        <f>VLOOKUP(Tabela8[[#This Row],[Cód.]],#REF!,7,0)</f>
        <v>#REF!</v>
      </c>
      <c r="E70" s="9" t="s">
        <v>2282</v>
      </c>
      <c r="F70" s="10" t="s">
        <v>2279</v>
      </c>
      <c r="G70" s="8" t="e">
        <f>VLOOKUP(Tabela8[[#This Row],[Cód.]],CENTRAL[#All],9,0)</f>
        <v>#REF!</v>
      </c>
    </row>
    <row r="71" spans="1:41" ht="16.5" thickTop="1" thickBot="1" x14ac:dyDescent="0.3">
      <c r="A71">
        <v>200004982</v>
      </c>
      <c r="B71" t="s">
        <v>746</v>
      </c>
      <c r="C71" t="s">
        <v>9</v>
      </c>
      <c r="D71" s="10" t="e">
        <f>VLOOKUP(Tabela8[[#This Row],[Cód.]],#REF!,7,0)</f>
        <v>#REF!</v>
      </c>
      <c r="E71" s="9" t="s">
        <v>2282</v>
      </c>
      <c r="F71" s="10" t="s">
        <v>2279</v>
      </c>
      <c r="G71" s="8" t="e">
        <f>VLOOKUP(Tabela8[[#This Row],[Cód.]],CENTRAL[#All],9,0)</f>
        <v>#REF!</v>
      </c>
    </row>
    <row r="72" spans="1:41" ht="16.5" thickTop="1" thickBot="1" x14ac:dyDescent="0.3">
      <c r="A72">
        <v>200002340</v>
      </c>
      <c r="B72" t="s">
        <v>1029</v>
      </c>
      <c r="C72" t="s">
        <v>9</v>
      </c>
      <c r="D72" s="10" t="e">
        <f>VLOOKUP(Tabela8[[#This Row],[Cód.]],#REF!,7,0)</f>
        <v>#REF!</v>
      </c>
      <c r="E72" s="9" t="s">
        <v>2282</v>
      </c>
      <c r="F72" s="10" t="s">
        <v>2279</v>
      </c>
      <c r="G72" s="8" t="e">
        <f>VLOOKUP(Tabela8[[#This Row],[Cód.]],CENTRAL[#All],9,0)</f>
        <v>#REF!</v>
      </c>
    </row>
    <row r="73" spans="1:41" ht="16.5" thickTop="1" thickBot="1" x14ac:dyDescent="0.3">
      <c r="A73">
        <v>200000717</v>
      </c>
      <c r="B73" t="s">
        <v>1041</v>
      </c>
      <c r="C73" t="s">
        <v>9</v>
      </c>
      <c r="D73" s="10" t="e">
        <f>VLOOKUP(Tabela8[[#This Row],[Cód.]],#REF!,7,0)</f>
        <v>#REF!</v>
      </c>
      <c r="E73" s="9" t="s">
        <v>2282</v>
      </c>
      <c r="F73" s="10" t="s">
        <v>2279</v>
      </c>
      <c r="G73" s="8" t="e">
        <f>VLOOKUP(Tabela8[[#This Row],[Cód.]],CENTRAL[#All],9,0)</f>
        <v>#REF!</v>
      </c>
    </row>
    <row r="74" spans="1:41" ht="16.5" thickTop="1" thickBot="1" x14ac:dyDescent="0.3">
      <c r="A74">
        <v>200006080</v>
      </c>
      <c r="B74" t="s">
        <v>209</v>
      </c>
      <c r="C74" t="s">
        <v>9</v>
      </c>
      <c r="D74" s="10" t="e">
        <f>VLOOKUP(Tabela8[[#This Row],[Cód.]],#REF!,7,0)</f>
        <v>#REF!</v>
      </c>
      <c r="E74" s="9" t="s">
        <v>2283</v>
      </c>
      <c r="F74" s="10" t="s">
        <v>2279</v>
      </c>
      <c r="G74" s="8" t="e">
        <f>VLOOKUP(Tabela8[[#This Row],[Cód.]],CENTRAL[#All],9,0)</f>
        <v>#REF!</v>
      </c>
    </row>
    <row r="75" spans="1:41" ht="16.5" thickTop="1" thickBot="1" x14ac:dyDescent="0.3">
      <c r="A75">
        <v>200006373</v>
      </c>
      <c r="B75" t="s">
        <v>423</v>
      </c>
      <c r="C75" t="s">
        <v>96</v>
      </c>
      <c r="D75" s="10" t="e">
        <f>VLOOKUP(Tabela8[[#This Row],[Cód.]],#REF!,7,0)</f>
        <v>#REF!</v>
      </c>
      <c r="E75" s="9" t="s">
        <v>2283</v>
      </c>
      <c r="F75" s="10" t="s">
        <v>2279</v>
      </c>
      <c r="G75" s="8" t="e">
        <f>VLOOKUP(Tabela8[[#This Row],[Cód.]],CENTRAL[#All],9,0)</f>
        <v>#REF!</v>
      </c>
    </row>
    <row r="76" spans="1:41" ht="16.5" thickTop="1" thickBot="1" x14ac:dyDescent="0.3">
      <c r="A76">
        <v>200006187</v>
      </c>
      <c r="B76" t="s">
        <v>425</v>
      </c>
      <c r="C76" t="s">
        <v>96</v>
      </c>
      <c r="D76" s="10" t="e">
        <f>VLOOKUP(Tabela8[[#This Row],[Cód.]],#REF!,7,0)</f>
        <v>#REF!</v>
      </c>
      <c r="E76" s="9" t="s">
        <v>2283</v>
      </c>
      <c r="F76" s="10" t="s">
        <v>2279</v>
      </c>
      <c r="G76" s="8" t="e">
        <f>VLOOKUP(Tabela8[[#This Row],[Cód.]],CENTRAL[#All],9,0)</f>
        <v>#REF!</v>
      </c>
    </row>
    <row r="77" spans="1:41" ht="16.5" thickTop="1" thickBot="1" x14ac:dyDescent="0.3">
      <c r="A77">
        <v>200006078</v>
      </c>
      <c r="B77" t="s">
        <v>694</v>
      </c>
      <c r="C77" t="s">
        <v>9</v>
      </c>
      <c r="D77" s="10" t="e">
        <f>VLOOKUP(Tabela8[[#This Row],[Cód.]],#REF!,7,0)</f>
        <v>#REF!</v>
      </c>
      <c r="E77" s="9" t="s">
        <v>2283</v>
      </c>
      <c r="F77" s="10" t="s">
        <v>2279</v>
      </c>
      <c r="G77" s="8" t="e">
        <f>VLOOKUP(Tabela8[[#This Row],[Cód.]],CENTRAL[#All],9,0)</f>
        <v>#REF!</v>
      </c>
    </row>
    <row r="78" spans="1:41" ht="16.5" thickTop="1" thickBot="1" x14ac:dyDescent="0.3">
      <c r="A78">
        <v>200006081</v>
      </c>
      <c r="B78" t="s">
        <v>832</v>
      </c>
      <c r="C78" t="s">
        <v>9</v>
      </c>
      <c r="D78" s="10" t="e">
        <f>VLOOKUP(Tabela8[[#This Row],[Cód.]],#REF!,7,0)</f>
        <v>#REF!</v>
      </c>
      <c r="E78" s="9" t="s">
        <v>2283</v>
      </c>
      <c r="F78" s="10" t="s">
        <v>2279</v>
      </c>
      <c r="G78" s="8" t="e">
        <f>VLOOKUP(Tabela8[[#This Row],[Cód.]],CENTRAL[#All],9,0)</f>
        <v>#REF!</v>
      </c>
    </row>
    <row r="79" spans="1:41" ht="16.5" thickTop="1" thickBot="1" x14ac:dyDescent="0.3">
      <c r="A79">
        <v>200006079</v>
      </c>
      <c r="B79" t="s">
        <v>2299</v>
      </c>
      <c r="C79" t="s">
        <v>9</v>
      </c>
      <c r="D79" s="10" t="e">
        <f>VLOOKUP(Tabela8[[#This Row],[Cód.]],#REF!,7,0)</f>
        <v>#REF!</v>
      </c>
      <c r="E79" s="9" t="s">
        <v>2283</v>
      </c>
      <c r="F79" s="10" t="s">
        <v>2279</v>
      </c>
      <c r="G79" s="8" t="e">
        <f>VLOOKUP(Tabela8[[#This Row],[Cód.]],CENTRAL[#All],9,0)</f>
        <v>#REF!</v>
      </c>
    </row>
    <row r="80" spans="1:41" ht="16.5" thickTop="1" thickBot="1" x14ac:dyDescent="0.3">
      <c r="A80">
        <v>200005757</v>
      </c>
      <c r="B80" t="s">
        <v>80</v>
      </c>
      <c r="C80" t="s">
        <v>9</v>
      </c>
      <c r="D80" s="10" t="e">
        <f>VLOOKUP(Tabela8[[#This Row],[Cód.]],#REF!,7,0)</f>
        <v>#REF!</v>
      </c>
      <c r="E80" s="9" t="s">
        <v>2284</v>
      </c>
      <c r="F80" s="10" t="s">
        <v>2279</v>
      </c>
      <c r="G80" s="8" t="e">
        <f>VLOOKUP(Tabela8[[#This Row],[Cód.]],CENTRAL[#All],9,0)</f>
        <v>#REF!</v>
      </c>
    </row>
    <row r="81" spans="1:7" ht="16.5" thickTop="1" thickBot="1" x14ac:dyDescent="0.3">
      <c r="A81">
        <v>200006209</v>
      </c>
      <c r="B81" t="s">
        <v>172</v>
      </c>
      <c r="C81" t="s">
        <v>96</v>
      </c>
      <c r="D81" s="10" t="e">
        <f>VLOOKUP(Tabela8[[#This Row],[Cód.]],#REF!,7,0)</f>
        <v>#REF!</v>
      </c>
      <c r="E81" s="9" t="s">
        <v>2284</v>
      </c>
      <c r="F81" s="10" t="s">
        <v>2279</v>
      </c>
      <c r="G81" s="8" t="e">
        <f>VLOOKUP(Tabela8[[#This Row],[Cód.]],CENTRAL[#All],9,0)</f>
        <v>#REF!</v>
      </c>
    </row>
    <row r="82" spans="1:7" ht="16.5" thickTop="1" thickBot="1" x14ac:dyDescent="0.3">
      <c r="A82">
        <v>200004434</v>
      </c>
      <c r="B82" t="s">
        <v>207</v>
      </c>
      <c r="C82" t="s">
        <v>9</v>
      </c>
      <c r="D82" s="10" t="e">
        <f>VLOOKUP(Tabela8[[#This Row],[Cód.]],#REF!,7,0)</f>
        <v>#REF!</v>
      </c>
      <c r="E82" s="9" t="s">
        <v>2284</v>
      </c>
      <c r="F82" s="10" t="s">
        <v>2279</v>
      </c>
      <c r="G82" s="8" t="e">
        <f>VLOOKUP(Tabela8[[#This Row],[Cód.]],CENTRAL[#All],9,0)</f>
        <v>#REF!</v>
      </c>
    </row>
    <row r="83" spans="1:7" ht="16.5" thickTop="1" thickBot="1" x14ac:dyDescent="0.3">
      <c r="A83">
        <v>200004119</v>
      </c>
      <c r="B83" t="s">
        <v>411</v>
      </c>
      <c r="C83" t="s">
        <v>294</v>
      </c>
      <c r="D83" s="10" t="e">
        <f>VLOOKUP(Tabela8[[#This Row],[Cód.]],#REF!,7,0)</f>
        <v>#REF!</v>
      </c>
      <c r="E83" s="9" t="s">
        <v>2284</v>
      </c>
      <c r="F83" s="10" t="s">
        <v>2279</v>
      </c>
      <c r="G83" s="8" t="e">
        <f>VLOOKUP(Tabela8[[#This Row],[Cód.]],CENTRAL[#All],9,0)</f>
        <v>#REF!</v>
      </c>
    </row>
    <row r="84" spans="1:7" ht="16.5" thickTop="1" thickBot="1" x14ac:dyDescent="0.3">
      <c r="A84">
        <v>200000390</v>
      </c>
      <c r="B84" t="s">
        <v>428</v>
      </c>
      <c r="C84" t="s">
        <v>82</v>
      </c>
      <c r="D84" s="10" t="e">
        <f>VLOOKUP(Tabela8[[#This Row],[Cód.]],#REF!,7,0)</f>
        <v>#REF!</v>
      </c>
      <c r="E84" s="9" t="s">
        <v>2284</v>
      </c>
      <c r="F84" s="10" t="s">
        <v>2279</v>
      </c>
      <c r="G84" s="8" t="e">
        <f>VLOOKUP(Tabela8[[#This Row],[Cód.]],CENTRAL[#All],9,0)</f>
        <v>#REF!</v>
      </c>
    </row>
    <row r="85" spans="1:7" ht="16.5" thickTop="1" thickBot="1" x14ac:dyDescent="0.3">
      <c r="A85">
        <v>200000390</v>
      </c>
      <c r="B85" t="s">
        <v>428</v>
      </c>
      <c r="C85" t="s">
        <v>82</v>
      </c>
      <c r="D85" s="10" t="e">
        <f>VLOOKUP(Tabela8[[#This Row],[Cód.]],#REF!,7,0)</f>
        <v>#REF!</v>
      </c>
      <c r="E85" s="9" t="s">
        <v>2284</v>
      </c>
      <c r="F85" s="10" t="s">
        <v>2279</v>
      </c>
      <c r="G85" s="8" t="e">
        <f>VLOOKUP(Tabela8[[#This Row],[Cód.]],CENTRAL[#All],9,0)</f>
        <v>#REF!</v>
      </c>
    </row>
    <row r="86" spans="1:7" ht="16.5" thickTop="1" thickBot="1" x14ac:dyDescent="0.3">
      <c r="A86">
        <v>200006304</v>
      </c>
      <c r="B86" t="s">
        <v>608</v>
      </c>
      <c r="C86" t="s">
        <v>9</v>
      </c>
      <c r="D86" s="10" t="e">
        <f>VLOOKUP(Tabela8[[#This Row],[Cód.]],#REF!,7,0)</f>
        <v>#REF!</v>
      </c>
      <c r="E86" s="9" t="s">
        <v>2284</v>
      </c>
      <c r="F86" s="10" t="s">
        <v>2279</v>
      </c>
      <c r="G86" s="8" t="e">
        <f>VLOOKUP(Tabela8[[#This Row],[Cód.]],CENTRAL[#All],9,0)</f>
        <v>#REF!</v>
      </c>
    </row>
    <row r="87" spans="1:7" ht="16.5" thickTop="1" thickBot="1" x14ac:dyDescent="0.3">
      <c r="A87">
        <v>200005291</v>
      </c>
      <c r="B87" t="s">
        <v>623</v>
      </c>
      <c r="C87" t="s">
        <v>9</v>
      </c>
      <c r="D87" s="10" t="e">
        <f>VLOOKUP(Tabela8[[#This Row],[Cód.]],#REF!,7,0)</f>
        <v>#REF!</v>
      </c>
      <c r="E87" s="9" t="s">
        <v>2284</v>
      </c>
      <c r="F87" s="10" t="s">
        <v>2279</v>
      </c>
      <c r="G87" s="8" t="e">
        <f>VLOOKUP(Tabela8[[#This Row],[Cód.]],CENTRAL[#All],9,0)</f>
        <v>#REF!</v>
      </c>
    </row>
    <row r="88" spans="1:7" ht="16.5" thickTop="1" thickBot="1" x14ac:dyDescent="0.3">
      <c r="A88">
        <v>200004590</v>
      </c>
      <c r="B88" t="s">
        <v>660</v>
      </c>
      <c r="C88" t="s">
        <v>9</v>
      </c>
      <c r="D88" s="10" t="e">
        <f>VLOOKUP(Tabela8[[#This Row],[Cód.]],#REF!,7,0)</f>
        <v>#REF!</v>
      </c>
      <c r="E88" s="9" t="s">
        <v>2284</v>
      </c>
      <c r="F88" s="10" t="s">
        <v>2279</v>
      </c>
      <c r="G88" s="8" t="e">
        <f>VLOOKUP(Tabela8[[#This Row],[Cód.]],CENTRAL[#All],9,0)</f>
        <v>#REF!</v>
      </c>
    </row>
    <row r="89" spans="1:7" ht="16.5" thickTop="1" thickBot="1" x14ac:dyDescent="0.3">
      <c r="A89">
        <v>200005824</v>
      </c>
      <c r="B89" t="s">
        <v>675</v>
      </c>
      <c r="C89" t="s">
        <v>96</v>
      </c>
      <c r="D89" s="10" t="e">
        <f>VLOOKUP(Tabela8[[#This Row],[Cód.]],#REF!,7,0)</f>
        <v>#REF!</v>
      </c>
      <c r="E89" s="9" t="s">
        <v>2284</v>
      </c>
      <c r="F89" s="10" t="s">
        <v>2279</v>
      </c>
      <c r="G89" s="8" t="e">
        <f>VLOOKUP(Tabela8[[#This Row],[Cód.]],CENTRAL[#All],9,0)</f>
        <v>#REF!</v>
      </c>
    </row>
    <row r="90" spans="1:7" ht="16.5" thickTop="1" thickBot="1" x14ac:dyDescent="0.3">
      <c r="A90">
        <v>200006697</v>
      </c>
      <c r="B90" t="s">
        <v>679</v>
      </c>
      <c r="C90" t="s">
        <v>9</v>
      </c>
      <c r="D90" s="10" t="e">
        <f>VLOOKUP(Tabela8[[#This Row],[Cód.]],#REF!,7,0)</f>
        <v>#REF!</v>
      </c>
      <c r="E90" s="9" t="s">
        <v>2284</v>
      </c>
      <c r="F90" s="10" t="s">
        <v>2279</v>
      </c>
      <c r="G90" s="8" t="e">
        <f>VLOOKUP(Tabela8[[#This Row],[Cód.]],CENTRAL[#All],9,0)</f>
        <v>#REF!</v>
      </c>
    </row>
    <row r="91" spans="1:7" ht="16.5" thickTop="1" thickBot="1" x14ac:dyDescent="0.3">
      <c r="A91">
        <v>200005290</v>
      </c>
      <c r="B91" t="s">
        <v>707</v>
      </c>
      <c r="C91" t="s">
        <v>9</v>
      </c>
      <c r="D91" s="10" t="e">
        <f>VLOOKUP(Tabela8[[#This Row],[Cód.]],#REF!,7,0)</f>
        <v>#REF!</v>
      </c>
      <c r="E91" s="9" t="s">
        <v>2284</v>
      </c>
      <c r="F91" s="10" t="s">
        <v>2279</v>
      </c>
      <c r="G91" s="8" t="e">
        <f>VLOOKUP(Tabela8[[#This Row],[Cód.]],CENTRAL[#All],9,0)</f>
        <v>#REF!</v>
      </c>
    </row>
    <row r="92" spans="1:7" ht="16.5" thickTop="1" thickBot="1" x14ac:dyDescent="0.3">
      <c r="A92">
        <v>200005513</v>
      </c>
      <c r="B92" t="s">
        <v>708</v>
      </c>
      <c r="C92" t="s">
        <v>9</v>
      </c>
      <c r="D92" s="10" t="e">
        <f>VLOOKUP(Tabela8[[#This Row],[Cód.]],#REF!,7,0)</f>
        <v>#REF!</v>
      </c>
      <c r="E92" s="9" t="s">
        <v>2284</v>
      </c>
      <c r="F92" s="10" t="s">
        <v>2279</v>
      </c>
      <c r="G92" s="8" t="e">
        <f>VLOOKUP(Tabela8[[#This Row],[Cód.]],CENTRAL[#All],9,0)</f>
        <v>#REF!</v>
      </c>
    </row>
    <row r="93" spans="1:7" ht="16.5" thickTop="1" thickBot="1" x14ac:dyDescent="0.3">
      <c r="A93">
        <v>200004118</v>
      </c>
      <c r="B93" t="s">
        <v>733</v>
      </c>
      <c r="C93" t="s">
        <v>9</v>
      </c>
      <c r="D93" s="10" t="e">
        <f>VLOOKUP(Tabela8[[#This Row],[Cód.]],#REF!,7,0)</f>
        <v>#REF!</v>
      </c>
      <c r="E93" s="9" t="s">
        <v>2284</v>
      </c>
      <c r="F93" s="10" t="s">
        <v>2279</v>
      </c>
      <c r="G93" s="8" t="e">
        <f>VLOOKUP(Tabela8[[#This Row],[Cód.]],CENTRAL[#All],9,0)</f>
        <v>#REF!</v>
      </c>
    </row>
    <row r="94" spans="1:7" ht="16.5" thickTop="1" thickBot="1" x14ac:dyDescent="0.3">
      <c r="A94">
        <v>200005514</v>
      </c>
      <c r="B94" t="s">
        <v>831</v>
      </c>
      <c r="C94" t="s">
        <v>9</v>
      </c>
      <c r="D94" s="10" t="e">
        <f>VLOOKUP(Tabela8[[#This Row],[Cód.]],#REF!,7,0)</f>
        <v>#REF!</v>
      </c>
      <c r="E94" s="9" t="s">
        <v>2284</v>
      </c>
      <c r="F94" s="10" t="s">
        <v>2279</v>
      </c>
      <c r="G94" s="8" t="e">
        <f>VLOOKUP(Tabela8[[#This Row],[Cód.]],CENTRAL[#All],9,0)</f>
        <v>#REF!</v>
      </c>
    </row>
    <row r="95" spans="1:7" ht="16.5" thickTop="1" thickBot="1" x14ac:dyDescent="0.3">
      <c r="A95">
        <v>200003584</v>
      </c>
      <c r="B95" t="s">
        <v>31</v>
      </c>
      <c r="C95" t="s">
        <v>9</v>
      </c>
      <c r="D95" s="10" t="e">
        <f>VLOOKUP(Tabela8[[#This Row],[Cód.]],#REF!,7,0)</f>
        <v>#REF!</v>
      </c>
      <c r="E95" s="9" t="s">
        <v>2285</v>
      </c>
      <c r="F95" s="10" t="s">
        <v>2279</v>
      </c>
      <c r="G95" s="8" t="e">
        <f>VLOOKUP(Tabela8[[#This Row],[Cód.]],CENTRAL[#All],9,0)</f>
        <v>#REF!</v>
      </c>
    </row>
    <row r="96" spans="1:7" ht="16.5" thickTop="1" thickBot="1" x14ac:dyDescent="0.3">
      <c r="A96">
        <v>200003585</v>
      </c>
      <c r="B96" t="s">
        <v>32</v>
      </c>
      <c r="C96" t="s">
        <v>9</v>
      </c>
      <c r="D96" s="10" t="e">
        <f>VLOOKUP(Tabela8[[#This Row],[Cód.]],#REF!,7,0)</f>
        <v>#REF!</v>
      </c>
      <c r="E96" s="9" t="s">
        <v>2285</v>
      </c>
      <c r="F96" s="10" t="s">
        <v>2279</v>
      </c>
      <c r="G96" s="8" t="e">
        <f>VLOOKUP(Tabela8[[#This Row],[Cód.]],CENTRAL[#All],9,0)</f>
        <v>#REF!</v>
      </c>
    </row>
    <row r="97" spans="1:7" ht="16.5" thickTop="1" thickBot="1" x14ac:dyDescent="0.3">
      <c r="A97">
        <v>200003586</v>
      </c>
      <c r="B97" t="s">
        <v>33</v>
      </c>
      <c r="C97" t="s">
        <v>9</v>
      </c>
      <c r="D97" s="10" t="e">
        <f>VLOOKUP(Tabela8[[#This Row],[Cód.]],#REF!,7,0)</f>
        <v>#REF!</v>
      </c>
      <c r="E97" s="9" t="s">
        <v>2285</v>
      </c>
      <c r="F97" s="10" t="s">
        <v>2279</v>
      </c>
      <c r="G97" s="8" t="e">
        <f>VLOOKUP(Tabela8[[#This Row],[Cód.]],CENTRAL[#All],9,0)</f>
        <v>#REF!</v>
      </c>
    </row>
    <row r="98" spans="1:7" ht="16.5" thickTop="1" thickBot="1" x14ac:dyDescent="0.3">
      <c r="A98">
        <v>200003587</v>
      </c>
      <c r="B98" t="s">
        <v>34</v>
      </c>
      <c r="C98" t="s">
        <v>9</v>
      </c>
      <c r="D98" s="10" t="e">
        <f>VLOOKUP(Tabela8[[#This Row],[Cód.]],#REF!,7,0)</f>
        <v>#REF!</v>
      </c>
      <c r="E98" s="9" t="s">
        <v>2285</v>
      </c>
      <c r="F98" s="10" t="s">
        <v>2279</v>
      </c>
      <c r="G98" s="8" t="e">
        <f>VLOOKUP(Tabela8[[#This Row],[Cód.]],CENTRAL[#All],9,0)</f>
        <v>#REF!</v>
      </c>
    </row>
    <row r="99" spans="1:7" ht="16.5" thickTop="1" thickBot="1" x14ac:dyDescent="0.3">
      <c r="A99">
        <v>200003588</v>
      </c>
      <c r="B99" t="s">
        <v>35</v>
      </c>
      <c r="C99" t="s">
        <v>9</v>
      </c>
      <c r="D99" s="10" t="e">
        <f>VLOOKUP(Tabela8[[#This Row],[Cód.]],#REF!,7,0)</f>
        <v>#REF!</v>
      </c>
      <c r="E99" s="9" t="s">
        <v>2285</v>
      </c>
      <c r="F99" s="10" t="s">
        <v>2279</v>
      </c>
      <c r="G99" s="8" t="e">
        <f>VLOOKUP(Tabela8[[#This Row],[Cód.]],CENTRAL[#All],9,0)</f>
        <v>#REF!</v>
      </c>
    </row>
    <row r="100" spans="1:7" ht="16.5" thickTop="1" thickBot="1" x14ac:dyDescent="0.3">
      <c r="A100">
        <v>200003589</v>
      </c>
      <c r="B100" t="s">
        <v>36</v>
      </c>
      <c r="C100" t="s">
        <v>9</v>
      </c>
      <c r="D100" s="10" t="e">
        <f>VLOOKUP(Tabela8[[#This Row],[Cód.]],#REF!,7,0)</f>
        <v>#REF!</v>
      </c>
      <c r="E100" s="9" t="s">
        <v>2285</v>
      </c>
      <c r="F100" s="10" t="s">
        <v>2279</v>
      </c>
      <c r="G100" s="8" t="e">
        <f>VLOOKUP(Tabela8[[#This Row],[Cód.]],CENTRAL[#All],9,0)</f>
        <v>#REF!</v>
      </c>
    </row>
    <row r="101" spans="1:7" ht="16.5" thickTop="1" thickBot="1" x14ac:dyDescent="0.3">
      <c r="A101">
        <v>200002344</v>
      </c>
      <c r="B101" t="s">
        <v>37</v>
      </c>
      <c r="C101" t="s">
        <v>9</v>
      </c>
      <c r="D101" s="10" t="e">
        <f>VLOOKUP(Tabela8[[#This Row],[Cód.]],#REF!,7,0)</f>
        <v>#REF!</v>
      </c>
      <c r="E101" s="9" t="s">
        <v>2285</v>
      </c>
      <c r="F101" s="10" t="s">
        <v>2279</v>
      </c>
      <c r="G101" s="8" t="e">
        <f>VLOOKUP(Tabela8[[#This Row],[Cód.]],CENTRAL[#All],9,0)</f>
        <v>#REF!</v>
      </c>
    </row>
    <row r="102" spans="1:7" ht="16.5" thickTop="1" thickBot="1" x14ac:dyDescent="0.3">
      <c r="A102">
        <v>200003593</v>
      </c>
      <c r="B102" t="s">
        <v>44</v>
      </c>
      <c r="C102" t="s">
        <v>9</v>
      </c>
      <c r="D102" s="10" t="e">
        <f>VLOOKUP(Tabela8[[#This Row],[Cód.]],#REF!,7,0)</f>
        <v>#REF!</v>
      </c>
      <c r="E102" s="9" t="s">
        <v>2285</v>
      </c>
      <c r="F102" s="10" t="s">
        <v>2279</v>
      </c>
      <c r="G102" s="8" t="e">
        <f>VLOOKUP(Tabela8[[#This Row],[Cód.]],CENTRAL[#All],9,0)</f>
        <v>#REF!</v>
      </c>
    </row>
    <row r="103" spans="1:7" ht="16.5" thickTop="1" thickBot="1" x14ac:dyDescent="0.3">
      <c r="A103">
        <v>200003590</v>
      </c>
      <c r="B103" t="s">
        <v>47</v>
      </c>
      <c r="C103" t="s">
        <v>9</v>
      </c>
      <c r="D103" s="10" t="e">
        <f>VLOOKUP(Tabela8[[#This Row],[Cód.]],#REF!,7,0)</f>
        <v>#REF!</v>
      </c>
      <c r="E103" s="9" t="s">
        <v>2285</v>
      </c>
      <c r="F103" s="10" t="s">
        <v>2279</v>
      </c>
      <c r="G103" s="8" t="e">
        <f>VLOOKUP(Tabela8[[#This Row],[Cód.]],CENTRAL[#All],9,0)</f>
        <v>#REF!</v>
      </c>
    </row>
    <row r="104" spans="1:7" ht="16.5" thickTop="1" thickBot="1" x14ac:dyDescent="0.3">
      <c r="A104">
        <v>200003591</v>
      </c>
      <c r="B104" t="s">
        <v>48</v>
      </c>
      <c r="C104" t="s">
        <v>9</v>
      </c>
      <c r="D104" s="10" t="e">
        <f>VLOOKUP(Tabela8[[#This Row],[Cód.]],#REF!,7,0)</f>
        <v>#REF!</v>
      </c>
      <c r="E104" s="9" t="s">
        <v>2285</v>
      </c>
      <c r="F104" s="10" t="s">
        <v>2279</v>
      </c>
      <c r="G104" s="8" t="e">
        <f>VLOOKUP(Tabela8[[#This Row],[Cód.]],CENTRAL[#All],9,0)</f>
        <v>#REF!</v>
      </c>
    </row>
    <row r="105" spans="1:7" ht="16.5" thickTop="1" thickBot="1" x14ac:dyDescent="0.3">
      <c r="A105">
        <v>200003592</v>
      </c>
      <c r="B105" t="s">
        <v>49</v>
      </c>
      <c r="C105" t="s">
        <v>9</v>
      </c>
      <c r="D105" s="10" t="e">
        <f>VLOOKUP(Tabela8[[#This Row],[Cód.]],#REF!,7,0)</f>
        <v>#REF!</v>
      </c>
      <c r="E105" s="9" t="s">
        <v>2285</v>
      </c>
      <c r="F105" s="10" t="s">
        <v>2279</v>
      </c>
      <c r="G105" s="8" t="e">
        <f>VLOOKUP(Tabela8[[#This Row],[Cód.]],CENTRAL[#All],9,0)</f>
        <v>#REF!</v>
      </c>
    </row>
    <row r="106" spans="1:7" ht="16.5" thickTop="1" thickBot="1" x14ac:dyDescent="0.3">
      <c r="A106">
        <v>200001909</v>
      </c>
      <c r="B106" t="s">
        <v>51</v>
      </c>
      <c r="C106" t="s">
        <v>9</v>
      </c>
      <c r="D106" s="10" t="e">
        <f>VLOOKUP(Tabela8[[#This Row],[Cód.]],#REF!,7,0)</f>
        <v>#REF!</v>
      </c>
      <c r="E106" s="9" t="s">
        <v>2285</v>
      </c>
      <c r="F106" s="10" t="s">
        <v>2279</v>
      </c>
      <c r="G106" s="8" t="e">
        <f>VLOOKUP(Tabela8[[#This Row],[Cód.]],CENTRAL[#All],9,0)</f>
        <v>#REF!</v>
      </c>
    </row>
    <row r="107" spans="1:7" ht="16.5" thickTop="1" thickBot="1" x14ac:dyDescent="0.3">
      <c r="A107">
        <v>200001912</v>
      </c>
      <c r="B107" t="s">
        <v>52</v>
      </c>
      <c r="C107" t="s">
        <v>9</v>
      </c>
      <c r="D107" s="10" t="e">
        <f>VLOOKUP(Tabela8[[#This Row],[Cód.]],#REF!,7,0)</f>
        <v>#REF!</v>
      </c>
      <c r="E107" s="9" t="s">
        <v>2285</v>
      </c>
      <c r="F107" s="10" t="s">
        <v>2279</v>
      </c>
      <c r="G107" s="8" t="e">
        <f>VLOOKUP(Tabela8[[#This Row],[Cód.]],CENTRAL[#All],9,0)</f>
        <v>#REF!</v>
      </c>
    </row>
    <row r="108" spans="1:7" ht="16.5" thickTop="1" thickBot="1" x14ac:dyDescent="0.3">
      <c r="A108">
        <v>200001908</v>
      </c>
      <c r="B108" t="s">
        <v>53</v>
      </c>
      <c r="C108" t="s">
        <v>9</v>
      </c>
      <c r="D108" s="10" t="e">
        <f>VLOOKUP(Tabela8[[#This Row],[Cód.]],#REF!,7,0)</f>
        <v>#REF!</v>
      </c>
      <c r="E108" s="9" t="s">
        <v>2285</v>
      </c>
      <c r="F108" s="10" t="s">
        <v>2279</v>
      </c>
      <c r="G108" s="8" t="e">
        <f>VLOOKUP(Tabela8[[#This Row],[Cód.]],CENTRAL[#All],9,0)</f>
        <v>#REF!</v>
      </c>
    </row>
    <row r="109" spans="1:7" ht="16.5" thickTop="1" thickBot="1" x14ac:dyDescent="0.3">
      <c r="A109">
        <v>200004889</v>
      </c>
      <c r="B109" t="s">
        <v>54</v>
      </c>
      <c r="C109" t="s">
        <v>9</v>
      </c>
      <c r="D109" s="10" t="e">
        <f>VLOOKUP(Tabela8[[#This Row],[Cód.]],#REF!,7,0)</f>
        <v>#REF!</v>
      </c>
      <c r="E109" s="9" t="s">
        <v>2285</v>
      </c>
      <c r="F109" s="10" t="s">
        <v>2279</v>
      </c>
      <c r="G109" s="8" t="e">
        <f>VLOOKUP(Tabela8[[#This Row],[Cód.]],CENTRAL[#All],9,0)</f>
        <v>#REF!</v>
      </c>
    </row>
    <row r="110" spans="1:7" ht="16.5" thickTop="1" thickBot="1" x14ac:dyDescent="0.3">
      <c r="A110">
        <v>200001915</v>
      </c>
      <c r="B110" t="s">
        <v>57</v>
      </c>
      <c r="C110" t="s">
        <v>9</v>
      </c>
      <c r="D110" s="10" t="e">
        <f>VLOOKUP(Tabela8[[#This Row],[Cód.]],#REF!,7,0)</f>
        <v>#REF!</v>
      </c>
      <c r="E110" s="9" t="s">
        <v>2285</v>
      </c>
      <c r="F110" s="10" t="s">
        <v>2279</v>
      </c>
      <c r="G110" s="8" t="e">
        <f>VLOOKUP(Tabela8[[#This Row],[Cód.]],CENTRAL[#All],9,0)</f>
        <v>#REF!</v>
      </c>
    </row>
    <row r="111" spans="1:7" ht="16.5" thickTop="1" thickBot="1" x14ac:dyDescent="0.3">
      <c r="A111">
        <v>200001916</v>
      </c>
      <c r="B111" t="s">
        <v>58</v>
      </c>
      <c r="C111" t="s">
        <v>9</v>
      </c>
      <c r="D111" s="10" t="e">
        <f>VLOOKUP(Tabela8[[#This Row],[Cód.]],#REF!,7,0)</f>
        <v>#REF!</v>
      </c>
      <c r="E111" s="9" t="s">
        <v>2285</v>
      </c>
      <c r="F111" s="10" t="s">
        <v>2279</v>
      </c>
      <c r="G111" s="8" t="e">
        <f>VLOOKUP(Tabela8[[#This Row],[Cód.]],CENTRAL[#All],9,0)</f>
        <v>#REF!</v>
      </c>
    </row>
    <row r="112" spans="1:7" ht="16.5" thickTop="1" thickBot="1" x14ac:dyDescent="0.3">
      <c r="A112">
        <v>200003582</v>
      </c>
      <c r="B112" t="s">
        <v>59</v>
      </c>
      <c r="C112" t="s">
        <v>9</v>
      </c>
      <c r="D112" s="10" t="e">
        <f>VLOOKUP(Tabela8[[#This Row],[Cód.]],#REF!,7,0)</f>
        <v>#REF!</v>
      </c>
      <c r="E112" s="9" t="s">
        <v>2285</v>
      </c>
      <c r="F112" s="10" t="s">
        <v>2279</v>
      </c>
      <c r="G112" s="8" t="e">
        <f>VLOOKUP(Tabela8[[#This Row],[Cód.]],CENTRAL[#All],9,0)</f>
        <v>#REF!</v>
      </c>
    </row>
    <row r="113" spans="1:7" ht="16.5" thickTop="1" thickBot="1" x14ac:dyDescent="0.3">
      <c r="A113">
        <v>200006759</v>
      </c>
      <c r="B113" t="s">
        <v>75</v>
      </c>
      <c r="C113" t="s">
        <v>9</v>
      </c>
      <c r="D113" s="10" t="e">
        <f>VLOOKUP(Tabela8[[#This Row],[Cód.]],#REF!,7,0)</f>
        <v>#REF!</v>
      </c>
      <c r="E113" s="9" t="s">
        <v>2285</v>
      </c>
      <c r="F113" s="10" t="s">
        <v>2279</v>
      </c>
      <c r="G113" s="8" t="e">
        <f>VLOOKUP(Tabela8[[#This Row],[Cód.]],CENTRAL[#All],9,0)</f>
        <v>#REF!</v>
      </c>
    </row>
    <row r="114" spans="1:7" ht="16.5" thickTop="1" thickBot="1" x14ac:dyDescent="0.3">
      <c r="A114">
        <v>200006760</v>
      </c>
      <c r="B114" t="s">
        <v>76</v>
      </c>
      <c r="C114" t="s">
        <v>9</v>
      </c>
      <c r="D114" s="10" t="e">
        <f>VLOOKUP(Tabela8[[#This Row],[Cód.]],#REF!,7,0)</f>
        <v>#REF!</v>
      </c>
      <c r="E114" s="9" t="s">
        <v>2285</v>
      </c>
      <c r="F114" s="10" t="s">
        <v>2279</v>
      </c>
      <c r="G114" s="8" t="e">
        <f>VLOOKUP(Tabela8[[#This Row],[Cód.]],CENTRAL[#All],9,0)</f>
        <v>#REF!</v>
      </c>
    </row>
    <row r="115" spans="1:7" ht="16.5" thickTop="1" thickBot="1" x14ac:dyDescent="0.3">
      <c r="A115">
        <v>200006761</v>
      </c>
      <c r="B115" t="s">
        <v>77</v>
      </c>
      <c r="C115" t="s">
        <v>9</v>
      </c>
      <c r="D115" s="10" t="e">
        <f>VLOOKUP(Tabela8[[#This Row],[Cód.]],#REF!,7,0)</f>
        <v>#REF!</v>
      </c>
      <c r="E115" s="9" t="s">
        <v>2285</v>
      </c>
      <c r="F115" s="10" t="s">
        <v>2279</v>
      </c>
      <c r="G115" s="8" t="e">
        <f>VLOOKUP(Tabela8[[#This Row],[Cód.]],CENTRAL[#All],9,0)</f>
        <v>#REF!</v>
      </c>
    </row>
    <row r="116" spans="1:7" ht="16.5" thickTop="1" thickBot="1" x14ac:dyDescent="0.3">
      <c r="A116">
        <v>200001919</v>
      </c>
      <c r="B116" t="s">
        <v>152</v>
      </c>
      <c r="C116" t="s">
        <v>9</v>
      </c>
      <c r="D116" s="10" t="e">
        <f>VLOOKUP(Tabela8[[#This Row],[Cód.]],#REF!,7,0)</f>
        <v>#REF!</v>
      </c>
      <c r="E116" s="9" t="s">
        <v>2285</v>
      </c>
      <c r="F116" s="10" t="s">
        <v>2279</v>
      </c>
      <c r="G116" s="8" t="e">
        <f>VLOOKUP(Tabela8[[#This Row],[Cód.]],CENTRAL[#All],9,0)</f>
        <v>#REF!</v>
      </c>
    </row>
    <row r="117" spans="1:7" ht="16.5" thickTop="1" thickBot="1" x14ac:dyDescent="0.3">
      <c r="A117">
        <v>200000112</v>
      </c>
      <c r="B117" t="s">
        <v>156</v>
      </c>
      <c r="C117" t="s">
        <v>9</v>
      </c>
      <c r="D117" s="10" t="e">
        <f>VLOOKUP(Tabela8[[#This Row],[Cód.]],#REF!,7,0)</f>
        <v>#REF!</v>
      </c>
      <c r="E117" s="9" t="s">
        <v>2285</v>
      </c>
      <c r="F117" s="10" t="s">
        <v>2279</v>
      </c>
      <c r="G117" s="8" t="e">
        <f>VLOOKUP(Tabela8[[#This Row],[Cód.]],CENTRAL[#All],9,0)</f>
        <v>#REF!</v>
      </c>
    </row>
    <row r="118" spans="1:7" ht="16.5" thickTop="1" thickBot="1" x14ac:dyDescent="0.3">
      <c r="A118">
        <v>200003612</v>
      </c>
      <c r="B118" t="s">
        <v>158</v>
      </c>
      <c r="C118" t="s">
        <v>9</v>
      </c>
      <c r="D118" s="10" t="e">
        <f>VLOOKUP(Tabela8[[#This Row],[Cód.]],#REF!,7,0)</f>
        <v>#REF!</v>
      </c>
      <c r="E118" s="9" t="s">
        <v>2285</v>
      </c>
      <c r="F118" s="10" t="s">
        <v>2279</v>
      </c>
      <c r="G118" s="8" t="e">
        <f>VLOOKUP(Tabela8[[#This Row],[Cód.]],CENTRAL[#All],9,0)</f>
        <v>#REF!</v>
      </c>
    </row>
    <row r="119" spans="1:7" ht="16.5" thickTop="1" thickBot="1" x14ac:dyDescent="0.3">
      <c r="A119">
        <v>200001922</v>
      </c>
      <c r="B119" t="s">
        <v>163</v>
      </c>
      <c r="C119" t="s">
        <v>9</v>
      </c>
      <c r="D119" s="10" t="e">
        <f>VLOOKUP(Tabela8[[#This Row],[Cód.]],#REF!,7,0)</f>
        <v>#REF!</v>
      </c>
      <c r="E119" s="9" t="s">
        <v>2285</v>
      </c>
      <c r="F119" s="10" t="s">
        <v>2279</v>
      </c>
      <c r="G119" s="8" t="e">
        <f>VLOOKUP(Tabela8[[#This Row],[Cód.]],CENTRAL[#All],9,0)</f>
        <v>#REF!</v>
      </c>
    </row>
    <row r="120" spans="1:7" ht="16.5" thickTop="1" thickBot="1" x14ac:dyDescent="0.3">
      <c r="A120">
        <v>200001923</v>
      </c>
      <c r="B120" t="s">
        <v>164</v>
      </c>
      <c r="C120" t="s">
        <v>9</v>
      </c>
      <c r="D120" s="10" t="e">
        <f>VLOOKUP(Tabela8[[#This Row],[Cód.]],#REF!,7,0)</f>
        <v>#REF!</v>
      </c>
      <c r="E120" s="9" t="s">
        <v>2285</v>
      </c>
      <c r="F120" s="10" t="s">
        <v>2279</v>
      </c>
      <c r="G120" s="8" t="e">
        <f>VLOOKUP(Tabela8[[#This Row],[Cód.]],CENTRAL[#All],9,0)</f>
        <v>#REF!</v>
      </c>
    </row>
    <row r="121" spans="1:7" ht="16.5" thickTop="1" thickBot="1" x14ac:dyDescent="0.3">
      <c r="A121">
        <v>200001924</v>
      </c>
      <c r="B121" t="s">
        <v>165</v>
      </c>
      <c r="C121" t="s">
        <v>9</v>
      </c>
      <c r="D121" s="10" t="e">
        <f>VLOOKUP(Tabela8[[#This Row],[Cód.]],#REF!,7,0)</f>
        <v>#REF!</v>
      </c>
      <c r="E121" s="9" t="s">
        <v>2285</v>
      </c>
      <c r="F121" s="10" t="s">
        <v>2279</v>
      </c>
      <c r="G121" s="8" t="e">
        <f>VLOOKUP(Tabela8[[#This Row],[Cód.]],CENTRAL[#All],9,0)</f>
        <v>#REF!</v>
      </c>
    </row>
    <row r="122" spans="1:7" ht="16.5" thickTop="1" thickBot="1" x14ac:dyDescent="0.3">
      <c r="A122">
        <v>200001925</v>
      </c>
      <c r="B122" t="s">
        <v>166</v>
      </c>
      <c r="C122" t="s">
        <v>9</v>
      </c>
      <c r="D122" s="10" t="e">
        <f>VLOOKUP(Tabela8[[#This Row],[Cód.]],#REF!,7,0)</f>
        <v>#REF!</v>
      </c>
      <c r="E122" s="9" t="s">
        <v>2285</v>
      </c>
      <c r="F122" s="10" t="s">
        <v>2279</v>
      </c>
      <c r="G122" s="8" t="e">
        <f>VLOOKUP(Tabela8[[#This Row],[Cód.]],CENTRAL[#All],9,0)</f>
        <v>#REF!</v>
      </c>
    </row>
    <row r="123" spans="1:7" ht="16.5" thickTop="1" thickBot="1" x14ac:dyDescent="0.3">
      <c r="A123">
        <v>200001926</v>
      </c>
      <c r="B123" t="s">
        <v>167</v>
      </c>
      <c r="C123" t="s">
        <v>9</v>
      </c>
      <c r="D123" s="10" t="e">
        <f>VLOOKUP(Tabela8[[#This Row],[Cód.]],#REF!,7,0)</f>
        <v>#REF!</v>
      </c>
      <c r="E123" s="9" t="s">
        <v>2285</v>
      </c>
      <c r="F123" s="10" t="s">
        <v>2279</v>
      </c>
      <c r="G123" s="8" t="e">
        <f>VLOOKUP(Tabela8[[#This Row],[Cód.]],CENTRAL[#All],9,0)</f>
        <v>#REF!</v>
      </c>
    </row>
    <row r="124" spans="1:7" ht="16.5" thickTop="1" thickBot="1" x14ac:dyDescent="0.3">
      <c r="A124">
        <v>200004183</v>
      </c>
      <c r="B124" t="s">
        <v>168</v>
      </c>
      <c r="C124" t="s">
        <v>9</v>
      </c>
      <c r="D124" s="10" t="e">
        <f>VLOOKUP(Tabela8[[#This Row],[Cód.]],#REF!,7,0)</f>
        <v>#REF!</v>
      </c>
      <c r="E124" s="9" t="s">
        <v>2285</v>
      </c>
      <c r="F124" s="10" t="s">
        <v>2279</v>
      </c>
      <c r="G124" s="8" t="e">
        <f>VLOOKUP(Tabela8[[#This Row],[Cód.]],CENTRAL[#All],9,0)</f>
        <v>#REF!</v>
      </c>
    </row>
    <row r="125" spans="1:7" ht="16.5" thickTop="1" thickBot="1" x14ac:dyDescent="0.3">
      <c r="A125">
        <v>200003595</v>
      </c>
      <c r="B125" t="s">
        <v>169</v>
      </c>
      <c r="C125" t="s">
        <v>9</v>
      </c>
      <c r="D125" s="10" t="e">
        <f>VLOOKUP(Tabela8[[#This Row],[Cód.]],#REF!,7,0)</f>
        <v>#REF!</v>
      </c>
      <c r="E125" s="9" t="s">
        <v>2285</v>
      </c>
      <c r="F125" s="10" t="s">
        <v>2279</v>
      </c>
      <c r="G125" s="8" t="e">
        <f>VLOOKUP(Tabela8[[#This Row],[Cód.]],CENTRAL[#All],9,0)</f>
        <v>#REF!</v>
      </c>
    </row>
    <row r="126" spans="1:7" ht="16.5" thickTop="1" thickBot="1" x14ac:dyDescent="0.3">
      <c r="A126">
        <v>200006768</v>
      </c>
      <c r="B126" t="s">
        <v>170</v>
      </c>
      <c r="C126" t="s">
        <v>9</v>
      </c>
      <c r="D126" s="10" t="e">
        <f>VLOOKUP(Tabela8[[#This Row],[Cód.]],#REF!,7,0)</f>
        <v>#REF!</v>
      </c>
      <c r="E126" s="9" t="s">
        <v>2285</v>
      </c>
      <c r="F126" s="10" t="s">
        <v>2279</v>
      </c>
      <c r="G126" s="8" t="e">
        <f>VLOOKUP(Tabela8[[#This Row],[Cód.]],CENTRAL[#All],9,0)</f>
        <v>#REF!</v>
      </c>
    </row>
    <row r="127" spans="1:7" ht="16.5" thickTop="1" thickBot="1" x14ac:dyDescent="0.3">
      <c r="A127">
        <v>200003594</v>
      </c>
      <c r="B127" t="s">
        <v>171</v>
      </c>
      <c r="C127" t="s">
        <v>9</v>
      </c>
      <c r="D127" s="10" t="e">
        <f>VLOOKUP(Tabela8[[#This Row],[Cód.]],#REF!,7,0)</f>
        <v>#REF!</v>
      </c>
      <c r="E127" s="9" t="s">
        <v>2285</v>
      </c>
      <c r="F127" s="10" t="s">
        <v>2279</v>
      </c>
      <c r="G127" s="8" t="e">
        <f>VLOOKUP(Tabela8[[#This Row],[Cód.]],CENTRAL[#All],9,0)</f>
        <v>#REF!</v>
      </c>
    </row>
    <row r="128" spans="1:7" ht="16.5" thickTop="1" thickBot="1" x14ac:dyDescent="0.3">
      <c r="A128">
        <v>200001928</v>
      </c>
      <c r="B128" t="s">
        <v>210</v>
      </c>
      <c r="C128" t="s">
        <v>9</v>
      </c>
      <c r="D128" s="10" t="e">
        <f>VLOOKUP(Tabela8[[#This Row],[Cód.]],#REF!,7,0)</f>
        <v>#REF!</v>
      </c>
      <c r="E128" s="9" t="s">
        <v>2285</v>
      </c>
      <c r="F128" s="10" t="s">
        <v>2279</v>
      </c>
      <c r="G128" s="8" t="e">
        <f>VLOOKUP(Tabela8[[#This Row],[Cód.]],CENTRAL[#All],9,0)</f>
        <v>#REF!</v>
      </c>
    </row>
    <row r="129" spans="1:7" ht="16.5" thickTop="1" thickBot="1" x14ac:dyDescent="0.3">
      <c r="A129">
        <v>200000175</v>
      </c>
      <c r="B129" t="s">
        <v>213</v>
      </c>
      <c r="C129" t="s">
        <v>9</v>
      </c>
      <c r="D129" s="10" t="e">
        <f>VLOOKUP(Tabela8[[#This Row],[Cód.]],#REF!,7,0)</f>
        <v>#REF!</v>
      </c>
      <c r="E129" s="9" t="s">
        <v>2285</v>
      </c>
      <c r="F129" s="10" t="s">
        <v>2279</v>
      </c>
      <c r="G129" s="8" t="e">
        <f>VLOOKUP(Tabela8[[#This Row],[Cód.]],CENTRAL[#All],9,0)</f>
        <v>#REF!</v>
      </c>
    </row>
    <row r="130" spans="1:7" ht="16.5" thickTop="1" thickBot="1" x14ac:dyDescent="0.3">
      <c r="A130">
        <v>200001932</v>
      </c>
      <c r="B130" t="s">
        <v>216</v>
      </c>
      <c r="C130" t="s">
        <v>9</v>
      </c>
      <c r="D130" s="10" t="e">
        <f>VLOOKUP(Tabela8[[#This Row],[Cód.]],#REF!,7,0)</f>
        <v>#REF!</v>
      </c>
      <c r="E130" s="9" t="s">
        <v>2285</v>
      </c>
      <c r="F130" s="10" t="s">
        <v>2279</v>
      </c>
      <c r="G130" s="8" t="e">
        <f>VLOOKUP(Tabela8[[#This Row],[Cód.]],CENTRAL[#All],9,0)</f>
        <v>#REF!</v>
      </c>
    </row>
    <row r="131" spans="1:7" ht="16.5" thickTop="1" thickBot="1" x14ac:dyDescent="0.3">
      <c r="A131">
        <v>200001933</v>
      </c>
      <c r="B131" t="s">
        <v>217</v>
      </c>
      <c r="C131" t="s">
        <v>9</v>
      </c>
      <c r="D131" s="10" t="e">
        <f>VLOOKUP(Tabela8[[#This Row],[Cód.]],#REF!,7,0)</f>
        <v>#REF!</v>
      </c>
      <c r="E131" s="9" t="s">
        <v>2285</v>
      </c>
      <c r="F131" s="10" t="s">
        <v>2279</v>
      </c>
      <c r="G131" s="8" t="e">
        <f>VLOOKUP(Tabela8[[#This Row],[Cód.]],CENTRAL[#All],9,0)</f>
        <v>#REF!</v>
      </c>
    </row>
    <row r="132" spans="1:7" ht="16.5" thickTop="1" thickBot="1" x14ac:dyDescent="0.3">
      <c r="A132">
        <v>200001934</v>
      </c>
      <c r="B132" t="s">
        <v>218</v>
      </c>
      <c r="C132" t="s">
        <v>9</v>
      </c>
      <c r="D132" s="10" t="e">
        <f>VLOOKUP(Tabela8[[#This Row],[Cód.]],#REF!,7,0)</f>
        <v>#REF!</v>
      </c>
      <c r="E132" s="9" t="s">
        <v>2285</v>
      </c>
      <c r="F132" s="10" t="s">
        <v>2279</v>
      </c>
      <c r="G132" s="8" t="e">
        <f>VLOOKUP(Tabela8[[#This Row],[Cód.]],CENTRAL[#All],9,0)</f>
        <v>#REF!</v>
      </c>
    </row>
    <row r="133" spans="1:7" ht="16.5" thickTop="1" thickBot="1" x14ac:dyDescent="0.3">
      <c r="A133">
        <v>200001935</v>
      </c>
      <c r="B133" t="s">
        <v>219</v>
      </c>
      <c r="C133" t="s">
        <v>9</v>
      </c>
      <c r="D133" s="10" t="e">
        <f>VLOOKUP(Tabela8[[#This Row],[Cód.]],#REF!,7,0)</f>
        <v>#REF!</v>
      </c>
      <c r="E133" s="9" t="s">
        <v>2285</v>
      </c>
      <c r="F133" s="10" t="s">
        <v>2279</v>
      </c>
      <c r="G133" s="8" t="e">
        <f>VLOOKUP(Tabela8[[#This Row],[Cód.]],CENTRAL[#All],9,0)</f>
        <v>#REF!</v>
      </c>
    </row>
    <row r="134" spans="1:7" ht="16.5" thickTop="1" thickBot="1" x14ac:dyDescent="0.3">
      <c r="A134">
        <v>200003596</v>
      </c>
      <c r="B134" t="s">
        <v>220</v>
      </c>
      <c r="C134" t="s">
        <v>9</v>
      </c>
      <c r="D134" s="10" t="e">
        <f>VLOOKUP(Tabela8[[#This Row],[Cód.]],#REF!,7,0)</f>
        <v>#REF!</v>
      </c>
      <c r="E134" s="9" t="s">
        <v>2285</v>
      </c>
      <c r="F134" s="10" t="s">
        <v>2279</v>
      </c>
      <c r="G134" s="8" t="e">
        <f>VLOOKUP(Tabela8[[#This Row],[Cód.]],CENTRAL[#All],9,0)</f>
        <v>#REF!</v>
      </c>
    </row>
    <row r="135" spans="1:7" ht="16.5" thickTop="1" thickBot="1" x14ac:dyDescent="0.3">
      <c r="A135">
        <v>200007177</v>
      </c>
      <c r="B135" t="s">
        <v>222</v>
      </c>
      <c r="C135" t="s">
        <v>9</v>
      </c>
      <c r="D135" s="10" t="e">
        <f>VLOOKUP(Tabela8[[#This Row],[Cód.]],#REF!,7,0)</f>
        <v>#REF!</v>
      </c>
      <c r="E135" s="9" t="s">
        <v>2285</v>
      </c>
      <c r="F135" s="10" t="s">
        <v>2279</v>
      </c>
      <c r="G135" s="8" t="e">
        <f>VLOOKUP(Tabela8[[#This Row],[Cód.]],CENTRAL[#All],9,0)</f>
        <v>#REF!</v>
      </c>
    </row>
    <row r="136" spans="1:7" ht="16.5" thickTop="1" thickBot="1" x14ac:dyDescent="0.3">
      <c r="A136">
        <v>200001931</v>
      </c>
      <c r="B136" t="s">
        <v>223</v>
      </c>
      <c r="C136" t="s">
        <v>9</v>
      </c>
      <c r="D136" s="10" t="e">
        <f>VLOOKUP(Tabela8[[#This Row],[Cód.]],#REF!,7,0)</f>
        <v>#REF!</v>
      </c>
      <c r="E136" s="9" t="s">
        <v>2285</v>
      </c>
      <c r="F136" s="10" t="s">
        <v>2279</v>
      </c>
      <c r="G136" s="8" t="e">
        <f>VLOOKUP(Tabela8[[#This Row],[Cód.]],CENTRAL[#All],9,0)</f>
        <v>#REF!</v>
      </c>
    </row>
    <row r="137" spans="1:7" ht="16.5" thickTop="1" thickBot="1" x14ac:dyDescent="0.3">
      <c r="A137">
        <v>200001930</v>
      </c>
      <c r="B137" t="s">
        <v>225</v>
      </c>
      <c r="C137" t="s">
        <v>9</v>
      </c>
      <c r="D137" s="10" t="e">
        <f>VLOOKUP(Tabela8[[#This Row],[Cód.]],#REF!,7,0)</f>
        <v>#REF!</v>
      </c>
      <c r="E137" s="9" t="s">
        <v>2285</v>
      </c>
      <c r="F137" s="10" t="s">
        <v>2279</v>
      </c>
      <c r="G137" s="8" t="e">
        <f>VLOOKUP(Tabela8[[#This Row],[Cód.]],CENTRAL[#All],9,0)</f>
        <v>#REF!</v>
      </c>
    </row>
    <row r="138" spans="1:7" ht="16.5" thickTop="1" thickBot="1" x14ac:dyDescent="0.3">
      <c r="A138">
        <v>200001929</v>
      </c>
      <c r="B138" t="s">
        <v>226</v>
      </c>
      <c r="C138" t="s">
        <v>9</v>
      </c>
      <c r="D138" s="10" t="e">
        <f>VLOOKUP(Tabela8[[#This Row],[Cód.]],#REF!,7,0)</f>
        <v>#REF!</v>
      </c>
      <c r="E138" s="9" t="s">
        <v>2285</v>
      </c>
      <c r="F138" s="10" t="s">
        <v>2279</v>
      </c>
      <c r="G138" s="8" t="e">
        <f>VLOOKUP(Tabela8[[#This Row],[Cód.]],CENTRAL[#All],9,0)</f>
        <v>#REF!</v>
      </c>
    </row>
    <row r="139" spans="1:7" ht="16.5" thickTop="1" thickBot="1" x14ac:dyDescent="0.3">
      <c r="A139">
        <v>200001350</v>
      </c>
      <c r="B139" t="s">
        <v>227</v>
      </c>
      <c r="C139" t="s">
        <v>9</v>
      </c>
      <c r="D139" s="10" t="e">
        <f>VLOOKUP(Tabela8[[#This Row],[Cód.]],#REF!,7,0)</f>
        <v>#REF!</v>
      </c>
      <c r="E139" s="9" t="s">
        <v>2285</v>
      </c>
      <c r="F139" s="10" t="s">
        <v>2279</v>
      </c>
      <c r="G139" s="8" t="e">
        <f>VLOOKUP(Tabela8[[#This Row],[Cód.]],CENTRAL[#All],9,0)</f>
        <v>#REF!</v>
      </c>
    </row>
    <row r="140" spans="1:7" ht="16.5" thickTop="1" thickBot="1" x14ac:dyDescent="0.3">
      <c r="A140">
        <v>200001939</v>
      </c>
      <c r="B140" t="s">
        <v>313</v>
      </c>
      <c r="C140" t="s">
        <v>9</v>
      </c>
      <c r="D140" s="10" t="e">
        <f>VLOOKUP(Tabela8[[#This Row],[Cód.]],#REF!,7,0)</f>
        <v>#REF!</v>
      </c>
      <c r="E140" s="9" t="s">
        <v>2285</v>
      </c>
      <c r="F140" s="10" t="s">
        <v>2279</v>
      </c>
      <c r="G140" s="8" t="e">
        <f>VLOOKUP(Tabela8[[#This Row],[Cód.]],CENTRAL[#All],9,0)</f>
        <v>#REF!</v>
      </c>
    </row>
    <row r="141" spans="1:7" ht="16.5" thickTop="1" thickBot="1" x14ac:dyDescent="0.3">
      <c r="A141">
        <v>200001937</v>
      </c>
      <c r="B141" t="s">
        <v>314</v>
      </c>
      <c r="C141" t="s">
        <v>9</v>
      </c>
      <c r="D141" s="10" t="e">
        <f>VLOOKUP(Tabela8[[#This Row],[Cód.]],#REF!,7,0)</f>
        <v>#REF!</v>
      </c>
      <c r="E141" s="9" t="s">
        <v>2285</v>
      </c>
      <c r="F141" s="10" t="s">
        <v>2279</v>
      </c>
      <c r="G141" s="8" t="e">
        <f>VLOOKUP(Tabela8[[#This Row],[Cód.]],CENTRAL[#All],9,0)</f>
        <v>#REF!</v>
      </c>
    </row>
    <row r="142" spans="1:7" ht="16.5" thickTop="1" thickBot="1" x14ac:dyDescent="0.3">
      <c r="A142">
        <v>200001936</v>
      </c>
      <c r="B142" t="s">
        <v>315</v>
      </c>
      <c r="C142" t="s">
        <v>9</v>
      </c>
      <c r="D142" s="10" t="e">
        <f>VLOOKUP(Tabela8[[#This Row],[Cód.]],#REF!,7,0)</f>
        <v>#REF!</v>
      </c>
      <c r="E142" s="9" t="s">
        <v>2285</v>
      </c>
      <c r="F142" s="10" t="s">
        <v>2279</v>
      </c>
      <c r="G142" s="8" t="e">
        <f>VLOOKUP(Tabela8[[#This Row],[Cód.]],CENTRAL[#All],9,0)</f>
        <v>#REF!</v>
      </c>
    </row>
    <row r="143" spans="1:7" ht="16.5" thickTop="1" thickBot="1" x14ac:dyDescent="0.3">
      <c r="A143">
        <v>200002347</v>
      </c>
      <c r="B143" t="s">
        <v>316</v>
      </c>
      <c r="C143" t="s">
        <v>9</v>
      </c>
      <c r="D143" s="10" t="e">
        <f>VLOOKUP(Tabela8[[#This Row],[Cód.]],#REF!,7,0)</f>
        <v>#REF!</v>
      </c>
      <c r="E143" s="9" t="s">
        <v>2285</v>
      </c>
      <c r="F143" s="10" t="s">
        <v>2279</v>
      </c>
      <c r="G143" s="8" t="e">
        <f>VLOOKUP(Tabela8[[#This Row],[Cód.]],CENTRAL[#All],9,0)</f>
        <v>#REF!</v>
      </c>
    </row>
    <row r="144" spans="1:7" ht="16.5" thickTop="1" thickBot="1" x14ac:dyDescent="0.3">
      <c r="A144">
        <v>200001938</v>
      </c>
      <c r="B144" t="s">
        <v>317</v>
      </c>
      <c r="C144" t="s">
        <v>9</v>
      </c>
      <c r="D144" s="10" t="e">
        <f>VLOOKUP(Tabela8[[#This Row],[Cód.]],#REF!,7,0)</f>
        <v>#REF!</v>
      </c>
      <c r="E144" s="9" t="s">
        <v>2285</v>
      </c>
      <c r="F144" s="10" t="s">
        <v>2279</v>
      </c>
      <c r="G144" s="8" t="e">
        <f>VLOOKUP(Tabela8[[#This Row],[Cód.]],CENTRAL[#All],9,0)</f>
        <v>#REF!</v>
      </c>
    </row>
    <row r="145" spans="1:7" ht="16.5" thickTop="1" thickBot="1" x14ac:dyDescent="0.3">
      <c r="A145">
        <v>200001943</v>
      </c>
      <c r="B145" t="s">
        <v>323</v>
      </c>
      <c r="C145" t="s">
        <v>9</v>
      </c>
      <c r="D145" s="10" t="e">
        <f>VLOOKUP(Tabela8[[#This Row],[Cód.]],#REF!,7,0)</f>
        <v>#REF!</v>
      </c>
      <c r="E145" s="9" t="s">
        <v>2285</v>
      </c>
      <c r="F145" s="10" t="s">
        <v>2279</v>
      </c>
      <c r="G145" s="8" t="e">
        <f>VLOOKUP(Tabela8[[#This Row],[Cód.]],CENTRAL[#All],9,0)</f>
        <v>#REF!</v>
      </c>
    </row>
    <row r="146" spans="1:7" ht="16.5" thickTop="1" thickBot="1" x14ac:dyDescent="0.3">
      <c r="A146">
        <v>200001940</v>
      </c>
      <c r="B146" t="s">
        <v>324</v>
      </c>
      <c r="C146" t="s">
        <v>9</v>
      </c>
      <c r="D146" s="10" t="e">
        <f>VLOOKUP(Tabela8[[#This Row],[Cód.]],#REF!,7,0)</f>
        <v>#REF!</v>
      </c>
      <c r="E146" s="9" t="s">
        <v>2285</v>
      </c>
      <c r="F146" s="10" t="s">
        <v>2279</v>
      </c>
      <c r="G146" s="8" t="e">
        <f>VLOOKUP(Tabela8[[#This Row],[Cód.]],CENTRAL[#All],9,0)</f>
        <v>#REF!</v>
      </c>
    </row>
    <row r="147" spans="1:7" ht="16.5" thickTop="1" thickBot="1" x14ac:dyDescent="0.3">
      <c r="A147">
        <v>200001941</v>
      </c>
      <c r="B147" t="s">
        <v>325</v>
      </c>
      <c r="C147" t="s">
        <v>9</v>
      </c>
      <c r="D147" s="10" t="e">
        <f>VLOOKUP(Tabela8[[#This Row],[Cód.]],#REF!,7,0)</f>
        <v>#REF!</v>
      </c>
      <c r="E147" s="9" t="s">
        <v>2285</v>
      </c>
      <c r="F147" s="10" t="s">
        <v>2279</v>
      </c>
      <c r="G147" s="8" t="e">
        <f>VLOOKUP(Tabela8[[#This Row],[Cód.]],CENTRAL[#All],9,0)</f>
        <v>#REF!</v>
      </c>
    </row>
    <row r="148" spans="1:7" ht="16.5" thickTop="1" thickBot="1" x14ac:dyDescent="0.3">
      <c r="A148">
        <v>200001942</v>
      </c>
      <c r="B148" t="s">
        <v>326</v>
      </c>
      <c r="C148" t="s">
        <v>9</v>
      </c>
      <c r="D148" s="10" t="e">
        <f>VLOOKUP(Tabela8[[#This Row],[Cód.]],#REF!,7,0)</f>
        <v>#REF!</v>
      </c>
      <c r="E148" s="9" t="s">
        <v>2285</v>
      </c>
      <c r="F148" s="10" t="s">
        <v>2279</v>
      </c>
      <c r="G148" s="8" t="e">
        <f>VLOOKUP(Tabela8[[#This Row],[Cód.]],CENTRAL[#All],9,0)</f>
        <v>#REF!</v>
      </c>
    </row>
    <row r="149" spans="1:7" ht="16.5" thickTop="1" thickBot="1" x14ac:dyDescent="0.3">
      <c r="A149">
        <v>200000256</v>
      </c>
      <c r="B149" t="s">
        <v>327</v>
      </c>
      <c r="C149" t="s">
        <v>9</v>
      </c>
      <c r="D149" s="10" t="e">
        <f>VLOOKUP(Tabela8[[#This Row],[Cód.]],#REF!,7,0)</f>
        <v>#REF!</v>
      </c>
      <c r="E149" s="9" t="s">
        <v>2285</v>
      </c>
      <c r="F149" s="10" t="s">
        <v>2279</v>
      </c>
      <c r="G149" s="8" t="e">
        <f>VLOOKUP(Tabela8[[#This Row],[Cód.]],CENTRAL[#All],9,0)</f>
        <v>#REF!</v>
      </c>
    </row>
    <row r="150" spans="1:7" ht="16.5" thickTop="1" thickBot="1" x14ac:dyDescent="0.3">
      <c r="A150">
        <v>200001945</v>
      </c>
      <c r="B150" t="s">
        <v>328</v>
      </c>
      <c r="C150" t="s">
        <v>9</v>
      </c>
      <c r="D150" s="10" t="e">
        <f>VLOOKUP(Tabela8[[#This Row],[Cód.]],#REF!,7,0)</f>
        <v>#REF!</v>
      </c>
      <c r="E150" s="9" t="s">
        <v>2285</v>
      </c>
      <c r="F150" s="10" t="s">
        <v>2279</v>
      </c>
      <c r="G150" s="8" t="e">
        <f>VLOOKUP(Tabela8[[#This Row],[Cód.]],CENTRAL[#All],9,0)</f>
        <v>#REF!</v>
      </c>
    </row>
    <row r="151" spans="1:7" ht="16.5" thickTop="1" thickBot="1" x14ac:dyDescent="0.3">
      <c r="A151">
        <v>200001946</v>
      </c>
      <c r="B151" t="s">
        <v>329</v>
      </c>
      <c r="C151" t="s">
        <v>9</v>
      </c>
      <c r="D151" s="10" t="e">
        <f>VLOOKUP(Tabela8[[#This Row],[Cód.]],#REF!,7,0)</f>
        <v>#REF!</v>
      </c>
      <c r="E151" s="9" t="s">
        <v>2285</v>
      </c>
      <c r="F151" s="10" t="s">
        <v>2279</v>
      </c>
      <c r="G151" s="8" t="e">
        <f>VLOOKUP(Tabela8[[#This Row],[Cód.]],CENTRAL[#All],9,0)</f>
        <v>#REF!</v>
      </c>
    </row>
    <row r="152" spans="1:7" ht="16.5" thickTop="1" thickBot="1" x14ac:dyDescent="0.3">
      <c r="A152">
        <v>200001020</v>
      </c>
      <c r="B152" t="s">
        <v>331</v>
      </c>
      <c r="C152" t="s">
        <v>9</v>
      </c>
      <c r="D152" s="10" t="e">
        <f>VLOOKUP(Tabela8[[#This Row],[Cód.]],#REF!,7,0)</f>
        <v>#REF!</v>
      </c>
      <c r="E152" s="9" t="s">
        <v>2285</v>
      </c>
      <c r="F152" s="10" t="s">
        <v>2279</v>
      </c>
      <c r="G152" s="8" t="e">
        <f>VLOOKUP(Tabela8[[#This Row],[Cód.]],CENTRAL[#All],9,0)</f>
        <v>#REF!</v>
      </c>
    </row>
    <row r="153" spans="1:7" ht="16.5" thickTop="1" thickBot="1" x14ac:dyDescent="0.3">
      <c r="A153">
        <v>200000255</v>
      </c>
      <c r="B153" t="s">
        <v>332</v>
      </c>
      <c r="C153" t="s">
        <v>9</v>
      </c>
      <c r="D153" s="10" t="e">
        <f>VLOOKUP(Tabela8[[#This Row],[Cód.]],#REF!,7,0)</f>
        <v>#REF!</v>
      </c>
      <c r="E153" s="9" t="s">
        <v>2285</v>
      </c>
      <c r="F153" s="10" t="s">
        <v>2279</v>
      </c>
      <c r="G153" s="8" t="e">
        <f>VLOOKUP(Tabela8[[#This Row],[Cód.]],CENTRAL[#All],9,0)</f>
        <v>#REF!</v>
      </c>
    </row>
    <row r="154" spans="1:7" ht="16.5" thickTop="1" thickBot="1" x14ac:dyDescent="0.3">
      <c r="A154">
        <v>200000258</v>
      </c>
      <c r="B154" t="s">
        <v>333</v>
      </c>
      <c r="C154" t="s">
        <v>9</v>
      </c>
      <c r="D154" s="10" t="e">
        <f>VLOOKUP(Tabela8[[#This Row],[Cód.]],#REF!,7,0)</f>
        <v>#REF!</v>
      </c>
      <c r="E154" s="9" t="s">
        <v>2285</v>
      </c>
      <c r="F154" s="10" t="s">
        <v>2279</v>
      </c>
      <c r="G154" s="8" t="e">
        <f>VLOOKUP(Tabela8[[#This Row],[Cód.]],CENTRAL[#All],9,0)</f>
        <v>#REF!</v>
      </c>
    </row>
    <row r="155" spans="1:7" ht="16.5" thickTop="1" thickBot="1" x14ac:dyDescent="0.3">
      <c r="A155">
        <v>200002341</v>
      </c>
      <c r="B155" t="s">
        <v>449</v>
      </c>
      <c r="C155" t="s">
        <v>9</v>
      </c>
      <c r="D155" s="10" t="e">
        <f>VLOOKUP(Tabela8[[#This Row],[Cód.]],#REF!,7,0)</f>
        <v>#REF!</v>
      </c>
      <c r="E155" s="9" t="s">
        <v>2285</v>
      </c>
      <c r="F155" s="10" t="s">
        <v>2279</v>
      </c>
      <c r="G155" s="8" t="e">
        <f>VLOOKUP(Tabela8[[#This Row],[Cód.]],CENTRAL[#All],9,0)</f>
        <v>#REF!</v>
      </c>
    </row>
    <row r="156" spans="1:7" ht="16.5" thickTop="1" thickBot="1" x14ac:dyDescent="0.3">
      <c r="A156">
        <v>200001952</v>
      </c>
      <c r="B156" t="s">
        <v>450</v>
      </c>
      <c r="C156" t="s">
        <v>9</v>
      </c>
      <c r="D156" s="10" t="e">
        <f>VLOOKUP(Tabela8[[#This Row],[Cód.]],#REF!,7,0)</f>
        <v>#REF!</v>
      </c>
      <c r="E156" s="9" t="s">
        <v>2285</v>
      </c>
      <c r="F156" s="10" t="s">
        <v>2279</v>
      </c>
      <c r="G156" s="8" t="e">
        <f>VLOOKUP(Tabela8[[#This Row],[Cód.]],CENTRAL[#All],9,0)</f>
        <v>#REF!</v>
      </c>
    </row>
    <row r="157" spans="1:7" ht="16.5" thickTop="1" thickBot="1" x14ac:dyDescent="0.3">
      <c r="A157">
        <v>200001953</v>
      </c>
      <c r="B157" t="s">
        <v>451</v>
      </c>
      <c r="C157" t="s">
        <v>9</v>
      </c>
      <c r="D157" s="10" t="e">
        <f>VLOOKUP(Tabela8[[#This Row],[Cód.]],#REF!,7,0)</f>
        <v>#REF!</v>
      </c>
      <c r="E157" s="9" t="s">
        <v>2285</v>
      </c>
      <c r="F157" s="10" t="s">
        <v>2279</v>
      </c>
      <c r="G157" s="8" t="e">
        <f>VLOOKUP(Tabela8[[#This Row],[Cód.]],CENTRAL[#All],9,0)</f>
        <v>#REF!</v>
      </c>
    </row>
    <row r="158" spans="1:7" ht="16.5" thickTop="1" thickBot="1" x14ac:dyDescent="0.3">
      <c r="A158">
        <v>200001951</v>
      </c>
      <c r="B158" t="s">
        <v>452</v>
      </c>
      <c r="C158" t="s">
        <v>9</v>
      </c>
      <c r="D158" s="10" t="e">
        <f>VLOOKUP(Tabela8[[#This Row],[Cód.]],#REF!,7,0)</f>
        <v>#REF!</v>
      </c>
      <c r="E158" s="9" t="s">
        <v>2285</v>
      </c>
      <c r="F158" s="10" t="s">
        <v>2279</v>
      </c>
      <c r="G158" s="8" t="e">
        <f>VLOOKUP(Tabela8[[#This Row],[Cód.]],CENTRAL[#All],9,0)</f>
        <v>#REF!</v>
      </c>
    </row>
    <row r="159" spans="1:7" ht="16.5" thickTop="1" thickBot="1" x14ac:dyDescent="0.3">
      <c r="A159">
        <v>200001948</v>
      </c>
      <c r="B159" t="s">
        <v>456</v>
      </c>
      <c r="C159" t="s">
        <v>9</v>
      </c>
      <c r="D159" s="10" t="e">
        <f>VLOOKUP(Tabela8[[#This Row],[Cód.]],#REF!,7,0)</f>
        <v>#REF!</v>
      </c>
      <c r="E159" s="9" t="s">
        <v>2285</v>
      </c>
      <c r="F159" s="10" t="s">
        <v>2279</v>
      </c>
      <c r="G159" s="8" t="e">
        <f>VLOOKUP(Tabela8[[#This Row],[Cód.]],CENTRAL[#All],9,0)</f>
        <v>#REF!</v>
      </c>
    </row>
    <row r="160" spans="1:7" ht="16.5" thickTop="1" thickBot="1" x14ac:dyDescent="0.3">
      <c r="A160">
        <v>200000410</v>
      </c>
      <c r="B160" t="s">
        <v>459</v>
      </c>
      <c r="C160" t="s">
        <v>9</v>
      </c>
      <c r="D160" s="10" t="e">
        <f>VLOOKUP(Tabela8[[#This Row],[Cód.]],#REF!,7,0)</f>
        <v>#REF!</v>
      </c>
      <c r="E160" s="9" t="s">
        <v>2285</v>
      </c>
      <c r="F160" s="10" t="s">
        <v>2279</v>
      </c>
      <c r="G160" s="8" t="e">
        <f>VLOOKUP(Tabela8[[#This Row],[Cód.]],CENTRAL[#All],9,0)</f>
        <v>#REF!</v>
      </c>
    </row>
    <row r="161" spans="1:7" ht="16.5" thickTop="1" thickBot="1" x14ac:dyDescent="0.3">
      <c r="A161">
        <v>200000411</v>
      </c>
      <c r="B161" t="s">
        <v>460</v>
      </c>
      <c r="C161" t="s">
        <v>9</v>
      </c>
      <c r="D161" s="10" t="e">
        <f>VLOOKUP(Tabela8[[#This Row],[Cód.]],#REF!,7,0)</f>
        <v>#REF!</v>
      </c>
      <c r="E161" s="9" t="s">
        <v>2285</v>
      </c>
      <c r="F161" s="10" t="s">
        <v>2279</v>
      </c>
      <c r="G161" s="8" t="e">
        <f>VLOOKUP(Tabela8[[#This Row],[Cód.]],CENTRAL[#All],9,0)</f>
        <v>#REF!</v>
      </c>
    </row>
    <row r="162" spans="1:7" ht="16.5" thickTop="1" thickBot="1" x14ac:dyDescent="0.3">
      <c r="A162">
        <v>200001022</v>
      </c>
      <c r="B162" t="s">
        <v>461</v>
      </c>
      <c r="C162" t="s">
        <v>9</v>
      </c>
      <c r="D162" s="10" t="e">
        <f>VLOOKUP(Tabela8[[#This Row],[Cód.]],#REF!,7,0)</f>
        <v>#REF!</v>
      </c>
      <c r="E162" s="9" t="s">
        <v>2285</v>
      </c>
      <c r="F162" s="10" t="s">
        <v>2279</v>
      </c>
      <c r="G162" s="8" t="e">
        <f>VLOOKUP(Tabela8[[#This Row],[Cód.]],CENTRAL[#All],9,0)</f>
        <v>#REF!</v>
      </c>
    </row>
    <row r="163" spans="1:7" ht="16.5" thickTop="1" thickBot="1" x14ac:dyDescent="0.3">
      <c r="A163">
        <v>200000412</v>
      </c>
      <c r="B163" t="s">
        <v>462</v>
      </c>
      <c r="C163" t="s">
        <v>9</v>
      </c>
      <c r="D163" s="10" t="e">
        <f>VLOOKUP(Tabela8[[#This Row],[Cód.]],#REF!,7,0)</f>
        <v>#REF!</v>
      </c>
      <c r="E163" s="9" t="s">
        <v>2285</v>
      </c>
      <c r="F163" s="10" t="s">
        <v>2279</v>
      </c>
      <c r="G163" s="8" t="e">
        <f>VLOOKUP(Tabela8[[#This Row],[Cód.]],CENTRAL[#All],9,0)</f>
        <v>#REF!</v>
      </c>
    </row>
    <row r="164" spans="1:7" ht="16.5" thickTop="1" thickBot="1" x14ac:dyDescent="0.3">
      <c r="A164">
        <v>200003600</v>
      </c>
      <c r="B164" t="s">
        <v>463</v>
      </c>
      <c r="C164" t="s">
        <v>9</v>
      </c>
      <c r="D164" s="10" t="e">
        <f>VLOOKUP(Tabela8[[#This Row],[Cód.]],#REF!,7,0)</f>
        <v>#REF!</v>
      </c>
      <c r="E164" s="9" t="s">
        <v>2285</v>
      </c>
      <c r="F164" s="10" t="s">
        <v>2279</v>
      </c>
      <c r="G164" s="8" t="e">
        <f>VLOOKUP(Tabela8[[#This Row],[Cód.]],CENTRAL[#All],9,0)</f>
        <v>#REF!</v>
      </c>
    </row>
    <row r="165" spans="1:7" ht="16.5" thickTop="1" thickBot="1" x14ac:dyDescent="0.3">
      <c r="A165">
        <v>200003601</v>
      </c>
      <c r="B165" t="s">
        <v>464</v>
      </c>
      <c r="C165" t="s">
        <v>9</v>
      </c>
      <c r="D165" s="10" t="e">
        <f>VLOOKUP(Tabela8[[#This Row],[Cód.]],#REF!,7,0)</f>
        <v>#REF!</v>
      </c>
      <c r="E165" s="9" t="s">
        <v>2285</v>
      </c>
      <c r="F165" s="10" t="s">
        <v>2279</v>
      </c>
      <c r="G165" s="8" t="e">
        <f>VLOOKUP(Tabela8[[#This Row],[Cód.]],CENTRAL[#All],9,0)</f>
        <v>#REF!</v>
      </c>
    </row>
    <row r="166" spans="1:7" ht="16.5" thickTop="1" thickBot="1" x14ac:dyDescent="0.3">
      <c r="A166">
        <v>200001963</v>
      </c>
      <c r="B166" t="s">
        <v>473</v>
      </c>
      <c r="C166" t="s">
        <v>9</v>
      </c>
      <c r="D166" s="10" t="e">
        <f>VLOOKUP(Tabela8[[#This Row],[Cód.]],#REF!,7,0)</f>
        <v>#REF!</v>
      </c>
      <c r="E166" s="9" t="s">
        <v>2285</v>
      </c>
      <c r="F166" s="10" t="s">
        <v>2279</v>
      </c>
      <c r="G166" s="8" t="e">
        <f>VLOOKUP(Tabela8[[#This Row],[Cód.]],CENTRAL[#All],9,0)</f>
        <v>#REF!</v>
      </c>
    </row>
    <row r="167" spans="1:7" ht="16.5" thickTop="1" thickBot="1" x14ac:dyDescent="0.3">
      <c r="A167">
        <v>200001574</v>
      </c>
      <c r="B167" t="s">
        <v>474</v>
      </c>
      <c r="C167" t="s">
        <v>9</v>
      </c>
      <c r="D167" s="10" t="e">
        <f>VLOOKUP(Tabela8[[#This Row],[Cód.]],#REF!,7,0)</f>
        <v>#REF!</v>
      </c>
      <c r="E167" s="9" t="s">
        <v>2285</v>
      </c>
      <c r="F167" s="10" t="s">
        <v>2279</v>
      </c>
      <c r="G167" s="8" t="e">
        <f>VLOOKUP(Tabela8[[#This Row],[Cód.]],CENTRAL[#All],9,0)</f>
        <v>#REF!</v>
      </c>
    </row>
    <row r="168" spans="1:7" ht="16.5" thickTop="1" thickBot="1" x14ac:dyDescent="0.3">
      <c r="A168">
        <v>200001575</v>
      </c>
      <c r="B168" t="s">
        <v>476</v>
      </c>
      <c r="C168" t="s">
        <v>9</v>
      </c>
      <c r="D168" s="10" t="e">
        <f>VLOOKUP(Tabela8[[#This Row],[Cód.]],#REF!,7,0)</f>
        <v>#REF!</v>
      </c>
      <c r="E168" s="9" t="s">
        <v>2285</v>
      </c>
      <c r="F168" s="10" t="s">
        <v>2279</v>
      </c>
      <c r="G168" s="8" t="e">
        <f>VLOOKUP(Tabela8[[#This Row],[Cód.]],CENTRAL[#All],9,0)</f>
        <v>#REF!</v>
      </c>
    </row>
    <row r="169" spans="1:7" ht="16.5" thickTop="1" thickBot="1" x14ac:dyDescent="0.3">
      <c r="A169">
        <v>200001576</v>
      </c>
      <c r="B169" t="s">
        <v>478</v>
      </c>
      <c r="C169" t="s">
        <v>9</v>
      </c>
      <c r="D169" s="10" t="e">
        <f>VLOOKUP(Tabela8[[#This Row],[Cód.]],#REF!,7,0)</f>
        <v>#REF!</v>
      </c>
      <c r="E169" s="9" t="s">
        <v>2285</v>
      </c>
      <c r="F169" s="10" t="s">
        <v>2279</v>
      </c>
      <c r="G169" s="8" t="e">
        <f>VLOOKUP(Tabela8[[#This Row],[Cód.]],CENTRAL[#All],9,0)</f>
        <v>#REF!</v>
      </c>
    </row>
    <row r="170" spans="1:7" ht="16.5" thickTop="1" thickBot="1" x14ac:dyDescent="0.3">
      <c r="A170">
        <v>200001577</v>
      </c>
      <c r="B170" t="s">
        <v>479</v>
      </c>
      <c r="C170" t="s">
        <v>9</v>
      </c>
      <c r="D170" s="10" t="e">
        <f>VLOOKUP(Tabela8[[#This Row],[Cód.]],#REF!,7,0)</f>
        <v>#REF!</v>
      </c>
      <c r="E170" s="9" t="s">
        <v>2285</v>
      </c>
      <c r="F170" s="10" t="s">
        <v>2279</v>
      </c>
      <c r="G170" s="8" t="e">
        <f>VLOOKUP(Tabela8[[#This Row],[Cód.]],CENTRAL[#All],9,0)</f>
        <v>#REF!</v>
      </c>
    </row>
    <row r="171" spans="1:7" ht="16.5" thickTop="1" thickBot="1" x14ac:dyDescent="0.3">
      <c r="A171">
        <v>200001965</v>
      </c>
      <c r="B171" t="s">
        <v>480</v>
      </c>
      <c r="C171" t="s">
        <v>9</v>
      </c>
      <c r="D171" s="10" t="e">
        <f>VLOOKUP(Tabela8[[#This Row],[Cód.]],#REF!,7,0)</f>
        <v>#REF!</v>
      </c>
      <c r="E171" s="9" t="s">
        <v>2285</v>
      </c>
      <c r="F171" s="10" t="s">
        <v>2279</v>
      </c>
      <c r="G171" s="8" t="e">
        <f>VLOOKUP(Tabela8[[#This Row],[Cód.]],CENTRAL[#All],9,0)</f>
        <v>#REF!</v>
      </c>
    </row>
    <row r="172" spans="1:7" ht="16.5" thickTop="1" thickBot="1" x14ac:dyDescent="0.3">
      <c r="A172">
        <v>200007176</v>
      </c>
      <c r="B172" t="s">
        <v>482</v>
      </c>
      <c r="C172" t="s">
        <v>9</v>
      </c>
      <c r="D172" s="10" t="e">
        <f>VLOOKUP(Tabela8[[#This Row],[Cód.]],#REF!,7,0)</f>
        <v>#REF!</v>
      </c>
      <c r="E172" s="9" t="s">
        <v>2285</v>
      </c>
      <c r="F172" s="10" t="s">
        <v>2279</v>
      </c>
      <c r="G172" s="8" t="e">
        <f>VLOOKUP(Tabela8[[#This Row],[Cód.]],CENTRAL[#All],9,0)</f>
        <v>#REF!</v>
      </c>
    </row>
    <row r="173" spans="1:7" ht="16.5" thickTop="1" thickBot="1" x14ac:dyDescent="0.3">
      <c r="A173">
        <v>200000413</v>
      </c>
      <c r="B173" t="s">
        <v>483</v>
      </c>
      <c r="C173" t="s">
        <v>9</v>
      </c>
      <c r="D173" s="10" t="e">
        <f>VLOOKUP(Tabela8[[#This Row],[Cód.]],#REF!,7,0)</f>
        <v>#REF!</v>
      </c>
      <c r="E173" s="9" t="s">
        <v>2285</v>
      </c>
      <c r="F173" s="10" t="s">
        <v>2279</v>
      </c>
      <c r="G173" s="8" t="e">
        <f>VLOOKUP(Tabela8[[#This Row],[Cód.]],CENTRAL[#All],9,0)</f>
        <v>#REF!</v>
      </c>
    </row>
    <row r="174" spans="1:7" ht="16.5" thickTop="1" thickBot="1" x14ac:dyDescent="0.3">
      <c r="A174">
        <v>200000415</v>
      </c>
      <c r="B174" t="s">
        <v>485</v>
      </c>
      <c r="C174" t="s">
        <v>9</v>
      </c>
      <c r="D174" s="10" t="e">
        <f>VLOOKUP(Tabela8[[#This Row],[Cód.]],#REF!,7,0)</f>
        <v>#REF!</v>
      </c>
      <c r="E174" s="9" t="s">
        <v>2285</v>
      </c>
      <c r="F174" s="10" t="s">
        <v>2279</v>
      </c>
      <c r="G174" s="8" t="e">
        <f>VLOOKUP(Tabela8[[#This Row],[Cód.]],CENTRAL[#All],9,0)</f>
        <v>#REF!</v>
      </c>
    </row>
    <row r="175" spans="1:7" ht="16.5" thickTop="1" thickBot="1" x14ac:dyDescent="0.3">
      <c r="A175">
        <v>200000416</v>
      </c>
      <c r="B175" t="s">
        <v>486</v>
      </c>
      <c r="C175" t="s">
        <v>9</v>
      </c>
      <c r="D175" s="10" t="e">
        <f>VLOOKUP(Tabela8[[#This Row],[Cód.]],#REF!,7,0)</f>
        <v>#REF!</v>
      </c>
      <c r="E175" s="9" t="s">
        <v>2285</v>
      </c>
      <c r="F175" s="10" t="s">
        <v>2279</v>
      </c>
      <c r="G175" s="8" t="e">
        <f>VLOOKUP(Tabela8[[#This Row],[Cód.]],CENTRAL[#All],9,0)</f>
        <v>#REF!</v>
      </c>
    </row>
    <row r="176" spans="1:7" ht="16.5" thickTop="1" thickBot="1" x14ac:dyDescent="0.3">
      <c r="A176">
        <v>200001956</v>
      </c>
      <c r="B176" t="s">
        <v>490</v>
      </c>
      <c r="C176" t="s">
        <v>9</v>
      </c>
      <c r="D176" s="10" t="e">
        <f>VLOOKUP(Tabela8[[#This Row],[Cód.]],#REF!,7,0)</f>
        <v>#REF!</v>
      </c>
      <c r="E176" s="9" t="s">
        <v>2285</v>
      </c>
      <c r="F176" s="10" t="s">
        <v>2279</v>
      </c>
      <c r="G176" s="8" t="e">
        <f>VLOOKUP(Tabela8[[#This Row],[Cód.]],CENTRAL[#All],9,0)</f>
        <v>#REF!</v>
      </c>
    </row>
    <row r="177" spans="1:7" ht="16.5" thickTop="1" thickBot="1" x14ac:dyDescent="0.3">
      <c r="A177">
        <v>200001026</v>
      </c>
      <c r="B177" t="s">
        <v>491</v>
      </c>
      <c r="C177" t="s">
        <v>9</v>
      </c>
      <c r="D177" s="10" t="e">
        <f>VLOOKUP(Tabela8[[#This Row],[Cód.]],#REF!,7,0)</f>
        <v>#REF!</v>
      </c>
      <c r="E177" s="9" t="s">
        <v>2285</v>
      </c>
      <c r="F177" s="10" t="s">
        <v>2279</v>
      </c>
      <c r="G177" s="8" t="e">
        <f>VLOOKUP(Tabela8[[#This Row],[Cód.]],CENTRAL[#All],9,0)</f>
        <v>#REF!</v>
      </c>
    </row>
    <row r="178" spans="1:7" ht="16.5" thickTop="1" thickBot="1" x14ac:dyDescent="0.3">
      <c r="A178">
        <v>200001027</v>
      </c>
      <c r="B178" t="s">
        <v>492</v>
      </c>
      <c r="C178" t="s">
        <v>9</v>
      </c>
      <c r="D178" s="10" t="e">
        <f>VLOOKUP(Tabela8[[#This Row],[Cód.]],#REF!,7,0)</f>
        <v>#REF!</v>
      </c>
      <c r="E178" s="9" t="s">
        <v>2285</v>
      </c>
      <c r="F178" s="10" t="s">
        <v>2279</v>
      </c>
      <c r="G178" s="8" t="e">
        <f>VLOOKUP(Tabela8[[#This Row],[Cód.]],CENTRAL[#All],9,0)</f>
        <v>#REF!</v>
      </c>
    </row>
    <row r="179" spans="1:7" ht="16.5" thickTop="1" thickBot="1" x14ac:dyDescent="0.3">
      <c r="A179">
        <v>200001028</v>
      </c>
      <c r="B179" t="s">
        <v>493</v>
      </c>
      <c r="C179" t="s">
        <v>9</v>
      </c>
      <c r="D179" s="10" t="e">
        <f>VLOOKUP(Tabela8[[#This Row],[Cód.]],#REF!,7,0)</f>
        <v>#REF!</v>
      </c>
      <c r="E179" s="9" t="s">
        <v>2285</v>
      </c>
      <c r="F179" s="10" t="s">
        <v>2279</v>
      </c>
      <c r="G179" s="8" t="e">
        <f>VLOOKUP(Tabela8[[#This Row],[Cód.]],CENTRAL[#All],9,0)</f>
        <v>#REF!</v>
      </c>
    </row>
    <row r="180" spans="1:7" ht="16.5" thickTop="1" thickBot="1" x14ac:dyDescent="0.3">
      <c r="A180">
        <v>200001591</v>
      </c>
      <c r="B180" t="s">
        <v>503</v>
      </c>
      <c r="C180" t="s">
        <v>9</v>
      </c>
      <c r="D180" s="10" t="e">
        <f>VLOOKUP(Tabela8[[#This Row],[Cód.]],#REF!,7,0)</f>
        <v>#REF!</v>
      </c>
      <c r="E180" s="9" t="s">
        <v>2285</v>
      </c>
      <c r="F180" s="10" t="s">
        <v>2279</v>
      </c>
      <c r="G180" s="8" t="e">
        <f>VLOOKUP(Tabela8[[#This Row],[Cód.]],CENTRAL[#All],9,0)</f>
        <v>#REF!</v>
      </c>
    </row>
    <row r="181" spans="1:7" ht="16.5" thickTop="1" thickBot="1" x14ac:dyDescent="0.3">
      <c r="A181">
        <v>200000228</v>
      </c>
      <c r="B181" t="s">
        <v>504</v>
      </c>
      <c r="C181" t="s">
        <v>9</v>
      </c>
      <c r="D181" s="10" t="e">
        <f>VLOOKUP(Tabela8[[#This Row],[Cód.]],#REF!,7,0)</f>
        <v>#REF!</v>
      </c>
      <c r="E181" s="9" t="s">
        <v>2285</v>
      </c>
      <c r="F181" s="10" t="s">
        <v>2279</v>
      </c>
      <c r="G181" s="8" t="e">
        <f>VLOOKUP(Tabela8[[#This Row],[Cód.]],CENTRAL[#All],9,0)</f>
        <v>#REF!</v>
      </c>
    </row>
    <row r="182" spans="1:7" ht="16.5" thickTop="1" thickBot="1" x14ac:dyDescent="0.3">
      <c r="A182">
        <v>200006763</v>
      </c>
      <c r="B182" t="s">
        <v>511</v>
      </c>
      <c r="C182" t="s">
        <v>9</v>
      </c>
      <c r="D182" s="10" t="e">
        <f>VLOOKUP(Tabela8[[#This Row],[Cód.]],#REF!,7,0)</f>
        <v>#REF!</v>
      </c>
      <c r="E182" s="9" t="s">
        <v>2285</v>
      </c>
      <c r="F182" s="10" t="s">
        <v>2279</v>
      </c>
      <c r="G182" s="8" t="e">
        <f>VLOOKUP(Tabela8[[#This Row],[Cód.]],CENTRAL[#All],9,0)</f>
        <v>#REF!</v>
      </c>
    </row>
    <row r="183" spans="1:7" ht="16.5" thickTop="1" thickBot="1" x14ac:dyDescent="0.3">
      <c r="A183">
        <v>200006762</v>
      </c>
      <c r="B183" t="s">
        <v>512</v>
      </c>
      <c r="C183" t="s">
        <v>9</v>
      </c>
      <c r="D183" s="10" t="e">
        <f>VLOOKUP(Tabela8[[#This Row],[Cód.]],#REF!,7,0)</f>
        <v>#REF!</v>
      </c>
      <c r="E183" s="9" t="s">
        <v>2285</v>
      </c>
      <c r="F183" s="10" t="s">
        <v>2279</v>
      </c>
      <c r="G183" s="8" t="e">
        <f>VLOOKUP(Tabela8[[#This Row],[Cód.]],CENTRAL[#All],9,0)</f>
        <v>#REF!</v>
      </c>
    </row>
    <row r="184" spans="1:7" ht="16.5" thickTop="1" thickBot="1" x14ac:dyDescent="0.3">
      <c r="A184">
        <v>200006764</v>
      </c>
      <c r="B184" t="s">
        <v>513</v>
      </c>
      <c r="C184" t="s">
        <v>9</v>
      </c>
      <c r="D184" s="10" t="e">
        <f>VLOOKUP(Tabela8[[#This Row],[Cód.]],#REF!,7,0)</f>
        <v>#REF!</v>
      </c>
      <c r="E184" s="9" t="s">
        <v>2285</v>
      </c>
      <c r="F184" s="10" t="s">
        <v>2279</v>
      </c>
      <c r="G184" s="8" t="e">
        <f>VLOOKUP(Tabela8[[#This Row],[Cód.]],CENTRAL[#All],9,0)</f>
        <v>#REF!</v>
      </c>
    </row>
    <row r="185" spans="1:7" ht="16.5" thickTop="1" thickBot="1" x14ac:dyDescent="0.3">
      <c r="A185">
        <v>200001975</v>
      </c>
      <c r="B185" t="s">
        <v>551</v>
      </c>
      <c r="C185" t="s">
        <v>9</v>
      </c>
      <c r="D185" s="10" t="e">
        <f>VLOOKUP(Tabela8[[#This Row],[Cód.]],#REF!,7,0)</f>
        <v>#REF!</v>
      </c>
      <c r="E185" s="9" t="s">
        <v>2285</v>
      </c>
      <c r="F185" s="10" t="s">
        <v>2279</v>
      </c>
      <c r="G185" s="8" t="e">
        <f>VLOOKUP(Tabela8[[#This Row],[Cód.]],CENTRAL[#All],9,0)</f>
        <v>#REF!</v>
      </c>
    </row>
    <row r="186" spans="1:7" ht="16.5" thickTop="1" thickBot="1" x14ac:dyDescent="0.3">
      <c r="A186">
        <v>200001973</v>
      </c>
      <c r="B186" t="s">
        <v>553</v>
      </c>
      <c r="C186" t="s">
        <v>9</v>
      </c>
      <c r="D186" s="10" t="e">
        <f>VLOOKUP(Tabela8[[#This Row],[Cód.]],#REF!,7,0)</f>
        <v>#REF!</v>
      </c>
      <c r="E186" s="9" t="s">
        <v>2285</v>
      </c>
      <c r="F186" s="10" t="s">
        <v>2279</v>
      </c>
      <c r="G186" s="8" t="e">
        <f>VLOOKUP(Tabela8[[#This Row],[Cód.]],CENTRAL[#All],9,0)</f>
        <v>#REF!</v>
      </c>
    </row>
    <row r="187" spans="1:7" ht="16.5" thickTop="1" thickBot="1" x14ac:dyDescent="0.3">
      <c r="A187">
        <v>200001974</v>
      </c>
      <c r="B187" t="s">
        <v>554</v>
      </c>
      <c r="C187" t="s">
        <v>9</v>
      </c>
      <c r="D187" s="10" t="e">
        <f>VLOOKUP(Tabela8[[#This Row],[Cód.]],#REF!,7,0)</f>
        <v>#REF!</v>
      </c>
      <c r="E187" s="9" t="s">
        <v>2285</v>
      </c>
      <c r="F187" s="10" t="s">
        <v>2279</v>
      </c>
      <c r="G187" s="8" t="e">
        <f>VLOOKUP(Tabela8[[#This Row],[Cód.]],CENTRAL[#All],9,0)</f>
        <v>#REF!</v>
      </c>
    </row>
    <row r="188" spans="1:7" ht="16.5" thickTop="1" thickBot="1" x14ac:dyDescent="0.3">
      <c r="A188">
        <v>200003643</v>
      </c>
      <c r="B188" t="s">
        <v>555</v>
      </c>
      <c r="C188" t="s">
        <v>9</v>
      </c>
      <c r="D188" s="10" t="e">
        <f>VLOOKUP(Tabela8[[#This Row],[Cód.]],#REF!,7,0)</f>
        <v>#REF!</v>
      </c>
      <c r="E188" s="9" t="s">
        <v>2285</v>
      </c>
      <c r="F188" s="10" t="s">
        <v>2279</v>
      </c>
      <c r="G188" s="8" t="e">
        <f>VLOOKUP(Tabela8[[#This Row],[Cód.]],CENTRAL[#All],9,0)</f>
        <v>#REF!</v>
      </c>
    </row>
    <row r="189" spans="1:7" ht="16.5" thickTop="1" thickBot="1" x14ac:dyDescent="0.3">
      <c r="A189">
        <v>200001999</v>
      </c>
      <c r="B189" t="s">
        <v>558</v>
      </c>
      <c r="C189" t="s">
        <v>9</v>
      </c>
      <c r="D189" s="10" t="e">
        <f>VLOOKUP(Tabela8[[#This Row],[Cód.]],#REF!,7,0)</f>
        <v>#REF!</v>
      </c>
      <c r="E189" s="9" t="s">
        <v>2285</v>
      </c>
      <c r="F189" s="10" t="s">
        <v>2279</v>
      </c>
      <c r="G189" s="8" t="e">
        <f>VLOOKUP(Tabela8[[#This Row],[Cód.]],CENTRAL[#All],9,0)</f>
        <v>#REF!</v>
      </c>
    </row>
    <row r="190" spans="1:7" ht="16.5" thickTop="1" thickBot="1" x14ac:dyDescent="0.3">
      <c r="A190">
        <v>200003646</v>
      </c>
      <c r="B190" t="s">
        <v>559</v>
      </c>
      <c r="C190" t="s">
        <v>9</v>
      </c>
      <c r="D190" s="10" t="e">
        <f>VLOOKUP(Tabela8[[#This Row],[Cód.]],#REF!,7,0)</f>
        <v>#REF!</v>
      </c>
      <c r="E190" s="9" t="s">
        <v>2285</v>
      </c>
      <c r="F190" s="10" t="s">
        <v>2279</v>
      </c>
      <c r="G190" s="8" t="e">
        <f>VLOOKUP(Tabela8[[#This Row],[Cód.]],CENTRAL[#All],9,0)</f>
        <v>#REF!</v>
      </c>
    </row>
    <row r="191" spans="1:7" ht="16.5" thickTop="1" thickBot="1" x14ac:dyDescent="0.3">
      <c r="A191">
        <v>200002000</v>
      </c>
      <c r="B191" t="s">
        <v>560</v>
      </c>
      <c r="C191" t="s">
        <v>9</v>
      </c>
      <c r="D191" s="10" t="e">
        <f>VLOOKUP(Tabela8[[#This Row],[Cód.]],#REF!,7,0)</f>
        <v>#REF!</v>
      </c>
      <c r="E191" s="9" t="s">
        <v>2285</v>
      </c>
      <c r="F191" s="10" t="s">
        <v>2279</v>
      </c>
      <c r="G191" s="8" t="e">
        <f>VLOOKUP(Tabela8[[#This Row],[Cód.]],CENTRAL[#All],9,0)</f>
        <v>#REF!</v>
      </c>
    </row>
    <row r="192" spans="1:7" ht="16.5" thickTop="1" thickBot="1" x14ac:dyDescent="0.3">
      <c r="A192">
        <v>200001986</v>
      </c>
      <c r="B192" t="s">
        <v>561</v>
      </c>
      <c r="C192" t="s">
        <v>9</v>
      </c>
      <c r="D192" s="10" t="e">
        <f>VLOOKUP(Tabela8[[#This Row],[Cód.]],#REF!,7,0)</f>
        <v>#REF!</v>
      </c>
      <c r="E192" s="9" t="s">
        <v>2285</v>
      </c>
      <c r="F192" s="10" t="s">
        <v>2279</v>
      </c>
      <c r="G192" s="8" t="e">
        <f>VLOOKUP(Tabela8[[#This Row],[Cód.]],CENTRAL[#All],9,0)</f>
        <v>#REF!</v>
      </c>
    </row>
    <row r="193" spans="1:7" ht="16.5" thickTop="1" thickBot="1" x14ac:dyDescent="0.3">
      <c r="A193">
        <v>200001987</v>
      </c>
      <c r="B193" t="s">
        <v>562</v>
      </c>
      <c r="C193" t="s">
        <v>9</v>
      </c>
      <c r="D193" s="10" t="e">
        <f>VLOOKUP(Tabela8[[#This Row],[Cód.]],#REF!,7,0)</f>
        <v>#REF!</v>
      </c>
      <c r="E193" s="9" t="s">
        <v>2285</v>
      </c>
      <c r="F193" s="10" t="s">
        <v>2279</v>
      </c>
      <c r="G193" s="8" t="e">
        <f>VLOOKUP(Tabela8[[#This Row],[Cód.]],CENTRAL[#All],9,0)</f>
        <v>#REF!</v>
      </c>
    </row>
    <row r="194" spans="1:7" ht="16.5" thickTop="1" thickBot="1" x14ac:dyDescent="0.3">
      <c r="A194">
        <v>200001988</v>
      </c>
      <c r="B194" t="s">
        <v>563</v>
      </c>
      <c r="C194" t="s">
        <v>9</v>
      </c>
      <c r="D194" s="10" t="e">
        <f>VLOOKUP(Tabela8[[#This Row],[Cód.]],#REF!,7,0)</f>
        <v>#REF!</v>
      </c>
      <c r="E194" s="9" t="s">
        <v>2285</v>
      </c>
      <c r="F194" s="10" t="s">
        <v>2279</v>
      </c>
      <c r="G194" s="8" t="e">
        <f>VLOOKUP(Tabela8[[#This Row],[Cód.]],CENTRAL[#All],9,0)</f>
        <v>#REF!</v>
      </c>
    </row>
    <row r="195" spans="1:7" ht="16.5" thickTop="1" thickBot="1" x14ac:dyDescent="0.3">
      <c r="A195">
        <v>200001989</v>
      </c>
      <c r="B195" t="s">
        <v>564</v>
      </c>
      <c r="C195" t="s">
        <v>9</v>
      </c>
      <c r="D195" s="10" t="e">
        <f>VLOOKUP(Tabela8[[#This Row],[Cód.]],#REF!,7,0)</f>
        <v>#REF!</v>
      </c>
      <c r="E195" s="9" t="s">
        <v>2285</v>
      </c>
      <c r="F195" s="10" t="s">
        <v>2279</v>
      </c>
      <c r="G195" s="8" t="e">
        <f>VLOOKUP(Tabela8[[#This Row],[Cód.]],CENTRAL[#All],9,0)</f>
        <v>#REF!</v>
      </c>
    </row>
    <row r="196" spans="1:7" ht="16.5" thickTop="1" thickBot="1" x14ac:dyDescent="0.3">
      <c r="A196">
        <v>200001990</v>
      </c>
      <c r="B196" t="s">
        <v>565</v>
      </c>
      <c r="C196" t="s">
        <v>9</v>
      </c>
      <c r="D196" s="10" t="e">
        <f>VLOOKUP(Tabela8[[#This Row],[Cód.]],#REF!,7,0)</f>
        <v>#REF!</v>
      </c>
      <c r="E196" s="9" t="s">
        <v>2285</v>
      </c>
      <c r="F196" s="10" t="s">
        <v>2279</v>
      </c>
      <c r="G196" s="8" t="e">
        <f>VLOOKUP(Tabela8[[#This Row],[Cód.]],CENTRAL[#All],9,0)</f>
        <v>#REF!</v>
      </c>
    </row>
    <row r="197" spans="1:7" ht="16.5" thickTop="1" thickBot="1" x14ac:dyDescent="0.3">
      <c r="A197">
        <v>200002001</v>
      </c>
      <c r="B197" t="s">
        <v>568</v>
      </c>
      <c r="C197" t="s">
        <v>9</v>
      </c>
      <c r="D197" s="10" t="e">
        <f>VLOOKUP(Tabela8[[#This Row],[Cód.]],#REF!,7,0)</f>
        <v>#REF!</v>
      </c>
      <c r="E197" s="9" t="s">
        <v>2285</v>
      </c>
      <c r="F197" s="10" t="s">
        <v>2279</v>
      </c>
      <c r="G197" s="8" t="e">
        <f>VLOOKUP(Tabela8[[#This Row],[Cód.]],CENTRAL[#All],9,0)</f>
        <v>#REF!</v>
      </c>
    </row>
    <row r="198" spans="1:7" ht="16.5" thickTop="1" thickBot="1" x14ac:dyDescent="0.3">
      <c r="A198">
        <v>200001992</v>
      </c>
      <c r="B198" t="s">
        <v>569</v>
      </c>
      <c r="C198" t="s">
        <v>9</v>
      </c>
      <c r="D198" s="10" t="e">
        <f>VLOOKUP(Tabela8[[#This Row],[Cód.]],#REF!,7,0)</f>
        <v>#REF!</v>
      </c>
      <c r="E198" s="9" t="s">
        <v>2285</v>
      </c>
      <c r="F198" s="10" t="s">
        <v>2279</v>
      </c>
      <c r="G198" s="8" t="e">
        <f>VLOOKUP(Tabela8[[#This Row],[Cód.]],CENTRAL[#All],9,0)</f>
        <v>#REF!</v>
      </c>
    </row>
    <row r="199" spans="1:7" ht="16.5" thickTop="1" thickBot="1" x14ac:dyDescent="0.3">
      <c r="A199">
        <v>200003647</v>
      </c>
      <c r="B199" t="s">
        <v>575</v>
      </c>
      <c r="C199" t="s">
        <v>9</v>
      </c>
      <c r="D199" s="10" t="e">
        <f>VLOOKUP(Tabela8[[#This Row],[Cód.]],#REF!,7,0)</f>
        <v>#REF!</v>
      </c>
      <c r="E199" s="9" t="s">
        <v>2285</v>
      </c>
      <c r="F199" s="10" t="s">
        <v>2279</v>
      </c>
      <c r="G199" s="8" t="e">
        <f>VLOOKUP(Tabela8[[#This Row],[Cód.]],CENTRAL[#All],9,0)</f>
        <v>#REF!</v>
      </c>
    </row>
    <row r="200" spans="1:7" ht="16.5" thickTop="1" thickBot="1" x14ac:dyDescent="0.3">
      <c r="A200">
        <v>200001996</v>
      </c>
      <c r="B200" t="s">
        <v>577</v>
      </c>
      <c r="C200" t="s">
        <v>9</v>
      </c>
      <c r="D200" s="10" t="e">
        <f>VLOOKUP(Tabela8[[#This Row],[Cód.]],#REF!,7,0)</f>
        <v>#REF!</v>
      </c>
      <c r="E200" s="9" t="s">
        <v>2285</v>
      </c>
      <c r="F200" s="10" t="s">
        <v>2279</v>
      </c>
      <c r="G200" s="8" t="e">
        <f>VLOOKUP(Tabela8[[#This Row],[Cód.]],CENTRAL[#All],9,0)</f>
        <v>#REF!</v>
      </c>
    </row>
    <row r="201" spans="1:7" ht="16.5" thickTop="1" thickBot="1" x14ac:dyDescent="0.3">
      <c r="A201">
        <v>200001997</v>
      </c>
      <c r="B201" t="s">
        <v>580</v>
      </c>
      <c r="C201" t="s">
        <v>9</v>
      </c>
      <c r="D201" s="10" t="e">
        <f>VLOOKUP(Tabela8[[#This Row],[Cód.]],#REF!,7,0)</f>
        <v>#REF!</v>
      </c>
      <c r="E201" s="9" t="s">
        <v>2285</v>
      </c>
      <c r="F201" s="10" t="s">
        <v>2279</v>
      </c>
      <c r="G201" s="8" t="e">
        <f>VLOOKUP(Tabela8[[#This Row],[Cód.]],CENTRAL[#All],9,0)</f>
        <v>#REF!</v>
      </c>
    </row>
    <row r="202" spans="1:7" ht="16.5" thickTop="1" thickBot="1" x14ac:dyDescent="0.3">
      <c r="A202">
        <v>200001979</v>
      </c>
      <c r="B202" t="s">
        <v>582</v>
      </c>
      <c r="C202" t="s">
        <v>9</v>
      </c>
      <c r="D202" s="10" t="e">
        <f>VLOOKUP(Tabela8[[#This Row],[Cód.]],#REF!,7,0)</f>
        <v>#REF!</v>
      </c>
      <c r="E202" s="9" t="s">
        <v>2285</v>
      </c>
      <c r="F202" s="10" t="s">
        <v>2279</v>
      </c>
      <c r="G202" s="8" t="e">
        <f>VLOOKUP(Tabela8[[#This Row],[Cód.]],CENTRAL[#All],9,0)</f>
        <v>#REF!</v>
      </c>
    </row>
    <row r="203" spans="1:7" ht="16.5" thickTop="1" thickBot="1" x14ac:dyDescent="0.3">
      <c r="A203">
        <v>200001976</v>
      </c>
      <c r="B203" t="s">
        <v>583</v>
      </c>
      <c r="C203" t="s">
        <v>9</v>
      </c>
      <c r="D203" s="10" t="e">
        <f>VLOOKUP(Tabela8[[#This Row],[Cód.]],#REF!,7,0)</f>
        <v>#REF!</v>
      </c>
      <c r="E203" s="9" t="s">
        <v>2285</v>
      </c>
      <c r="F203" s="10" t="s">
        <v>2279</v>
      </c>
      <c r="G203" s="8" t="e">
        <f>VLOOKUP(Tabela8[[#This Row],[Cód.]],CENTRAL[#All],9,0)</f>
        <v>#REF!</v>
      </c>
    </row>
    <row r="204" spans="1:7" ht="16.5" thickTop="1" thickBot="1" x14ac:dyDescent="0.3">
      <c r="A204">
        <v>200001977</v>
      </c>
      <c r="B204" t="s">
        <v>584</v>
      </c>
      <c r="C204" t="s">
        <v>9</v>
      </c>
      <c r="D204" s="10" t="e">
        <f>VLOOKUP(Tabela8[[#This Row],[Cód.]],#REF!,7,0)</f>
        <v>#REF!</v>
      </c>
      <c r="E204" s="9" t="s">
        <v>2285</v>
      </c>
      <c r="F204" s="10" t="s">
        <v>2279</v>
      </c>
      <c r="G204" s="8" t="e">
        <f>VLOOKUP(Tabela8[[#This Row],[Cód.]],CENTRAL[#All],9,0)</f>
        <v>#REF!</v>
      </c>
    </row>
    <row r="205" spans="1:7" ht="16.5" thickTop="1" thickBot="1" x14ac:dyDescent="0.3">
      <c r="A205">
        <v>200001978</v>
      </c>
      <c r="B205" t="s">
        <v>585</v>
      </c>
      <c r="C205" t="s">
        <v>9</v>
      </c>
      <c r="D205" s="10" t="e">
        <f>VLOOKUP(Tabela8[[#This Row],[Cód.]],#REF!,7,0)</f>
        <v>#REF!</v>
      </c>
      <c r="E205" s="9" t="s">
        <v>2285</v>
      </c>
      <c r="F205" s="10" t="s">
        <v>2279</v>
      </c>
      <c r="G205" s="8" t="e">
        <f>VLOOKUP(Tabela8[[#This Row],[Cód.]],CENTRAL[#All],9,0)</f>
        <v>#REF!</v>
      </c>
    </row>
    <row r="206" spans="1:7" ht="15.75" thickTop="1" x14ac:dyDescent="0.25">
      <c r="A206">
        <v>200001980</v>
      </c>
      <c r="B206" t="s">
        <v>586</v>
      </c>
      <c r="C206" t="s">
        <v>9</v>
      </c>
      <c r="D206" s="10" t="e">
        <f>VLOOKUP(Tabela8[[#This Row],[Cód.]],#REF!,7,0)</f>
        <v>#REF!</v>
      </c>
      <c r="E206" s="9" t="s">
        <v>2285</v>
      </c>
      <c r="F206" s="10" t="s">
        <v>2279</v>
      </c>
      <c r="G206" s="8" t="e">
        <f>VLOOKUP(Tabela8[[#This Row],[Cód.]],CENTRAL[#All],9,0)</f>
        <v>#REF!</v>
      </c>
    </row>
    <row r="207" spans="1:7" ht="15.75" thickBot="1" x14ac:dyDescent="0.3">
      <c r="A207">
        <v>200001981</v>
      </c>
      <c r="B207" t="s">
        <v>587</v>
      </c>
      <c r="C207" t="s">
        <v>9</v>
      </c>
      <c r="D207" s="10" t="e">
        <f>VLOOKUP(Tabela8[[#This Row],[Cód.]],#REF!,7,0)</f>
        <v>#REF!</v>
      </c>
      <c r="E207" s="10" t="s">
        <v>2285</v>
      </c>
      <c r="F207" s="10" t="s">
        <v>2279</v>
      </c>
      <c r="G207" s="8" t="e">
        <f>VLOOKUP(Tabela8[[#This Row],[Cód.]],CENTRAL[#All],9,0)</f>
        <v>#REF!</v>
      </c>
    </row>
    <row r="208" spans="1:7" ht="16.5" thickTop="1" thickBot="1" x14ac:dyDescent="0.3">
      <c r="A208">
        <v>200001982</v>
      </c>
      <c r="B208" t="s">
        <v>588</v>
      </c>
      <c r="C208" t="s">
        <v>9</v>
      </c>
      <c r="D208" s="10" t="e">
        <f>VLOOKUP(Tabela8[[#This Row],[Cód.]],#REF!,7,0)</f>
        <v>#REF!</v>
      </c>
      <c r="E208" s="9" t="s">
        <v>2285</v>
      </c>
      <c r="F208" s="10" t="s">
        <v>2279</v>
      </c>
      <c r="G208" s="8" t="e">
        <f>VLOOKUP(Tabela8[[#This Row],[Cód.]],CENTRAL[#All],9,0)</f>
        <v>#REF!</v>
      </c>
    </row>
    <row r="209" spans="1:7" ht="16.5" thickTop="1" thickBot="1" x14ac:dyDescent="0.3">
      <c r="A209">
        <v>200001983</v>
      </c>
      <c r="B209" t="s">
        <v>589</v>
      </c>
      <c r="C209" t="s">
        <v>9</v>
      </c>
      <c r="D209" s="10" t="e">
        <f>VLOOKUP(Tabela8[[#This Row],[Cód.]],#REF!,7,0)</f>
        <v>#REF!</v>
      </c>
      <c r="E209" s="9" t="s">
        <v>2285</v>
      </c>
      <c r="F209" s="10" t="s">
        <v>2279</v>
      </c>
      <c r="G209" s="8" t="e">
        <f>VLOOKUP(Tabela8[[#This Row],[Cód.]],CENTRAL[#All],9,0)</f>
        <v>#REF!</v>
      </c>
    </row>
    <row r="210" spans="1:7" ht="16.5" thickTop="1" thickBot="1" x14ac:dyDescent="0.3">
      <c r="A210">
        <v>200001984</v>
      </c>
      <c r="B210" t="s">
        <v>590</v>
      </c>
      <c r="C210" t="s">
        <v>9</v>
      </c>
      <c r="D210" s="10" t="e">
        <f>VLOOKUP(Tabela8[[#This Row],[Cód.]],#REF!,7,0)</f>
        <v>#REF!</v>
      </c>
      <c r="E210" s="9" t="s">
        <v>2285</v>
      </c>
      <c r="F210" s="10" t="s">
        <v>2279</v>
      </c>
      <c r="G210" s="8" t="e">
        <f>VLOOKUP(Tabela8[[#This Row],[Cód.]],CENTRAL[#All],9,0)</f>
        <v>#REF!</v>
      </c>
    </row>
    <row r="211" spans="1:7" ht="16.5" thickTop="1" thickBot="1" x14ac:dyDescent="0.3">
      <c r="A211">
        <v>200001985</v>
      </c>
      <c r="B211" t="s">
        <v>591</v>
      </c>
      <c r="C211" t="s">
        <v>9</v>
      </c>
      <c r="D211" s="10" t="e">
        <f>VLOOKUP(Tabela8[[#This Row],[Cód.]],#REF!,7,0)</f>
        <v>#REF!</v>
      </c>
      <c r="E211" s="9" t="s">
        <v>2285</v>
      </c>
      <c r="F211" s="10" t="s">
        <v>2279</v>
      </c>
      <c r="G211" s="8" t="e">
        <f>VLOOKUP(Tabela8[[#This Row],[Cód.]],CENTRAL[#All],9,0)</f>
        <v>#REF!</v>
      </c>
    </row>
    <row r="212" spans="1:7" ht="16.5" thickTop="1" thickBot="1" x14ac:dyDescent="0.3">
      <c r="A212">
        <v>200003602</v>
      </c>
      <c r="B212" t="s">
        <v>592</v>
      </c>
      <c r="C212" t="s">
        <v>9</v>
      </c>
      <c r="D212" s="10" t="e">
        <f>VLOOKUP(Tabela8[[#This Row],[Cód.]],#REF!,7,0)</f>
        <v>#REF!</v>
      </c>
      <c r="E212" s="9" t="s">
        <v>2285</v>
      </c>
      <c r="F212" s="10" t="s">
        <v>2279</v>
      </c>
      <c r="G212" s="8" t="e">
        <f>VLOOKUP(Tabela8[[#This Row],[Cód.]],CENTRAL[#All],9,0)</f>
        <v>#REF!</v>
      </c>
    </row>
    <row r="213" spans="1:7" ht="16.5" thickTop="1" thickBot="1" x14ac:dyDescent="0.3">
      <c r="A213">
        <v>200004567</v>
      </c>
      <c r="B213" t="s">
        <v>593</v>
      </c>
      <c r="C213" t="s">
        <v>9</v>
      </c>
      <c r="D213" s="10" t="e">
        <f>VLOOKUP(Tabela8[[#This Row],[Cód.]],#REF!,7,0)</f>
        <v>#REF!</v>
      </c>
      <c r="E213" s="9" t="s">
        <v>2285</v>
      </c>
      <c r="F213" s="10" t="s">
        <v>2279</v>
      </c>
      <c r="G213" s="8" t="e">
        <f>VLOOKUP(Tabela8[[#This Row],[Cód.]],CENTRAL[#All],9,0)</f>
        <v>#REF!</v>
      </c>
    </row>
    <row r="214" spans="1:7" ht="16.5" thickTop="1" thickBot="1" x14ac:dyDescent="0.3">
      <c r="A214">
        <v>200000471</v>
      </c>
      <c r="B214" t="s">
        <v>594</v>
      </c>
      <c r="C214" t="s">
        <v>9</v>
      </c>
      <c r="D214" s="10" t="e">
        <f>VLOOKUP(Tabela8[[#This Row],[Cód.]],#REF!,7,0)</f>
        <v>#REF!</v>
      </c>
      <c r="E214" s="9" t="s">
        <v>2285</v>
      </c>
      <c r="F214" s="10" t="s">
        <v>2279</v>
      </c>
      <c r="G214" s="8" t="e">
        <f>VLOOKUP(Tabela8[[#This Row],[Cód.]],CENTRAL[#All],9,0)</f>
        <v>#REF!</v>
      </c>
    </row>
    <row r="215" spans="1:7" ht="16.5" thickTop="1" thickBot="1" x14ac:dyDescent="0.3">
      <c r="A215">
        <v>200000474</v>
      </c>
      <c r="B215" t="s">
        <v>597</v>
      </c>
      <c r="C215" t="s">
        <v>9</v>
      </c>
      <c r="D215" s="10" t="e">
        <f>VLOOKUP(Tabela8[[#This Row],[Cód.]],#REF!,7,0)</f>
        <v>#REF!</v>
      </c>
      <c r="E215" s="9" t="s">
        <v>2285</v>
      </c>
      <c r="F215" s="10" t="s">
        <v>2279</v>
      </c>
      <c r="G215" s="8" t="e">
        <f>VLOOKUP(Tabela8[[#This Row],[Cód.]],CENTRAL[#All],9,0)</f>
        <v>#REF!</v>
      </c>
    </row>
    <row r="216" spans="1:7" ht="16.5" thickTop="1" thickBot="1" x14ac:dyDescent="0.3">
      <c r="A216">
        <v>200002003</v>
      </c>
      <c r="B216" t="s">
        <v>624</v>
      </c>
      <c r="C216" t="s">
        <v>9</v>
      </c>
      <c r="D216" s="10" t="e">
        <f>VLOOKUP(Tabela8[[#This Row],[Cód.]],#REF!,7,0)</f>
        <v>#REF!</v>
      </c>
      <c r="E216" s="9" t="s">
        <v>2285</v>
      </c>
      <c r="F216" s="10" t="s">
        <v>2279</v>
      </c>
      <c r="G216" s="8" t="e">
        <f>VLOOKUP(Tabela8[[#This Row],[Cód.]],CENTRAL[#All],9,0)</f>
        <v>#REF!</v>
      </c>
    </row>
    <row r="217" spans="1:7" ht="16.5" thickTop="1" thickBot="1" x14ac:dyDescent="0.3">
      <c r="A217">
        <v>200000503</v>
      </c>
      <c r="B217" t="s">
        <v>627</v>
      </c>
      <c r="C217" t="s">
        <v>9</v>
      </c>
      <c r="D217" s="10" t="e">
        <f>VLOOKUP(Tabela8[[#This Row],[Cód.]],#REF!,7,0)</f>
        <v>#REF!</v>
      </c>
      <c r="E217" s="9" t="s">
        <v>2285</v>
      </c>
      <c r="F217" s="10" t="s">
        <v>2279</v>
      </c>
      <c r="G217" s="8" t="e">
        <f>VLOOKUP(Tabela8[[#This Row],[Cód.]],CENTRAL[#All],9,0)</f>
        <v>#REF!</v>
      </c>
    </row>
    <row r="218" spans="1:7" ht="16.5" thickTop="1" thickBot="1" x14ac:dyDescent="0.3">
      <c r="A218">
        <v>200000503</v>
      </c>
      <c r="B218" t="s">
        <v>627</v>
      </c>
      <c r="C218" t="s">
        <v>9</v>
      </c>
      <c r="D218" s="10" t="e">
        <f>VLOOKUP(Tabela8[[#This Row],[Cód.]],#REF!,7,0)</f>
        <v>#REF!</v>
      </c>
      <c r="E218" s="9" t="s">
        <v>2285</v>
      </c>
      <c r="F218" s="10" t="s">
        <v>2279</v>
      </c>
      <c r="G218" s="8" t="e">
        <f>VLOOKUP(Tabela8[[#This Row],[Cód.]],CENTRAL[#All],9,0)</f>
        <v>#REF!</v>
      </c>
    </row>
    <row r="219" spans="1:7" ht="16.5" thickTop="1" thickBot="1" x14ac:dyDescent="0.3">
      <c r="A219">
        <v>200000504</v>
      </c>
      <c r="B219" t="s">
        <v>629</v>
      </c>
      <c r="C219" t="s">
        <v>9</v>
      </c>
      <c r="D219" s="10" t="e">
        <f>VLOOKUP(Tabela8[[#This Row],[Cód.]],#REF!,7,0)</f>
        <v>#REF!</v>
      </c>
      <c r="E219" s="9" t="s">
        <v>2285</v>
      </c>
      <c r="F219" s="10" t="s">
        <v>2279</v>
      </c>
      <c r="G219" s="8" t="e">
        <f>VLOOKUP(Tabela8[[#This Row],[Cód.]],CENTRAL[#All],9,0)</f>
        <v>#REF!</v>
      </c>
    </row>
    <row r="220" spans="1:7" ht="16.5" thickTop="1" thickBot="1" x14ac:dyDescent="0.3">
      <c r="A220">
        <v>200000504</v>
      </c>
      <c r="B220" t="s">
        <v>629</v>
      </c>
      <c r="C220" t="s">
        <v>9</v>
      </c>
      <c r="D220" s="10" t="e">
        <f>VLOOKUP(Tabela8[[#This Row],[Cód.]],#REF!,7,0)</f>
        <v>#REF!</v>
      </c>
      <c r="E220" s="9" t="s">
        <v>2285</v>
      </c>
      <c r="F220" s="10" t="s">
        <v>2279</v>
      </c>
      <c r="G220" s="8" t="e">
        <f>VLOOKUP(Tabela8[[#This Row],[Cód.]],CENTRAL[#All],9,0)</f>
        <v>#REF!</v>
      </c>
    </row>
    <row r="221" spans="1:7" ht="16.5" thickTop="1" thickBot="1" x14ac:dyDescent="0.3">
      <c r="A221">
        <v>200000547</v>
      </c>
      <c r="B221" t="s">
        <v>741</v>
      </c>
      <c r="C221" t="s">
        <v>9</v>
      </c>
      <c r="D221" s="10" t="e">
        <f>VLOOKUP(Tabela8[[#This Row],[Cód.]],#REF!,7,0)</f>
        <v>#REF!</v>
      </c>
      <c r="E221" s="9" t="s">
        <v>2285</v>
      </c>
      <c r="F221" s="10" t="s">
        <v>2279</v>
      </c>
      <c r="G221" s="8" t="e">
        <f>VLOOKUP(Tabela8[[#This Row],[Cód.]],CENTRAL[#All],9,0)</f>
        <v>#REF!</v>
      </c>
    </row>
    <row r="222" spans="1:7" ht="16.5" thickTop="1" thickBot="1" x14ac:dyDescent="0.3">
      <c r="A222">
        <v>200002006</v>
      </c>
      <c r="B222" t="s">
        <v>813</v>
      </c>
      <c r="C222" t="s">
        <v>9</v>
      </c>
      <c r="D222" s="10" t="e">
        <f>VLOOKUP(Tabela8[[#This Row],[Cód.]],#REF!,7,0)</f>
        <v>#REF!</v>
      </c>
      <c r="E222" s="9" t="s">
        <v>2285</v>
      </c>
      <c r="F222" s="10" t="s">
        <v>2279</v>
      </c>
      <c r="G222" s="8" t="e">
        <f>VLOOKUP(Tabela8[[#This Row],[Cód.]],CENTRAL[#All],9,0)</f>
        <v>#REF!</v>
      </c>
    </row>
    <row r="223" spans="1:7" ht="16.5" thickTop="1" thickBot="1" x14ac:dyDescent="0.3">
      <c r="A223">
        <v>200002007</v>
      </c>
      <c r="B223" t="s">
        <v>814</v>
      </c>
      <c r="C223" t="s">
        <v>9</v>
      </c>
      <c r="D223" s="10" t="e">
        <f>VLOOKUP(Tabela8[[#This Row],[Cód.]],#REF!,7,0)</f>
        <v>#REF!</v>
      </c>
      <c r="E223" s="9" t="s">
        <v>2285</v>
      </c>
      <c r="F223" s="10" t="s">
        <v>2279</v>
      </c>
      <c r="G223" s="8" t="e">
        <f>VLOOKUP(Tabela8[[#This Row],[Cód.]],CENTRAL[#All],9,0)</f>
        <v>#REF!</v>
      </c>
    </row>
    <row r="224" spans="1:7" ht="16.5" thickTop="1" thickBot="1" x14ac:dyDescent="0.3">
      <c r="A224">
        <v>200003656</v>
      </c>
      <c r="B224" t="s">
        <v>815</v>
      </c>
      <c r="C224" t="s">
        <v>9</v>
      </c>
      <c r="D224" s="10" t="e">
        <f>VLOOKUP(Tabela8[[#This Row],[Cód.]],#REF!,7,0)</f>
        <v>#REF!</v>
      </c>
      <c r="E224" s="9" t="s">
        <v>2285</v>
      </c>
      <c r="F224" s="10" t="s">
        <v>2279</v>
      </c>
      <c r="G224" s="8" t="e">
        <f>VLOOKUP(Tabela8[[#This Row],[Cód.]],CENTRAL[#All],9,0)</f>
        <v>#REF!</v>
      </c>
    </row>
    <row r="225" spans="1:7" ht="16.5" thickTop="1" thickBot="1" x14ac:dyDescent="0.3">
      <c r="A225">
        <v>200000586</v>
      </c>
      <c r="B225" t="s">
        <v>823</v>
      </c>
      <c r="C225" t="s">
        <v>9</v>
      </c>
      <c r="D225" s="10" t="e">
        <f>VLOOKUP(Tabela8[[#This Row],[Cód.]],#REF!,7,0)</f>
        <v>#REF!</v>
      </c>
      <c r="E225" s="9" t="s">
        <v>2285</v>
      </c>
      <c r="F225" s="10" t="s">
        <v>2279</v>
      </c>
      <c r="G225" s="8" t="e">
        <f>VLOOKUP(Tabela8[[#This Row],[Cód.]],CENTRAL[#All],9,0)</f>
        <v>#REF!</v>
      </c>
    </row>
    <row r="226" spans="1:7" ht="16.5" thickTop="1" thickBot="1" x14ac:dyDescent="0.3">
      <c r="A226">
        <v>200000587</v>
      </c>
      <c r="B226" t="s">
        <v>824</v>
      </c>
      <c r="C226" t="s">
        <v>9</v>
      </c>
      <c r="D226" s="10" t="e">
        <f>VLOOKUP(Tabela8[[#This Row],[Cód.]],#REF!,7,0)</f>
        <v>#REF!</v>
      </c>
      <c r="E226" s="9" t="s">
        <v>2285</v>
      </c>
      <c r="F226" s="10" t="s">
        <v>2279</v>
      </c>
      <c r="G226" s="8" t="e">
        <f>VLOOKUP(Tabela8[[#This Row],[Cód.]],CENTRAL[#All],9,0)</f>
        <v>#REF!</v>
      </c>
    </row>
    <row r="227" spans="1:7" ht="16.5" thickTop="1" thickBot="1" x14ac:dyDescent="0.3">
      <c r="A227">
        <v>200000589</v>
      </c>
      <c r="B227" t="s">
        <v>826</v>
      </c>
      <c r="C227" t="s">
        <v>9</v>
      </c>
      <c r="D227" s="10" t="e">
        <f>VLOOKUP(Tabela8[[#This Row],[Cód.]],#REF!,7,0)</f>
        <v>#REF!</v>
      </c>
      <c r="E227" s="9" t="s">
        <v>2285</v>
      </c>
      <c r="F227" s="10" t="s">
        <v>2279</v>
      </c>
      <c r="G227" s="8" t="e">
        <f>VLOOKUP(Tabela8[[#This Row],[Cód.]],CENTRAL[#All],9,0)</f>
        <v>#REF!</v>
      </c>
    </row>
    <row r="228" spans="1:7" ht="16.5" thickTop="1" thickBot="1" x14ac:dyDescent="0.3">
      <c r="A228">
        <v>200000590</v>
      </c>
      <c r="B228" t="s">
        <v>827</v>
      </c>
      <c r="C228" t="s">
        <v>9</v>
      </c>
      <c r="D228" s="10" t="e">
        <f>VLOOKUP(Tabela8[[#This Row],[Cód.]],#REF!,7,0)</f>
        <v>#REF!</v>
      </c>
      <c r="E228" s="9" t="s">
        <v>2285</v>
      </c>
      <c r="F228" s="10" t="s">
        <v>2279</v>
      </c>
      <c r="G228" s="8" t="e">
        <f>VLOOKUP(Tabela8[[#This Row],[Cód.]],CENTRAL[#All],9,0)</f>
        <v>#REF!</v>
      </c>
    </row>
    <row r="229" spans="1:7" ht="16.5" thickTop="1" thickBot="1" x14ac:dyDescent="0.3">
      <c r="A229">
        <v>200005834</v>
      </c>
      <c r="B229" t="s">
        <v>895</v>
      </c>
      <c r="C229" t="s">
        <v>9</v>
      </c>
      <c r="D229" s="10" t="e">
        <f>VLOOKUP(Tabela8[[#This Row],[Cód.]],#REF!,7,0)</f>
        <v>#REF!</v>
      </c>
      <c r="E229" s="9" t="s">
        <v>2285</v>
      </c>
      <c r="F229" s="10" t="s">
        <v>2279</v>
      </c>
      <c r="G229" s="8" t="e">
        <f>VLOOKUP(Tabela8[[#This Row],[Cód.]],CENTRAL[#All],9,0)</f>
        <v>#REF!</v>
      </c>
    </row>
    <row r="230" spans="1:7" ht="16.5" thickTop="1" thickBot="1" x14ac:dyDescent="0.3">
      <c r="A230">
        <v>200001579</v>
      </c>
      <c r="B230" t="s">
        <v>928</v>
      </c>
      <c r="C230" t="s">
        <v>9</v>
      </c>
      <c r="D230" s="10" t="e">
        <f>VLOOKUP(Tabela8[[#This Row],[Cód.]],#REF!,7,0)</f>
        <v>#REF!</v>
      </c>
      <c r="E230" s="9" t="s">
        <v>2285</v>
      </c>
      <c r="F230" s="10" t="s">
        <v>2279</v>
      </c>
      <c r="G230" s="8" t="e">
        <f>VLOOKUP(Tabela8[[#This Row],[Cód.]],CENTRAL[#All],9,0)</f>
        <v>#REF!</v>
      </c>
    </row>
    <row r="231" spans="1:7" ht="16.5" thickTop="1" thickBot="1" x14ac:dyDescent="0.3">
      <c r="A231">
        <v>200001580</v>
      </c>
      <c r="B231" t="s">
        <v>929</v>
      </c>
      <c r="C231" t="s">
        <v>9</v>
      </c>
      <c r="D231" s="10" t="e">
        <f>VLOOKUP(Tabela8[[#This Row],[Cód.]],#REF!,7,0)</f>
        <v>#REF!</v>
      </c>
      <c r="E231" s="9" t="s">
        <v>2285</v>
      </c>
      <c r="F231" s="10" t="s">
        <v>2279</v>
      </c>
      <c r="G231" s="8" t="e">
        <f>VLOOKUP(Tabela8[[#This Row],[Cód.]],CENTRAL[#All],9,0)</f>
        <v>#REF!</v>
      </c>
    </row>
    <row r="232" spans="1:7" ht="16.5" thickTop="1" thickBot="1" x14ac:dyDescent="0.3">
      <c r="A232">
        <v>200000639</v>
      </c>
      <c r="B232" t="s">
        <v>930</v>
      </c>
      <c r="C232" t="s">
        <v>9</v>
      </c>
      <c r="D232" s="10" t="e">
        <f>VLOOKUP(Tabela8[[#This Row],[Cód.]],#REF!,7,0)</f>
        <v>#REF!</v>
      </c>
      <c r="E232" s="9" t="s">
        <v>2285</v>
      </c>
      <c r="F232" s="10" t="s">
        <v>2279</v>
      </c>
      <c r="G232" s="8" t="e">
        <f>VLOOKUP(Tabela8[[#This Row],[Cód.]],CENTRAL[#All],9,0)</f>
        <v>#REF!</v>
      </c>
    </row>
    <row r="233" spans="1:7" ht="16.5" thickTop="1" thickBot="1" x14ac:dyDescent="0.3">
      <c r="A233">
        <v>200000640</v>
      </c>
      <c r="B233" t="s">
        <v>931</v>
      </c>
      <c r="C233" t="s">
        <v>9</v>
      </c>
      <c r="D233" s="10" t="e">
        <f>VLOOKUP(Tabela8[[#This Row],[Cód.]],#REF!,7,0)</f>
        <v>#REF!</v>
      </c>
      <c r="E233" s="9" t="s">
        <v>2285</v>
      </c>
      <c r="F233" s="10" t="s">
        <v>2279</v>
      </c>
      <c r="G233" s="8" t="e">
        <f>VLOOKUP(Tabela8[[#This Row],[Cód.]],CENTRAL[#All],9,0)</f>
        <v>#REF!</v>
      </c>
    </row>
    <row r="234" spans="1:7" ht="16.5" thickTop="1" thickBot="1" x14ac:dyDescent="0.3">
      <c r="A234">
        <v>200000640</v>
      </c>
      <c r="B234" t="s">
        <v>931</v>
      </c>
      <c r="C234" t="s">
        <v>9</v>
      </c>
      <c r="D234" s="10" t="e">
        <f>VLOOKUP(Tabela8[[#This Row],[Cód.]],#REF!,7,0)</f>
        <v>#REF!</v>
      </c>
      <c r="E234" s="9" t="s">
        <v>2285</v>
      </c>
      <c r="F234" s="10" t="s">
        <v>2279</v>
      </c>
      <c r="G234" s="8" t="e">
        <f>VLOOKUP(Tabela8[[#This Row],[Cód.]],CENTRAL[#All],9,0)</f>
        <v>#REF!</v>
      </c>
    </row>
    <row r="235" spans="1:7" ht="16.5" thickTop="1" thickBot="1" x14ac:dyDescent="0.3">
      <c r="A235">
        <v>200001039</v>
      </c>
      <c r="B235" t="s">
        <v>932</v>
      </c>
      <c r="C235" t="s">
        <v>9</v>
      </c>
      <c r="D235" s="10" t="e">
        <f>VLOOKUP(Tabela8[[#This Row],[Cód.]],#REF!,7,0)</f>
        <v>#REF!</v>
      </c>
      <c r="E235" s="9" t="s">
        <v>2285</v>
      </c>
      <c r="F235" s="10" t="s">
        <v>2279</v>
      </c>
      <c r="G235" s="8" t="e">
        <f>VLOOKUP(Tabela8[[#This Row],[Cód.]],CENTRAL[#All],9,0)</f>
        <v>#REF!</v>
      </c>
    </row>
    <row r="236" spans="1:7" ht="16.5" thickTop="1" thickBot="1" x14ac:dyDescent="0.3">
      <c r="A236">
        <v>200002033</v>
      </c>
      <c r="B236" t="s">
        <v>933</v>
      </c>
      <c r="C236" t="s">
        <v>9</v>
      </c>
      <c r="D236" s="10" t="e">
        <f>VLOOKUP(Tabela8[[#This Row],[Cód.]],#REF!,7,0)</f>
        <v>#REF!</v>
      </c>
      <c r="E236" s="9" t="s">
        <v>2285</v>
      </c>
      <c r="F236" s="10" t="s">
        <v>2279</v>
      </c>
      <c r="G236" s="8" t="e">
        <f>VLOOKUP(Tabela8[[#This Row],[Cód.]],CENTRAL[#All],9,0)</f>
        <v>#REF!</v>
      </c>
    </row>
    <row r="237" spans="1:7" ht="16.5" thickTop="1" thickBot="1" x14ac:dyDescent="0.3">
      <c r="A237">
        <v>200002035</v>
      </c>
      <c r="B237" t="s">
        <v>934</v>
      </c>
      <c r="C237" t="s">
        <v>9</v>
      </c>
      <c r="D237" s="10" t="e">
        <f>VLOOKUP(Tabela8[[#This Row],[Cód.]],#REF!,7,0)</f>
        <v>#REF!</v>
      </c>
      <c r="E237" s="9" t="s">
        <v>2285</v>
      </c>
      <c r="F237" s="10" t="s">
        <v>2279</v>
      </c>
      <c r="G237" s="8" t="e">
        <f>VLOOKUP(Tabela8[[#This Row],[Cód.]],CENTRAL[#All],9,0)</f>
        <v>#REF!</v>
      </c>
    </row>
    <row r="238" spans="1:7" ht="16.5" thickTop="1" thickBot="1" x14ac:dyDescent="0.3">
      <c r="A238">
        <v>200007174</v>
      </c>
      <c r="B238" t="s">
        <v>936</v>
      </c>
      <c r="C238" t="s">
        <v>9</v>
      </c>
      <c r="D238" s="10" t="e">
        <f>VLOOKUP(Tabela8[[#This Row],[Cód.]],#REF!,7,0)</f>
        <v>#REF!</v>
      </c>
      <c r="E238" s="9" t="s">
        <v>2285</v>
      </c>
      <c r="F238" s="10" t="s">
        <v>2279</v>
      </c>
      <c r="G238" s="8" t="e">
        <f>VLOOKUP(Tabela8[[#This Row],[Cód.]],CENTRAL[#All],9,0)</f>
        <v>#REF!</v>
      </c>
    </row>
    <row r="239" spans="1:7" ht="16.5" thickTop="1" thickBot="1" x14ac:dyDescent="0.3">
      <c r="A239">
        <v>200006765</v>
      </c>
      <c r="B239" t="s">
        <v>938</v>
      </c>
      <c r="C239" t="s">
        <v>9</v>
      </c>
      <c r="D239" s="10" t="e">
        <f>VLOOKUP(Tabela8[[#This Row],[Cód.]],#REF!,7,0)</f>
        <v>#REF!</v>
      </c>
      <c r="E239" s="9" t="s">
        <v>2285</v>
      </c>
      <c r="F239" s="10" t="s">
        <v>2279</v>
      </c>
      <c r="G239" s="8" t="e">
        <f>VLOOKUP(Tabela8[[#This Row],[Cód.]],CENTRAL[#All],9,0)</f>
        <v>#REF!</v>
      </c>
    </row>
    <row r="240" spans="1:7" ht="16.5" thickTop="1" thickBot="1" x14ac:dyDescent="0.3">
      <c r="A240">
        <v>200003665</v>
      </c>
      <c r="B240" t="s">
        <v>1048</v>
      </c>
      <c r="C240" t="s">
        <v>9</v>
      </c>
      <c r="D240" s="10" t="e">
        <f>VLOOKUP(Tabela8[[#This Row],[Cód.]],#REF!,7,0)</f>
        <v>#REF!</v>
      </c>
      <c r="E240" s="9" t="s">
        <v>2285</v>
      </c>
      <c r="F240" s="10" t="s">
        <v>2279</v>
      </c>
      <c r="G240" s="8" t="e">
        <f>VLOOKUP(Tabela8[[#This Row],[Cód.]],CENTRAL[#All],9,0)</f>
        <v>#REF!</v>
      </c>
    </row>
    <row r="241" spans="1:7" ht="16.5" thickTop="1" thickBot="1" x14ac:dyDescent="0.3">
      <c r="A241">
        <v>200003668</v>
      </c>
      <c r="B241" t="s">
        <v>1051</v>
      </c>
      <c r="C241" t="s">
        <v>9</v>
      </c>
      <c r="D241" s="10" t="e">
        <f>VLOOKUP(Tabela8[[#This Row],[Cód.]],#REF!,7,0)</f>
        <v>#REF!</v>
      </c>
      <c r="E241" s="9" t="s">
        <v>2285</v>
      </c>
      <c r="F241" s="10" t="s">
        <v>2279</v>
      </c>
      <c r="G241" s="8" t="e">
        <f>VLOOKUP(Tabela8[[#This Row],[Cód.]],CENTRAL[#All],9,0)</f>
        <v>#REF!</v>
      </c>
    </row>
    <row r="242" spans="1:7" ht="16.5" thickTop="1" thickBot="1" x14ac:dyDescent="0.3">
      <c r="A242">
        <v>200003670</v>
      </c>
      <c r="B242" t="s">
        <v>1053</v>
      </c>
      <c r="C242" t="s">
        <v>9</v>
      </c>
      <c r="D242" s="10" t="e">
        <f>VLOOKUP(Tabela8[[#This Row],[Cód.]],#REF!,7,0)</f>
        <v>#REF!</v>
      </c>
      <c r="E242" s="9" t="s">
        <v>2285</v>
      </c>
      <c r="F242" s="10" t="s">
        <v>2279</v>
      </c>
      <c r="G242" s="8" t="e">
        <f>VLOOKUP(Tabela8[[#This Row],[Cód.]],CENTRAL[#All],9,0)</f>
        <v>#REF!</v>
      </c>
    </row>
    <row r="243" spans="1:7" ht="16.5" thickTop="1" thickBot="1" x14ac:dyDescent="0.3">
      <c r="A243">
        <v>200000687</v>
      </c>
      <c r="B243" t="s">
        <v>1054</v>
      </c>
      <c r="C243" t="s">
        <v>9</v>
      </c>
      <c r="D243" s="10" t="e">
        <f>VLOOKUP(Tabela8[[#This Row],[Cód.]],#REF!,7,0)</f>
        <v>#REF!</v>
      </c>
      <c r="E243" s="9" t="s">
        <v>2285</v>
      </c>
      <c r="F243" s="10" t="s">
        <v>2279</v>
      </c>
      <c r="G243" s="8" t="e">
        <f>VLOOKUP(Tabela8[[#This Row],[Cód.]],CENTRAL[#All],9,0)</f>
        <v>#REF!</v>
      </c>
    </row>
    <row r="244" spans="1:7" ht="16.5" thickTop="1" thickBot="1" x14ac:dyDescent="0.3">
      <c r="A244">
        <v>200002043</v>
      </c>
      <c r="B244" t="s">
        <v>1055</v>
      </c>
      <c r="C244" t="s">
        <v>9</v>
      </c>
      <c r="D244" s="10" t="e">
        <f>VLOOKUP(Tabela8[[#This Row],[Cód.]],#REF!,7,0)</f>
        <v>#REF!</v>
      </c>
      <c r="E244" s="9" t="s">
        <v>2285</v>
      </c>
      <c r="F244" s="10" t="s">
        <v>2279</v>
      </c>
      <c r="G244" s="8" t="e">
        <f>VLOOKUP(Tabela8[[#This Row],[Cód.]],CENTRAL[#All],9,0)</f>
        <v>#REF!</v>
      </c>
    </row>
    <row r="245" spans="1:7" ht="16.5" thickTop="1" thickBot="1" x14ac:dyDescent="0.3">
      <c r="A245">
        <v>200001046</v>
      </c>
      <c r="B245" t="s">
        <v>1056</v>
      </c>
      <c r="C245" t="s">
        <v>9</v>
      </c>
      <c r="D245" s="10" t="e">
        <f>VLOOKUP(Tabela8[[#This Row],[Cód.]],#REF!,7,0)</f>
        <v>#REF!</v>
      </c>
      <c r="E245" s="9" t="s">
        <v>2285</v>
      </c>
      <c r="F245" s="10" t="s">
        <v>2279</v>
      </c>
      <c r="G245" s="8" t="e">
        <f>VLOOKUP(Tabela8[[#This Row],[Cód.]],CENTRAL[#All],9,0)</f>
        <v>#REF!</v>
      </c>
    </row>
    <row r="246" spans="1:7" ht="16.5" thickTop="1" thickBot="1" x14ac:dyDescent="0.3">
      <c r="A246">
        <v>200000688</v>
      </c>
      <c r="B246" t="s">
        <v>1057</v>
      </c>
      <c r="C246" t="s">
        <v>9</v>
      </c>
      <c r="D246" s="10" t="e">
        <f>VLOOKUP(Tabela8[[#This Row],[Cód.]],#REF!,7,0)</f>
        <v>#REF!</v>
      </c>
      <c r="E246" s="9" t="s">
        <v>2285</v>
      </c>
      <c r="F246" s="10" t="s">
        <v>2279</v>
      </c>
      <c r="G246" s="8" t="e">
        <f>VLOOKUP(Tabela8[[#This Row],[Cód.]],CENTRAL[#All],9,0)</f>
        <v>#REF!</v>
      </c>
    </row>
    <row r="247" spans="1:7" ht="16.5" thickTop="1" thickBot="1" x14ac:dyDescent="0.3">
      <c r="A247">
        <v>200000688</v>
      </c>
      <c r="B247" t="s">
        <v>1057</v>
      </c>
      <c r="C247" t="s">
        <v>9</v>
      </c>
      <c r="D247" s="10" t="e">
        <f>VLOOKUP(Tabela8[[#This Row],[Cód.]],#REF!,7,0)</f>
        <v>#REF!</v>
      </c>
      <c r="E247" s="9" t="s">
        <v>2285</v>
      </c>
      <c r="F247" s="10" t="s">
        <v>2279</v>
      </c>
      <c r="G247" s="8" t="e">
        <f>VLOOKUP(Tabela8[[#This Row],[Cód.]],CENTRAL[#All],9,0)</f>
        <v>#REF!</v>
      </c>
    </row>
    <row r="248" spans="1:7" ht="16.5" thickTop="1" thickBot="1" x14ac:dyDescent="0.3">
      <c r="A248">
        <v>200002045</v>
      </c>
      <c r="B248" t="s">
        <v>1058</v>
      </c>
      <c r="C248" t="s">
        <v>9</v>
      </c>
      <c r="D248" s="10" t="e">
        <f>VLOOKUP(Tabela8[[#This Row],[Cód.]],#REF!,7,0)</f>
        <v>#REF!</v>
      </c>
      <c r="E248" s="9" t="s">
        <v>2285</v>
      </c>
      <c r="F248" s="10" t="s">
        <v>2279</v>
      </c>
      <c r="G248" s="8" t="e">
        <f>VLOOKUP(Tabela8[[#This Row],[Cód.]],CENTRAL[#All],9,0)</f>
        <v>#REF!</v>
      </c>
    </row>
    <row r="249" spans="1:7" ht="16.5" thickTop="1" thickBot="1" x14ac:dyDescent="0.3">
      <c r="A249">
        <v>200002047</v>
      </c>
      <c r="B249" t="s">
        <v>1060</v>
      </c>
      <c r="C249" t="s">
        <v>9</v>
      </c>
      <c r="D249" s="10" t="e">
        <f>VLOOKUP(Tabela8[[#This Row],[Cód.]],#REF!,7,0)</f>
        <v>#REF!</v>
      </c>
      <c r="E249" s="9" t="s">
        <v>2285</v>
      </c>
      <c r="F249" s="10" t="s">
        <v>2279</v>
      </c>
      <c r="G249" s="8" t="e">
        <f>VLOOKUP(Tabela8[[#This Row],[Cód.]],CENTRAL[#All],9,0)</f>
        <v>#REF!</v>
      </c>
    </row>
    <row r="250" spans="1:7" ht="16.5" thickTop="1" thickBot="1" x14ac:dyDescent="0.3">
      <c r="A250">
        <v>200003580</v>
      </c>
      <c r="B250" t="s">
        <v>1061</v>
      </c>
      <c r="C250" t="s">
        <v>9</v>
      </c>
      <c r="D250" s="10" t="e">
        <f>VLOOKUP(Tabela8[[#This Row],[Cód.]],#REF!,7,0)</f>
        <v>#REF!</v>
      </c>
      <c r="E250" s="9" t="s">
        <v>2285</v>
      </c>
      <c r="F250" s="10" t="s">
        <v>2279</v>
      </c>
      <c r="G250" s="8" t="e">
        <f>VLOOKUP(Tabela8[[#This Row],[Cód.]],CENTRAL[#All],9,0)</f>
        <v>#REF!</v>
      </c>
    </row>
    <row r="251" spans="1:7" ht="16.5" thickTop="1" thickBot="1" x14ac:dyDescent="0.3">
      <c r="A251">
        <v>200002040</v>
      </c>
      <c r="B251" t="s">
        <v>1063</v>
      </c>
      <c r="C251" t="s">
        <v>9</v>
      </c>
      <c r="D251" s="10" t="e">
        <f>VLOOKUP(Tabela8[[#This Row],[Cód.]],#REF!,7,0)</f>
        <v>#REF!</v>
      </c>
      <c r="E251" s="9" t="s">
        <v>2285</v>
      </c>
      <c r="F251" s="10" t="s">
        <v>2279</v>
      </c>
      <c r="G251" s="8" t="e">
        <f>VLOOKUP(Tabela8[[#This Row],[Cód.]],CENTRAL[#All],9,0)</f>
        <v>#REF!</v>
      </c>
    </row>
    <row r="252" spans="1:7" ht="16.5" thickTop="1" thickBot="1" x14ac:dyDescent="0.3">
      <c r="A252">
        <v>200000686</v>
      </c>
      <c r="B252" t="s">
        <v>1065</v>
      </c>
      <c r="C252" t="s">
        <v>9</v>
      </c>
      <c r="D252" s="10" t="e">
        <f>VLOOKUP(Tabela8[[#This Row],[Cód.]],#REF!,7,0)</f>
        <v>#REF!</v>
      </c>
      <c r="E252" s="9" t="s">
        <v>2285</v>
      </c>
      <c r="F252" s="10" t="s">
        <v>2279</v>
      </c>
      <c r="G252" s="8" t="e">
        <f>VLOOKUP(Tabela8[[#This Row],[Cód.]],CENTRAL[#All],9,0)</f>
        <v>#REF!</v>
      </c>
    </row>
    <row r="253" spans="1:7" ht="16.5" thickTop="1" thickBot="1" x14ac:dyDescent="0.3">
      <c r="A253">
        <v>200001585</v>
      </c>
      <c r="B253" t="s">
        <v>1067</v>
      </c>
      <c r="C253" t="s">
        <v>9</v>
      </c>
      <c r="D253" s="10" t="e">
        <f>VLOOKUP(Tabela8[[#This Row],[Cód.]],#REF!,7,0)</f>
        <v>#REF!</v>
      </c>
      <c r="E253" s="9" t="s">
        <v>2285</v>
      </c>
      <c r="F253" s="10" t="s">
        <v>2279</v>
      </c>
      <c r="G253" s="8" t="e">
        <f>VLOOKUP(Tabela8[[#This Row],[Cód.]],CENTRAL[#All],9,0)</f>
        <v>#REF!</v>
      </c>
    </row>
    <row r="254" spans="1:7" ht="16.5" thickTop="1" thickBot="1" x14ac:dyDescent="0.3">
      <c r="A254">
        <v>200001586</v>
      </c>
      <c r="B254" t="s">
        <v>1069</v>
      </c>
      <c r="C254" t="s">
        <v>9</v>
      </c>
      <c r="D254" s="10" t="e">
        <f>VLOOKUP(Tabela8[[#This Row],[Cód.]],#REF!,7,0)</f>
        <v>#REF!</v>
      </c>
      <c r="E254" s="9" t="s">
        <v>2285</v>
      </c>
      <c r="F254" s="10" t="s">
        <v>2279</v>
      </c>
      <c r="G254" s="8" t="e">
        <f>VLOOKUP(Tabela8[[#This Row],[Cód.]],CENTRAL[#All],9,0)</f>
        <v>#REF!</v>
      </c>
    </row>
    <row r="255" spans="1:7" ht="16.5" thickTop="1" thickBot="1" x14ac:dyDescent="0.3">
      <c r="A255">
        <v>200002351</v>
      </c>
      <c r="B255" t="s">
        <v>1079</v>
      </c>
      <c r="C255" t="s">
        <v>9</v>
      </c>
      <c r="D255" s="10" t="e">
        <f>VLOOKUP(Tabela8[[#This Row],[Cód.]],#REF!,7,0)</f>
        <v>#REF!</v>
      </c>
      <c r="E255" s="9" t="s">
        <v>2285</v>
      </c>
      <c r="F255" s="10" t="s">
        <v>2279</v>
      </c>
      <c r="G255" s="8" t="e">
        <f>VLOOKUP(Tabela8[[#This Row],[Cód.]],CENTRAL[#All],9,0)</f>
        <v>#REF!</v>
      </c>
    </row>
    <row r="256" spans="1:7" ht="16.5" thickTop="1" thickBot="1" x14ac:dyDescent="0.3">
      <c r="A256">
        <v>200002352</v>
      </c>
      <c r="B256" t="s">
        <v>1080</v>
      </c>
      <c r="C256" t="s">
        <v>9</v>
      </c>
      <c r="D256" s="10" t="e">
        <f>VLOOKUP(Tabela8[[#This Row],[Cód.]],#REF!,7,0)</f>
        <v>#REF!</v>
      </c>
      <c r="E256" s="9" t="s">
        <v>2285</v>
      </c>
      <c r="F256" s="10" t="s">
        <v>2279</v>
      </c>
      <c r="G256" s="8" t="e">
        <f>VLOOKUP(Tabela8[[#This Row],[Cód.]],CENTRAL[#All],9,0)</f>
        <v>#REF!</v>
      </c>
    </row>
    <row r="257" spans="1:7" ht="16.5" thickTop="1" thickBot="1" x14ac:dyDescent="0.3">
      <c r="A257">
        <v>200003604</v>
      </c>
      <c r="B257" t="s">
        <v>1087</v>
      </c>
      <c r="C257" t="s">
        <v>9</v>
      </c>
      <c r="D257" s="10" t="e">
        <f>VLOOKUP(Tabela8[[#This Row],[Cód.]],#REF!,7,0)</f>
        <v>#REF!</v>
      </c>
      <c r="E257" s="9" t="s">
        <v>2285</v>
      </c>
      <c r="F257" s="10" t="s">
        <v>2279</v>
      </c>
      <c r="G257" s="8" t="e">
        <f>VLOOKUP(Tabela8[[#This Row],[Cód.]],CENTRAL[#All],9,0)</f>
        <v>#REF!</v>
      </c>
    </row>
    <row r="258" spans="1:7" ht="16.5" thickTop="1" thickBot="1" x14ac:dyDescent="0.3">
      <c r="A258">
        <v>200003605</v>
      </c>
      <c r="B258" t="s">
        <v>1088</v>
      </c>
      <c r="C258" t="s">
        <v>9</v>
      </c>
      <c r="D258" s="10" t="e">
        <f>VLOOKUP(Tabela8[[#This Row],[Cód.]],#REF!,7,0)</f>
        <v>#REF!</v>
      </c>
      <c r="E258" s="9" t="s">
        <v>2285</v>
      </c>
      <c r="F258" s="10" t="s">
        <v>2279</v>
      </c>
      <c r="G258" s="8" t="e">
        <f>VLOOKUP(Tabela8[[#This Row],[Cód.]],CENTRAL[#All],9,0)</f>
        <v>#REF!</v>
      </c>
    </row>
    <row r="259" spans="1:7" ht="16.5" thickTop="1" thickBot="1" x14ac:dyDescent="0.3">
      <c r="A259">
        <v>200001047</v>
      </c>
      <c r="B259" t="s">
        <v>1089</v>
      </c>
      <c r="C259" t="s">
        <v>9</v>
      </c>
      <c r="D259" s="10" t="e">
        <f>VLOOKUP(Tabela8[[#This Row],[Cód.]],#REF!,7,0)</f>
        <v>#REF!</v>
      </c>
      <c r="E259" s="9" t="s">
        <v>2285</v>
      </c>
      <c r="F259" s="10" t="s">
        <v>2279</v>
      </c>
      <c r="G259" s="8" t="e">
        <f>VLOOKUP(Tabela8[[#This Row],[Cód.]],CENTRAL[#All],9,0)</f>
        <v>#REF!</v>
      </c>
    </row>
    <row r="260" spans="1:7" ht="16.5" thickTop="1" thickBot="1" x14ac:dyDescent="0.3">
      <c r="A260">
        <v>200003606</v>
      </c>
      <c r="B260" t="s">
        <v>1090</v>
      </c>
      <c r="C260" t="s">
        <v>9</v>
      </c>
      <c r="D260" s="10" t="e">
        <f>VLOOKUP(Tabela8[[#This Row],[Cód.]],#REF!,7,0)</f>
        <v>#REF!</v>
      </c>
      <c r="E260" s="9" t="s">
        <v>2285</v>
      </c>
      <c r="F260" s="10" t="s">
        <v>2279</v>
      </c>
      <c r="G260" s="8" t="e">
        <f>VLOOKUP(Tabela8[[#This Row],[Cód.]],CENTRAL[#All],9,0)</f>
        <v>#REF!</v>
      </c>
    </row>
    <row r="261" spans="1:7" ht="16.5" thickTop="1" thickBot="1" x14ac:dyDescent="0.3">
      <c r="A261">
        <v>200003607</v>
      </c>
      <c r="B261" t="s">
        <v>1091</v>
      </c>
      <c r="C261" t="s">
        <v>9</v>
      </c>
      <c r="D261" s="10" t="e">
        <f>VLOOKUP(Tabela8[[#This Row],[Cód.]],#REF!,7,0)</f>
        <v>#REF!</v>
      </c>
      <c r="E261" s="9" t="s">
        <v>2285</v>
      </c>
      <c r="F261" s="10" t="s">
        <v>2279</v>
      </c>
      <c r="G261" s="8" t="e">
        <f>VLOOKUP(Tabela8[[#This Row],[Cód.]],CENTRAL[#All],9,0)</f>
        <v>#REF!</v>
      </c>
    </row>
    <row r="262" spans="1:7" ht="16.5" thickTop="1" thickBot="1" x14ac:dyDescent="0.3">
      <c r="A262">
        <v>200003608</v>
      </c>
      <c r="B262" t="s">
        <v>1092</v>
      </c>
      <c r="C262" t="s">
        <v>9</v>
      </c>
      <c r="D262" s="10" t="e">
        <f>VLOOKUP(Tabela8[[#This Row],[Cód.]],#REF!,7,0)</f>
        <v>#REF!</v>
      </c>
      <c r="E262" s="9" t="s">
        <v>2285</v>
      </c>
      <c r="F262" s="10" t="s">
        <v>2279</v>
      </c>
      <c r="G262" s="8" t="e">
        <f>VLOOKUP(Tabela8[[#This Row],[Cód.]],CENTRAL[#All],9,0)</f>
        <v>#REF!</v>
      </c>
    </row>
    <row r="263" spans="1:7" ht="16.5" thickTop="1" thickBot="1" x14ac:dyDescent="0.3">
      <c r="A263">
        <v>200005761</v>
      </c>
      <c r="B263" t="s">
        <v>599</v>
      </c>
      <c r="C263" t="s">
        <v>9</v>
      </c>
      <c r="D263" s="10" t="e">
        <f>VLOOKUP(Tabela8[[#This Row],[Cód.]],#REF!,7,0)</f>
        <v>#REF!</v>
      </c>
      <c r="E263" s="9" t="s">
        <v>2286</v>
      </c>
      <c r="F263" s="10" t="s">
        <v>2279</v>
      </c>
      <c r="G263" s="8" t="e">
        <f>VLOOKUP(Tabela8[[#This Row],[Cód.]],CENTRAL[#All],9,0)</f>
        <v>#REF!</v>
      </c>
    </row>
    <row r="264" spans="1:7" ht="16.5" thickTop="1" thickBot="1" x14ac:dyDescent="0.3">
      <c r="A264">
        <v>200004299</v>
      </c>
      <c r="B264" t="s">
        <v>2300</v>
      </c>
      <c r="C264" t="s">
        <v>63</v>
      </c>
      <c r="D264" s="10" t="e">
        <f>VLOOKUP(Tabela8[[#This Row],[Cód.]],#REF!,7,0)</f>
        <v>#REF!</v>
      </c>
      <c r="E264" s="9" t="s">
        <v>2288</v>
      </c>
      <c r="F264" s="10" t="s">
        <v>2279</v>
      </c>
      <c r="G264" s="8" t="e">
        <f>VLOOKUP(Tabela8[[#This Row],[Cód.]],CENTRAL[#All],9,0)</f>
        <v>#REF!</v>
      </c>
    </row>
    <row r="265" spans="1:7" ht="16.5" thickTop="1" thickBot="1" x14ac:dyDescent="0.3">
      <c r="A265">
        <v>200002130</v>
      </c>
      <c r="B265" t="s">
        <v>71</v>
      </c>
      <c r="C265" t="s">
        <v>9</v>
      </c>
      <c r="D265" s="10" t="e">
        <f>VLOOKUP(Tabela8[[#This Row],[Cód.]],#REF!,7,0)</f>
        <v>#REF!</v>
      </c>
      <c r="E265" s="9" t="s">
        <v>2288</v>
      </c>
      <c r="F265" s="10" t="s">
        <v>2279</v>
      </c>
      <c r="G265" s="8" t="e">
        <f>VLOOKUP(Tabela8[[#This Row],[Cód.]],CENTRAL[#All],9,0)</f>
        <v>#REF!</v>
      </c>
    </row>
    <row r="266" spans="1:7" ht="16.5" thickTop="1" thickBot="1" x14ac:dyDescent="0.3">
      <c r="A266">
        <v>200002131</v>
      </c>
      <c r="B266" t="s">
        <v>74</v>
      </c>
      <c r="C266" t="s">
        <v>9</v>
      </c>
      <c r="D266" s="10" t="e">
        <f>VLOOKUP(Tabela8[[#This Row],[Cód.]],#REF!,7,0)</f>
        <v>#REF!</v>
      </c>
      <c r="E266" s="9" t="s">
        <v>2288</v>
      </c>
      <c r="F266" s="10" t="s">
        <v>2279</v>
      </c>
      <c r="G266" s="8" t="e">
        <f>VLOOKUP(Tabela8[[#This Row],[Cód.]],CENTRAL[#All],9,0)</f>
        <v>#REF!</v>
      </c>
    </row>
    <row r="267" spans="1:7" ht="16.5" thickTop="1" thickBot="1" x14ac:dyDescent="0.3">
      <c r="A267">
        <v>200006052</v>
      </c>
      <c r="B267" t="s">
        <v>183</v>
      </c>
      <c r="C267" t="s">
        <v>9</v>
      </c>
      <c r="D267" s="10" t="e">
        <f>VLOOKUP(Tabela8[[#This Row],[Cód.]],#REF!,7,0)</f>
        <v>#REF!</v>
      </c>
      <c r="E267" s="9" t="s">
        <v>2288</v>
      </c>
      <c r="F267" s="10" t="s">
        <v>2279</v>
      </c>
      <c r="G267" s="8" t="e">
        <f>VLOOKUP(Tabela8[[#This Row],[Cód.]],CENTRAL[#All],9,0)</f>
        <v>#REF!</v>
      </c>
    </row>
    <row r="268" spans="1:7" ht="16.5" thickTop="1" thickBot="1" x14ac:dyDescent="0.3">
      <c r="A268">
        <v>200002435</v>
      </c>
      <c r="B268" t="s">
        <v>233</v>
      </c>
      <c r="C268" t="s">
        <v>9</v>
      </c>
      <c r="D268" s="10" t="e">
        <f>VLOOKUP(Tabela8[[#This Row],[Cód.]],#REF!,7,0)</f>
        <v>#REF!</v>
      </c>
      <c r="E268" s="9" t="s">
        <v>2288</v>
      </c>
      <c r="F268" s="10" t="s">
        <v>2279</v>
      </c>
      <c r="G268" s="8" t="e">
        <f>VLOOKUP(Tabela8[[#This Row],[Cód.]],CENTRAL[#All],9,0)</f>
        <v>#REF!</v>
      </c>
    </row>
    <row r="269" spans="1:7" ht="16.5" thickTop="1" thickBot="1" x14ac:dyDescent="0.3">
      <c r="A269">
        <v>200002435</v>
      </c>
      <c r="B269" t="s">
        <v>233</v>
      </c>
      <c r="C269" t="s">
        <v>9</v>
      </c>
      <c r="D269" s="10" t="e">
        <f>VLOOKUP(Tabela8[[#This Row],[Cód.]],#REF!,7,0)</f>
        <v>#REF!</v>
      </c>
      <c r="E269" s="9" t="s">
        <v>2288</v>
      </c>
      <c r="F269" s="10" t="s">
        <v>2279</v>
      </c>
      <c r="G269" s="8" t="e">
        <f>VLOOKUP(Tabela8[[#This Row],[Cód.]],CENTRAL[#All],9,0)</f>
        <v>#REF!</v>
      </c>
    </row>
    <row r="270" spans="1:7" ht="16.5" thickTop="1" thickBot="1" x14ac:dyDescent="0.3">
      <c r="A270">
        <v>200002125</v>
      </c>
      <c r="B270" t="s">
        <v>240</v>
      </c>
      <c r="C270" t="s">
        <v>9</v>
      </c>
      <c r="D270" s="10" t="e">
        <f>VLOOKUP(Tabela8[[#This Row],[Cód.]],#REF!,7,0)</f>
        <v>#REF!</v>
      </c>
      <c r="E270" s="9" t="s">
        <v>2288</v>
      </c>
      <c r="F270" s="10" t="s">
        <v>2279</v>
      </c>
      <c r="G270" s="8" t="e">
        <f>VLOOKUP(Tabela8[[#This Row],[Cód.]],CENTRAL[#All],9,0)</f>
        <v>#REF!</v>
      </c>
    </row>
    <row r="271" spans="1:7" ht="16.5" thickTop="1" thickBot="1" x14ac:dyDescent="0.3">
      <c r="A271">
        <v>200000202</v>
      </c>
      <c r="B271" t="s">
        <v>287</v>
      </c>
      <c r="C271" t="s">
        <v>82</v>
      </c>
      <c r="D271" s="10" t="e">
        <f>VLOOKUP(Tabela8[[#This Row],[Cód.]],#REF!,7,0)</f>
        <v>#REF!</v>
      </c>
      <c r="E271" s="9" t="s">
        <v>2288</v>
      </c>
      <c r="F271" s="10" t="s">
        <v>2279</v>
      </c>
      <c r="G271" s="8" t="e">
        <f>VLOOKUP(Tabela8[[#This Row],[Cód.]],CENTRAL[#All],9,0)</f>
        <v>#REF!</v>
      </c>
    </row>
    <row r="272" spans="1:7" ht="16.5" thickTop="1" thickBot="1" x14ac:dyDescent="0.3">
      <c r="A272">
        <v>200003794</v>
      </c>
      <c r="B272" t="s">
        <v>415</v>
      </c>
      <c r="C272" t="s">
        <v>294</v>
      </c>
      <c r="D272" s="10" t="e">
        <f>VLOOKUP(Tabela8[[#This Row],[Cód.]],#REF!,7,0)</f>
        <v>#REF!</v>
      </c>
      <c r="E272" s="9" t="s">
        <v>2288</v>
      </c>
      <c r="F272" s="10" t="s">
        <v>2279</v>
      </c>
      <c r="G272" s="8" t="e">
        <f>VLOOKUP(Tabela8[[#This Row],[Cód.]],CENTRAL[#All],9,0)</f>
        <v>#REF!</v>
      </c>
    </row>
    <row r="273" spans="1:7" ht="16.5" thickTop="1" thickBot="1" x14ac:dyDescent="0.3">
      <c r="A273">
        <v>200007185</v>
      </c>
      <c r="B273" t="s">
        <v>609</v>
      </c>
      <c r="C273" t="s">
        <v>9</v>
      </c>
      <c r="D273" s="10" t="e">
        <f>VLOOKUP(Tabela8[[#This Row],[Cód.]],#REF!,7,0)</f>
        <v>#REF!</v>
      </c>
      <c r="E273" s="9" t="s">
        <v>2288</v>
      </c>
      <c r="F273" s="10" t="s">
        <v>2279</v>
      </c>
      <c r="G273" s="8" t="e">
        <f>VLOOKUP(Tabela8[[#This Row],[Cód.]],CENTRAL[#All],9,0)</f>
        <v>#REF!</v>
      </c>
    </row>
    <row r="274" spans="1:7" ht="16.5" thickTop="1" thickBot="1" x14ac:dyDescent="0.3">
      <c r="A274">
        <v>200007184</v>
      </c>
      <c r="B274" t="s">
        <v>610</v>
      </c>
      <c r="C274" t="s">
        <v>9</v>
      </c>
      <c r="D274" s="10" t="e">
        <f>VLOOKUP(Tabela8[[#This Row],[Cód.]],#REF!,7,0)</f>
        <v>#REF!</v>
      </c>
      <c r="E274" s="9" t="s">
        <v>2288</v>
      </c>
      <c r="F274" s="10" t="s">
        <v>2279</v>
      </c>
      <c r="G274" s="8" t="e">
        <f>VLOOKUP(Tabela8[[#This Row],[Cód.]],CENTRAL[#All],9,0)</f>
        <v>#REF!</v>
      </c>
    </row>
    <row r="275" spans="1:7" ht="16.5" thickTop="1" thickBot="1" x14ac:dyDescent="0.3">
      <c r="A275">
        <v>200003884</v>
      </c>
      <c r="B275" t="s">
        <v>749</v>
      </c>
      <c r="C275" t="s">
        <v>9</v>
      </c>
      <c r="D275" s="10" t="e">
        <f>VLOOKUP(Tabela8[[#This Row],[Cód.]],#REF!,7,0)</f>
        <v>#REF!</v>
      </c>
      <c r="E275" s="9" t="s">
        <v>2288</v>
      </c>
      <c r="F275" s="10" t="s">
        <v>2279</v>
      </c>
      <c r="G275" s="8" t="e">
        <f>VLOOKUP(Tabela8[[#This Row],[Cód.]],CENTRAL[#All],9,0)</f>
        <v>#REF!</v>
      </c>
    </row>
    <row r="276" spans="1:7" ht="16.5" thickTop="1" thickBot="1" x14ac:dyDescent="0.3">
      <c r="A276">
        <v>200002698</v>
      </c>
      <c r="B276" t="s">
        <v>750</v>
      </c>
      <c r="C276" t="s">
        <v>9</v>
      </c>
      <c r="D276" s="10" t="e">
        <f>VLOOKUP(Tabela8[[#This Row],[Cód.]],#REF!,7,0)</f>
        <v>#REF!</v>
      </c>
      <c r="E276" s="9" t="s">
        <v>2288</v>
      </c>
      <c r="F276" s="10" t="s">
        <v>2279</v>
      </c>
      <c r="G276" s="8" t="e">
        <f>VLOOKUP(Tabela8[[#This Row],[Cód.]],CENTRAL[#All],9,0)</f>
        <v>#REF!</v>
      </c>
    </row>
    <row r="277" spans="1:7" ht="16.5" thickTop="1" thickBot="1" x14ac:dyDescent="0.3">
      <c r="A277">
        <v>200004167</v>
      </c>
      <c r="B277" t="s">
        <v>751</v>
      </c>
      <c r="C277" t="s">
        <v>9</v>
      </c>
      <c r="D277" s="10" t="e">
        <f>VLOOKUP(Tabela8[[#This Row],[Cód.]],#REF!,7,0)</f>
        <v>#REF!</v>
      </c>
      <c r="E277" s="9" t="s">
        <v>2288</v>
      </c>
      <c r="F277" s="10" t="s">
        <v>2279</v>
      </c>
      <c r="G277" s="8" t="e">
        <f>VLOOKUP(Tabela8[[#This Row],[Cód.]],CENTRAL[#All],9,0)</f>
        <v>#REF!</v>
      </c>
    </row>
    <row r="278" spans="1:7" ht="16.5" thickTop="1" thickBot="1" x14ac:dyDescent="0.3">
      <c r="A278">
        <v>200000714</v>
      </c>
      <c r="B278" t="s">
        <v>885</v>
      </c>
      <c r="C278" t="s">
        <v>546</v>
      </c>
      <c r="D278" s="10" t="e">
        <f>VLOOKUP(Tabela8[[#This Row],[Cód.]],#REF!,7,0)</f>
        <v>#REF!</v>
      </c>
      <c r="E278" s="9" t="s">
        <v>2288</v>
      </c>
      <c r="F278" s="10" t="s">
        <v>2279</v>
      </c>
      <c r="G278" s="8" t="e">
        <f>VLOOKUP(Tabela8[[#This Row],[Cód.]],CENTRAL[#All],9,0)</f>
        <v>#REF!</v>
      </c>
    </row>
    <row r="279" spans="1:7" ht="16.5" thickTop="1" thickBot="1" x14ac:dyDescent="0.3">
      <c r="A279">
        <v>200002166</v>
      </c>
      <c r="B279" t="s">
        <v>1077</v>
      </c>
      <c r="C279" t="s">
        <v>9</v>
      </c>
      <c r="D279" s="10" t="e">
        <f>VLOOKUP(Tabela8[[#This Row],[Cód.]],#REF!,7,0)</f>
        <v>#REF!</v>
      </c>
      <c r="E279" s="9" t="s">
        <v>2288</v>
      </c>
      <c r="F279" s="10" t="s">
        <v>2279</v>
      </c>
      <c r="G279" s="8" t="e">
        <f>VLOOKUP(Tabela8[[#This Row],[Cód.]],CENTRAL[#All],9,0)</f>
        <v>#REF!</v>
      </c>
    </row>
    <row r="280" spans="1:7" ht="16.5" thickTop="1" thickBot="1" x14ac:dyDescent="0.3">
      <c r="A280">
        <v>200003629</v>
      </c>
      <c r="B280" t="s">
        <v>2301</v>
      </c>
      <c r="C280" t="s">
        <v>9</v>
      </c>
      <c r="D280" s="10" t="e">
        <f>VLOOKUP(Tabela8[[#This Row],[Cód.]],#REF!,7,0)</f>
        <v>#REF!</v>
      </c>
      <c r="E280" s="9" t="s">
        <v>2290</v>
      </c>
      <c r="F280" s="10" t="s">
        <v>2279</v>
      </c>
      <c r="G280" s="8" t="e">
        <f>VLOOKUP(Tabela8[[#This Row],[Cód.]],CENTRAL[#All],9,0)</f>
        <v>#REF!</v>
      </c>
    </row>
    <row r="281" spans="1:7" ht="16.5" thickTop="1" thickBot="1" x14ac:dyDescent="0.3">
      <c r="A281">
        <v>200001021</v>
      </c>
      <c r="B281" t="s">
        <v>356</v>
      </c>
      <c r="C281" t="s">
        <v>9</v>
      </c>
      <c r="D281" s="10" t="e">
        <f>VLOOKUP(Tabela8[[#This Row],[Cód.]],#REF!,7,0)</f>
        <v>#REF!</v>
      </c>
      <c r="E281" s="9" t="s">
        <v>2290</v>
      </c>
      <c r="F281" s="10" t="s">
        <v>2279</v>
      </c>
      <c r="G281" s="8" t="e">
        <f>VLOOKUP(Tabela8[[#This Row],[Cód.]],CENTRAL[#All],9,0)</f>
        <v>#REF!</v>
      </c>
    </row>
    <row r="282" spans="1:7" ht="16.5" thickTop="1" thickBot="1" x14ac:dyDescent="0.3">
      <c r="A282">
        <v>200005238</v>
      </c>
      <c r="B282" t="s">
        <v>522</v>
      </c>
      <c r="C282" t="s">
        <v>9</v>
      </c>
      <c r="D282" s="10" t="e">
        <f>VLOOKUP(Tabela8[[#This Row],[Cód.]],#REF!,7,0)</f>
        <v>#REF!</v>
      </c>
      <c r="E282" s="9" t="s">
        <v>2290</v>
      </c>
      <c r="F282" s="10" t="s">
        <v>2279</v>
      </c>
      <c r="G282" s="8" t="e">
        <f>VLOOKUP(Tabela8[[#This Row],[Cód.]],CENTRAL[#All],9,0)</f>
        <v>#REF!</v>
      </c>
    </row>
    <row r="283" spans="1:7" ht="16.5" thickTop="1" thickBot="1" x14ac:dyDescent="0.3">
      <c r="A283">
        <v>200002358</v>
      </c>
      <c r="B283" t="s">
        <v>791</v>
      </c>
      <c r="C283" t="s">
        <v>9</v>
      </c>
      <c r="D283" s="10" t="e">
        <f>VLOOKUP(Tabela8[[#This Row],[Cód.]],#REF!,7,0)</f>
        <v>#REF!</v>
      </c>
      <c r="E283" s="9" t="s">
        <v>2290</v>
      </c>
      <c r="F283" s="10" t="s">
        <v>2279</v>
      </c>
      <c r="G283" s="8" t="e">
        <f>VLOOKUP(Tabela8[[#This Row],[Cód.]],CENTRAL[#All],9,0)</f>
        <v>#REF!</v>
      </c>
    </row>
    <row r="284" spans="1:7" ht="16.5" thickTop="1" thickBot="1" x14ac:dyDescent="0.3">
      <c r="A284">
        <v>200002008</v>
      </c>
      <c r="B284" t="s">
        <v>817</v>
      </c>
      <c r="C284" t="s">
        <v>9</v>
      </c>
      <c r="D284" s="10" t="e">
        <f>VLOOKUP(Tabela8[[#This Row],[Cód.]],#REF!,7,0)</f>
        <v>#REF!</v>
      </c>
      <c r="E284" s="9" t="s">
        <v>2290</v>
      </c>
      <c r="F284" s="10" t="s">
        <v>2279</v>
      </c>
      <c r="G284" s="8" t="e">
        <f>VLOOKUP(Tabela8[[#This Row],[Cód.]],CENTRAL[#All],9,0)</f>
        <v>#REF!</v>
      </c>
    </row>
    <row r="285" spans="1:7" ht="16.5" thickTop="1" thickBot="1" x14ac:dyDescent="0.3">
      <c r="A285">
        <v>200005231</v>
      </c>
      <c r="B285" t="s">
        <v>1007</v>
      </c>
      <c r="C285" t="s">
        <v>9</v>
      </c>
      <c r="D285" s="10" t="e">
        <f>VLOOKUP(Tabela8[[#This Row],[Cód.]],#REF!,7,0)</f>
        <v>#REF!</v>
      </c>
      <c r="E285" s="9" t="s">
        <v>2290</v>
      </c>
      <c r="F285" s="10" t="s">
        <v>2279</v>
      </c>
      <c r="G285" s="8" t="e">
        <f>VLOOKUP(Tabela8[[#This Row],[Cód.]],CENTRAL[#All],9,0)</f>
        <v>#REF!</v>
      </c>
    </row>
    <row r="286" spans="1:7" ht="16.5" thickTop="1" thickBot="1" x14ac:dyDescent="0.3">
      <c r="A286">
        <v>200004191</v>
      </c>
      <c r="B286" t="s">
        <v>1008</v>
      </c>
      <c r="C286" t="s">
        <v>9</v>
      </c>
      <c r="D286" s="10" t="e">
        <f>VLOOKUP(Tabela8[[#This Row],[Cód.]],#REF!,7,0)</f>
        <v>#REF!</v>
      </c>
      <c r="E286" s="9" t="s">
        <v>2290</v>
      </c>
      <c r="F286" s="10" t="s">
        <v>2279</v>
      </c>
      <c r="G286" s="8" t="e">
        <f>VLOOKUP(Tabela8[[#This Row],[Cód.]],CENTRAL[#All],9,0)</f>
        <v>#REF!</v>
      </c>
    </row>
    <row r="287" spans="1:7" ht="16.5" thickTop="1" thickBot="1" x14ac:dyDescent="0.3">
      <c r="A287">
        <v>200003671</v>
      </c>
      <c r="B287" t="s">
        <v>1009</v>
      </c>
      <c r="C287" t="s">
        <v>9</v>
      </c>
      <c r="D287" s="10" t="e">
        <f>VLOOKUP(Tabela8[[#This Row],[Cód.]],#REF!,7,0)</f>
        <v>#REF!</v>
      </c>
      <c r="E287" s="9" t="s">
        <v>2290</v>
      </c>
      <c r="F287" s="10" t="s">
        <v>2279</v>
      </c>
      <c r="G287" s="8" t="e">
        <f>VLOOKUP(Tabela8[[#This Row],[Cód.]],CENTRAL[#All],9,0)</f>
        <v>#REF!</v>
      </c>
    </row>
    <row r="288" spans="1:7" ht="16.5" thickTop="1" thickBot="1" x14ac:dyDescent="0.3">
      <c r="A288">
        <v>200003672</v>
      </c>
      <c r="B288" t="s">
        <v>1010</v>
      </c>
      <c r="C288" t="s">
        <v>9</v>
      </c>
      <c r="D288" s="10" t="e">
        <f>VLOOKUP(Tabela8[[#This Row],[Cód.]],#REF!,7,0)</f>
        <v>#REF!</v>
      </c>
      <c r="E288" s="9" t="s">
        <v>2290</v>
      </c>
      <c r="F288" s="10" t="s">
        <v>2279</v>
      </c>
      <c r="G288" s="8" t="e">
        <f>VLOOKUP(Tabela8[[#This Row],[Cód.]],CENTRAL[#All],9,0)</f>
        <v>#REF!</v>
      </c>
    </row>
    <row r="289" spans="1:7" ht="16.5" thickTop="1" thickBot="1" x14ac:dyDescent="0.3">
      <c r="A289">
        <v>200004946</v>
      </c>
      <c r="B289" t="s">
        <v>1011</v>
      </c>
      <c r="C289" t="s">
        <v>9</v>
      </c>
      <c r="D289" s="10" t="e">
        <f>VLOOKUP(Tabela8[[#This Row],[Cód.]],#REF!,7,0)</f>
        <v>#REF!</v>
      </c>
      <c r="E289" s="9" t="s">
        <v>2290</v>
      </c>
      <c r="F289" s="10" t="s">
        <v>2279</v>
      </c>
      <c r="G289" s="8" t="e">
        <f>VLOOKUP(Tabela8[[#This Row],[Cód.]],CENTRAL[#All],9,0)</f>
        <v>#REF!</v>
      </c>
    </row>
    <row r="290" spans="1:7" ht="16.5" thickTop="1" thickBot="1" x14ac:dyDescent="0.3">
      <c r="A290">
        <v>200004133</v>
      </c>
      <c r="B290" t="s">
        <v>1014</v>
      </c>
      <c r="C290" t="s">
        <v>9</v>
      </c>
      <c r="D290" s="10" t="e">
        <f>VLOOKUP(Tabela8[[#This Row],[Cód.]],#REF!,7,0)</f>
        <v>#REF!</v>
      </c>
      <c r="E290" s="9" t="s">
        <v>2290</v>
      </c>
      <c r="F290" s="10" t="s">
        <v>2279</v>
      </c>
      <c r="G290" s="8" t="e">
        <f>VLOOKUP(Tabela8[[#This Row],[Cód.]],CENTRAL[#All],9,0)</f>
        <v>#REF!</v>
      </c>
    </row>
    <row r="291" spans="1:7" ht="16.5" thickTop="1" thickBot="1" x14ac:dyDescent="0.3">
      <c r="A291">
        <v>200002224</v>
      </c>
      <c r="B291" t="s">
        <v>1026</v>
      </c>
      <c r="C291" t="s">
        <v>9</v>
      </c>
      <c r="D291" s="10" t="e">
        <f>VLOOKUP(Tabela8[[#This Row],[Cód.]],#REF!,7,0)</f>
        <v>#REF!</v>
      </c>
      <c r="E291" s="9" t="s">
        <v>2290</v>
      </c>
      <c r="F291" s="10" t="s">
        <v>2279</v>
      </c>
      <c r="G291" s="8" t="e">
        <f>VLOOKUP(Tabela8[[#This Row],[Cód.]],CENTRAL[#All],9,0)</f>
        <v>#REF!</v>
      </c>
    </row>
    <row r="292" spans="1:7" ht="16.5" thickTop="1" thickBot="1" x14ac:dyDescent="0.3">
      <c r="A292">
        <v>200000701</v>
      </c>
      <c r="B292" t="s">
        <v>1115</v>
      </c>
      <c r="C292" t="s">
        <v>9</v>
      </c>
      <c r="D292" s="10" t="e">
        <f>VLOOKUP(Tabela8[[#This Row],[Cód.]],#REF!,7,0)</f>
        <v>#REF!</v>
      </c>
      <c r="E292" s="9" t="s">
        <v>2290</v>
      </c>
      <c r="F292" s="10" t="s">
        <v>2279</v>
      </c>
      <c r="G292" s="8" t="e">
        <f>VLOOKUP(Tabela8[[#This Row],[Cód.]],CENTRAL[#All],9,0)</f>
        <v>#REF!</v>
      </c>
    </row>
    <row r="293" spans="1:7" ht="16.5" thickTop="1" thickBot="1" x14ac:dyDescent="0.3">
      <c r="A293">
        <v>200001051</v>
      </c>
      <c r="B293" t="s">
        <v>1123</v>
      </c>
      <c r="C293" t="s">
        <v>9</v>
      </c>
      <c r="D293" s="10" t="e">
        <f>VLOOKUP(Tabela8[[#This Row],[Cód.]],#REF!,7,0)</f>
        <v>#REF!</v>
      </c>
      <c r="E293" s="9" t="s">
        <v>2290</v>
      </c>
      <c r="F293" s="10" t="s">
        <v>2279</v>
      </c>
      <c r="G293" s="8" t="e">
        <f>VLOOKUP(Tabela8[[#This Row],[Cód.]],CENTRAL[#All],9,0)</f>
        <v>#REF!</v>
      </c>
    </row>
    <row r="294" spans="1:7" ht="16.5" thickTop="1" thickBot="1" x14ac:dyDescent="0.3">
      <c r="A294">
        <v>200003683</v>
      </c>
      <c r="B294" t="s">
        <v>1128</v>
      </c>
      <c r="C294" t="s">
        <v>9</v>
      </c>
      <c r="D294" s="10" t="e">
        <f>VLOOKUP(Tabela8[[#This Row],[Cód.]],#REF!,7,0)</f>
        <v>#REF!</v>
      </c>
      <c r="E294" s="9" t="s">
        <v>2290</v>
      </c>
      <c r="F294" s="10" t="s">
        <v>2279</v>
      </c>
      <c r="G294" s="8" t="e">
        <f>VLOOKUP(Tabela8[[#This Row],[Cód.]],CENTRAL[#All],9,0)</f>
        <v>#REF!</v>
      </c>
    </row>
    <row r="295" spans="1:7" ht="16.5" thickTop="1" thickBot="1" x14ac:dyDescent="0.3">
      <c r="A295">
        <v>200003685</v>
      </c>
      <c r="B295" t="s">
        <v>1129</v>
      </c>
      <c r="C295" t="s">
        <v>9</v>
      </c>
      <c r="D295" s="10" t="e">
        <f>VLOOKUP(Tabela8[[#This Row],[Cód.]],#REF!,7,0)</f>
        <v>#REF!</v>
      </c>
      <c r="E295" s="9" t="s">
        <v>2290</v>
      </c>
      <c r="F295" s="10" t="s">
        <v>2279</v>
      </c>
      <c r="G295" s="8" t="e">
        <f>VLOOKUP(Tabela8[[#This Row],[Cód.]],CENTRAL[#All],9,0)</f>
        <v>#REF!</v>
      </c>
    </row>
    <row r="296" spans="1:7" ht="16.5" thickTop="1" thickBot="1" x14ac:dyDescent="0.3">
      <c r="A296">
        <v>200001050</v>
      </c>
      <c r="B296" t="s">
        <v>1131</v>
      </c>
      <c r="C296" t="s">
        <v>9</v>
      </c>
      <c r="D296" s="10" t="e">
        <f>VLOOKUP(Tabela8[[#This Row],[Cód.]],#REF!,7,0)</f>
        <v>#REF!</v>
      </c>
      <c r="E296" s="9" t="s">
        <v>2290</v>
      </c>
      <c r="F296" s="10" t="s">
        <v>2279</v>
      </c>
      <c r="G296" s="8" t="e">
        <f>VLOOKUP(Tabela8[[#This Row],[Cód.]],CENTRAL[#All],9,0)</f>
        <v>#REF!</v>
      </c>
    </row>
    <row r="297" spans="1:7" ht="16.5" thickTop="1" thickBot="1" x14ac:dyDescent="0.3">
      <c r="A297">
        <v>200001052</v>
      </c>
      <c r="B297" t="s">
        <v>1136</v>
      </c>
      <c r="C297" t="s">
        <v>9</v>
      </c>
      <c r="D297" s="10" t="e">
        <f>VLOOKUP(Tabela8[[#This Row],[Cód.]],#REF!,7,0)</f>
        <v>#REF!</v>
      </c>
      <c r="E297" s="9" t="s">
        <v>2290</v>
      </c>
      <c r="F297" s="10" t="s">
        <v>2279</v>
      </c>
      <c r="G297" s="8" t="e">
        <f>VLOOKUP(Tabela8[[#This Row],[Cód.]],CENTRAL[#All],9,0)</f>
        <v>#REF!</v>
      </c>
    </row>
    <row r="298" spans="1:7" ht="16.5" thickTop="1" thickBot="1" x14ac:dyDescent="0.3">
      <c r="A298">
        <v>200003682</v>
      </c>
      <c r="B298" t="s">
        <v>1137</v>
      </c>
      <c r="C298" t="s">
        <v>9</v>
      </c>
      <c r="D298" s="10" t="e">
        <f>VLOOKUP(Tabela8[[#This Row],[Cód.]],#REF!,7,0)</f>
        <v>#REF!</v>
      </c>
      <c r="E298" s="9" t="s">
        <v>2290</v>
      </c>
      <c r="F298" s="10" t="s">
        <v>2279</v>
      </c>
      <c r="G298" s="8" t="e">
        <f>VLOOKUP(Tabela8[[#This Row],[Cód.]],CENTRAL[#All],9,0)</f>
        <v>#REF!</v>
      </c>
    </row>
    <row r="299" spans="1:7" ht="16.5" thickTop="1" thickBot="1" x14ac:dyDescent="0.3">
      <c r="A299">
        <v>200003622</v>
      </c>
      <c r="B299" t="s">
        <v>1138</v>
      </c>
      <c r="C299" t="s">
        <v>9</v>
      </c>
      <c r="D299" s="10" t="e">
        <f>VLOOKUP(Tabela8[[#This Row],[Cód.]],#REF!,7,0)</f>
        <v>#REF!</v>
      </c>
      <c r="E299" s="9" t="s">
        <v>2290</v>
      </c>
      <c r="F299" s="10" t="s">
        <v>2279</v>
      </c>
      <c r="G299" s="8" t="e">
        <f>VLOOKUP(Tabela8[[#This Row],[Cód.]],CENTRAL[#All],9,0)</f>
        <v>#REF!</v>
      </c>
    </row>
    <row r="300" spans="1:7" ht="16.5" thickTop="1" thickBot="1" x14ac:dyDescent="0.3">
      <c r="A300">
        <v>200001053</v>
      </c>
      <c r="B300" t="s">
        <v>1139</v>
      </c>
      <c r="C300" t="s">
        <v>9</v>
      </c>
      <c r="D300" s="10" t="e">
        <f>VLOOKUP(Tabela8[[#This Row],[Cód.]],#REF!,7,0)</f>
        <v>#REF!</v>
      </c>
      <c r="E300" s="9" t="s">
        <v>2290</v>
      </c>
      <c r="F300" s="10" t="s">
        <v>2279</v>
      </c>
      <c r="G300" s="8" t="e">
        <f>VLOOKUP(Tabela8[[#This Row],[Cód.]],CENTRAL[#All],9,0)</f>
        <v>#REF!</v>
      </c>
    </row>
    <row r="301" spans="1:7" ht="16.5" thickTop="1" thickBot="1" x14ac:dyDescent="0.3">
      <c r="A301">
        <v>200002438</v>
      </c>
      <c r="B301" t="s">
        <v>620</v>
      </c>
      <c r="C301" t="s">
        <v>9</v>
      </c>
      <c r="D301" s="10" t="e">
        <f>VLOOKUP(Tabela8[[#This Row],[Cód.]],#REF!,7,0)</f>
        <v>#REF!</v>
      </c>
      <c r="E301" s="9" t="s">
        <v>2291</v>
      </c>
      <c r="F301" s="10" t="s">
        <v>2279</v>
      </c>
      <c r="G301" s="8" t="e">
        <f>VLOOKUP(Tabela8[[#This Row],[Cód.]],CENTRAL[#All],9,0)</f>
        <v>#REF!</v>
      </c>
    </row>
    <row r="302" spans="1:7" ht="16.5" thickTop="1" thickBot="1" x14ac:dyDescent="0.3">
      <c r="A302">
        <v>200002439</v>
      </c>
      <c r="B302" t="s">
        <v>621</v>
      </c>
      <c r="C302" t="s">
        <v>9</v>
      </c>
      <c r="D302" s="10" t="e">
        <f>VLOOKUP(Tabela8[[#This Row],[Cód.]],#REF!,7,0)</f>
        <v>#REF!</v>
      </c>
      <c r="E302" s="9" t="s">
        <v>2291</v>
      </c>
      <c r="F302" s="10" t="s">
        <v>2279</v>
      </c>
      <c r="G302" s="8" t="e">
        <f>VLOOKUP(Tabela8[[#This Row],[Cód.]],CENTRAL[#All],9,0)</f>
        <v>#REF!</v>
      </c>
    </row>
    <row r="303" spans="1:7" ht="16.5" thickTop="1" thickBot="1" x14ac:dyDescent="0.3">
      <c r="A303">
        <v>200005817</v>
      </c>
      <c r="B303" t="s">
        <v>149</v>
      </c>
      <c r="C303" t="s">
        <v>96</v>
      </c>
      <c r="D303" s="10" t="e">
        <f>VLOOKUP(Tabela8[[#This Row],[Cód.]],#REF!,7,0)</f>
        <v>#REF!</v>
      </c>
      <c r="E303" s="9" t="s">
        <v>2292</v>
      </c>
      <c r="F303" s="10" t="s">
        <v>2279</v>
      </c>
      <c r="G303" s="8" t="e">
        <f>VLOOKUP(Tabela8[[#This Row],[Cód.]],CENTRAL[#All],9,0)</f>
        <v>#REF!</v>
      </c>
    </row>
    <row r="304" spans="1:7" ht="16.5" thickTop="1" thickBot="1" x14ac:dyDescent="0.3">
      <c r="A304">
        <v>200005818</v>
      </c>
      <c r="B304" t="s">
        <v>151</v>
      </c>
      <c r="C304" t="s">
        <v>96</v>
      </c>
      <c r="D304" s="10" t="e">
        <f>VLOOKUP(Tabela8[[#This Row],[Cód.]],#REF!,7,0)</f>
        <v>#REF!</v>
      </c>
      <c r="E304" s="9" t="s">
        <v>2292</v>
      </c>
      <c r="F304" s="10" t="s">
        <v>2279</v>
      </c>
      <c r="G304" s="8" t="e">
        <f>VLOOKUP(Tabela8[[#This Row],[Cód.]],CENTRAL[#All],9,0)</f>
        <v>#REF!</v>
      </c>
    </row>
    <row r="305" spans="1:7" ht="16.5" thickTop="1" thickBot="1" x14ac:dyDescent="0.3">
      <c r="A305">
        <v>200005320</v>
      </c>
      <c r="B305" t="s">
        <v>347</v>
      </c>
      <c r="C305" t="s">
        <v>9</v>
      </c>
      <c r="D305" s="10" t="e">
        <f>VLOOKUP(Tabela8[[#This Row],[Cód.]],#REF!,7,0)</f>
        <v>#REF!</v>
      </c>
      <c r="E305" s="9" t="s">
        <v>2292</v>
      </c>
      <c r="F305" s="10" t="s">
        <v>2279</v>
      </c>
      <c r="G305" s="8" t="e">
        <f>VLOOKUP(Tabela8[[#This Row],[Cód.]],CENTRAL[#All],9,0)</f>
        <v>#REF!</v>
      </c>
    </row>
    <row r="306" spans="1:7" ht="16.5" thickTop="1" thickBot="1" x14ac:dyDescent="0.3">
      <c r="A306">
        <v>200000285</v>
      </c>
      <c r="B306" t="s">
        <v>349</v>
      </c>
      <c r="C306" t="s">
        <v>9</v>
      </c>
      <c r="D306" s="10" t="e">
        <f>VLOOKUP(Tabela8[[#This Row],[Cód.]],#REF!,7,0)</f>
        <v>#REF!</v>
      </c>
      <c r="E306" s="9" t="s">
        <v>2292</v>
      </c>
      <c r="F306" s="10" t="s">
        <v>2279</v>
      </c>
      <c r="G306" s="8" t="e">
        <f>VLOOKUP(Tabela8[[#This Row],[Cód.]],CENTRAL[#All],9,0)</f>
        <v>#REF!</v>
      </c>
    </row>
    <row r="307" spans="1:7" ht="16.5" thickTop="1" thickBot="1" x14ac:dyDescent="0.3">
      <c r="A307">
        <v>200000286</v>
      </c>
      <c r="B307" t="s">
        <v>350</v>
      </c>
      <c r="C307" t="s">
        <v>9</v>
      </c>
      <c r="D307" s="10" t="e">
        <f>VLOOKUP(Tabela8[[#This Row],[Cód.]],#REF!,7,0)</f>
        <v>#REF!</v>
      </c>
      <c r="E307" s="9" t="s">
        <v>2292</v>
      </c>
      <c r="F307" s="10" t="s">
        <v>2279</v>
      </c>
      <c r="G307" s="8" t="e">
        <f>VLOOKUP(Tabela8[[#This Row],[Cód.]],CENTRAL[#All],9,0)</f>
        <v>#REF!</v>
      </c>
    </row>
    <row r="308" spans="1:7" ht="16.5" thickTop="1" thickBot="1" x14ac:dyDescent="0.3">
      <c r="A308">
        <v>200003401</v>
      </c>
      <c r="B308" t="s">
        <v>420</v>
      </c>
      <c r="C308" t="s">
        <v>9</v>
      </c>
      <c r="D308" s="10" t="e">
        <f>VLOOKUP(Tabela8[[#This Row],[Cód.]],#REF!,7,0)</f>
        <v>#REF!</v>
      </c>
      <c r="E308" s="9" t="s">
        <v>2292</v>
      </c>
      <c r="F308" s="10" t="s">
        <v>2279</v>
      </c>
      <c r="G308" s="8" t="e">
        <f>VLOOKUP(Tabela8[[#This Row],[Cód.]],CENTRAL[#All],9,0)</f>
        <v>#REF!</v>
      </c>
    </row>
    <row r="309" spans="1:7" ht="16.5" thickTop="1" thickBot="1" x14ac:dyDescent="0.3">
      <c r="A309">
        <v>200003402</v>
      </c>
      <c r="B309" t="s">
        <v>421</v>
      </c>
      <c r="C309" t="s">
        <v>9</v>
      </c>
      <c r="D309" s="10" t="e">
        <f>VLOOKUP(Tabela8[[#This Row],[Cód.]],#REF!,7,0)</f>
        <v>#REF!</v>
      </c>
      <c r="E309" s="9" t="s">
        <v>2292</v>
      </c>
      <c r="F309" s="10" t="s">
        <v>2279</v>
      </c>
      <c r="G309" s="8" t="e">
        <f>VLOOKUP(Tabela8[[#This Row],[Cód.]],CENTRAL[#All],9,0)</f>
        <v>#REF!</v>
      </c>
    </row>
    <row r="310" spans="1:7" ht="16.5" thickTop="1" thickBot="1" x14ac:dyDescent="0.3">
      <c r="A310">
        <v>200005819</v>
      </c>
      <c r="B310" t="s">
        <v>643</v>
      </c>
      <c r="C310" t="s">
        <v>96</v>
      </c>
      <c r="D310" s="10" t="e">
        <f>VLOOKUP(Tabela8[[#This Row],[Cód.]],#REF!,7,0)</f>
        <v>#REF!</v>
      </c>
      <c r="E310" s="9" t="s">
        <v>2292</v>
      </c>
      <c r="F310" s="10" t="s">
        <v>2279</v>
      </c>
      <c r="G310" s="8" t="e">
        <f>VLOOKUP(Tabela8[[#This Row],[Cód.]],CENTRAL[#All],9,0)</f>
        <v>#REF!</v>
      </c>
    </row>
    <row r="311" spans="1:7" ht="16.5" thickTop="1" thickBot="1" x14ac:dyDescent="0.3">
      <c r="A311">
        <v>200005821</v>
      </c>
      <c r="B311" t="s">
        <v>644</v>
      </c>
      <c r="C311" t="s">
        <v>96</v>
      </c>
      <c r="D311" s="10" t="e">
        <f>VLOOKUP(Tabela8[[#This Row],[Cód.]],#REF!,7,0)</f>
        <v>#REF!</v>
      </c>
      <c r="E311" s="9" t="s">
        <v>2292</v>
      </c>
      <c r="F311" s="10" t="s">
        <v>2279</v>
      </c>
      <c r="G311" s="8" t="e">
        <f>VLOOKUP(Tabela8[[#This Row],[Cód.]],CENTRAL[#All],9,0)</f>
        <v>#REF!</v>
      </c>
    </row>
    <row r="312" spans="1:7" ht="16.5" thickTop="1" thickBot="1" x14ac:dyDescent="0.3">
      <c r="A312">
        <v>200005820</v>
      </c>
      <c r="B312" t="s">
        <v>646</v>
      </c>
      <c r="C312" t="s">
        <v>96</v>
      </c>
      <c r="D312" s="10" t="e">
        <f>VLOOKUP(Tabela8[[#This Row],[Cód.]],#REF!,7,0)</f>
        <v>#REF!</v>
      </c>
      <c r="E312" s="9" t="s">
        <v>2292</v>
      </c>
      <c r="F312" s="10" t="s">
        <v>2279</v>
      </c>
      <c r="G312" s="8" t="e">
        <f>VLOOKUP(Tabela8[[#This Row],[Cód.]],CENTRAL[#All],9,0)</f>
        <v>#REF!</v>
      </c>
    </row>
    <row r="313" spans="1:7" ht="16.5" thickTop="1" thickBot="1" x14ac:dyDescent="0.3">
      <c r="A313">
        <v>200005981</v>
      </c>
      <c r="B313" t="s">
        <v>647</v>
      </c>
      <c r="C313" t="s">
        <v>96</v>
      </c>
      <c r="D313" s="10" t="e">
        <f>VLOOKUP(Tabela8[[#This Row],[Cód.]],#REF!,7,0)</f>
        <v>#REF!</v>
      </c>
      <c r="E313" s="9" t="s">
        <v>2292</v>
      </c>
      <c r="F313" s="10" t="s">
        <v>2279</v>
      </c>
      <c r="G313" s="8" t="e">
        <f>VLOOKUP(Tabela8[[#This Row],[Cód.]],CENTRAL[#All],9,0)</f>
        <v>#REF!</v>
      </c>
    </row>
    <row r="314" spans="1:7" ht="16.5" thickTop="1" thickBot="1" x14ac:dyDescent="0.3">
      <c r="A314">
        <v>200002148</v>
      </c>
      <c r="B314" t="s">
        <v>654</v>
      </c>
      <c r="C314" t="s">
        <v>9</v>
      </c>
      <c r="D314" s="10" t="e">
        <f>VLOOKUP(Tabela8[[#This Row],[Cód.]],#REF!,7,0)</f>
        <v>#REF!</v>
      </c>
      <c r="E314" s="9" t="s">
        <v>2292</v>
      </c>
      <c r="F314" s="10" t="s">
        <v>2279</v>
      </c>
      <c r="G314" s="8" t="e">
        <f>VLOOKUP(Tabela8[[#This Row],[Cód.]],CENTRAL[#All],9,0)</f>
        <v>#REF!</v>
      </c>
    </row>
    <row r="315" spans="1:7" ht="16.5" thickTop="1" thickBot="1" x14ac:dyDescent="0.3">
      <c r="A315">
        <v>200003407</v>
      </c>
      <c r="B315" t="s">
        <v>763</v>
      </c>
      <c r="C315" t="s">
        <v>82</v>
      </c>
      <c r="D315" s="10" t="e">
        <f>VLOOKUP(Tabela8[[#This Row],[Cód.]],#REF!,7,0)</f>
        <v>#REF!</v>
      </c>
      <c r="E315" s="9" t="s">
        <v>2292</v>
      </c>
      <c r="F315" s="10" t="s">
        <v>2279</v>
      </c>
      <c r="G315" s="8" t="e">
        <f>VLOOKUP(Tabela8[[#This Row],[Cód.]],CENTRAL[#All],9,0)</f>
        <v>#REF!</v>
      </c>
    </row>
    <row r="316" spans="1:7" ht="16.5" thickTop="1" thickBot="1" x14ac:dyDescent="0.3">
      <c r="A316">
        <v>200003407</v>
      </c>
      <c r="B316" t="s">
        <v>763</v>
      </c>
      <c r="C316" t="s">
        <v>82</v>
      </c>
      <c r="D316" s="10" t="e">
        <f>VLOOKUP(Tabela8[[#This Row],[Cód.]],#REF!,7,0)</f>
        <v>#REF!</v>
      </c>
      <c r="E316" s="9" t="s">
        <v>2292</v>
      </c>
      <c r="F316" s="10" t="s">
        <v>2279</v>
      </c>
      <c r="G316" s="8" t="e">
        <f>VLOOKUP(Tabela8[[#This Row],[Cód.]],CENTRAL[#All],9,0)</f>
        <v>#REF!</v>
      </c>
    </row>
    <row r="317" spans="1:7" ht="16.5" thickTop="1" thickBot="1" x14ac:dyDescent="0.3">
      <c r="A317">
        <v>200003409</v>
      </c>
      <c r="B317" t="s">
        <v>766</v>
      </c>
      <c r="C317" t="s">
        <v>9</v>
      </c>
      <c r="D317" s="10" t="e">
        <f>VLOOKUP(Tabela8[[#This Row],[Cód.]],#REF!,7,0)</f>
        <v>#REF!</v>
      </c>
      <c r="E317" s="9" t="s">
        <v>2292</v>
      </c>
      <c r="F317" s="10" t="s">
        <v>2279</v>
      </c>
      <c r="G317" s="8" t="e">
        <f>VLOOKUP(Tabela8[[#This Row],[Cód.]],CENTRAL[#All],9,0)</f>
        <v>#REF!</v>
      </c>
    </row>
    <row r="318" spans="1:7" ht="16.5" thickTop="1" thickBot="1" x14ac:dyDescent="0.3">
      <c r="A318">
        <v>200003410</v>
      </c>
      <c r="B318" t="s">
        <v>768</v>
      </c>
      <c r="C318" t="s">
        <v>9</v>
      </c>
      <c r="D318" s="10" t="e">
        <f>VLOOKUP(Tabela8[[#This Row],[Cód.]],#REF!,7,0)</f>
        <v>#REF!</v>
      </c>
      <c r="E318" s="9" t="s">
        <v>2292</v>
      </c>
      <c r="F318" s="10" t="s">
        <v>2279</v>
      </c>
      <c r="G318" s="8" t="e">
        <f>VLOOKUP(Tabela8[[#This Row],[Cód.]],CENTRAL[#All],9,0)</f>
        <v>#REF!</v>
      </c>
    </row>
    <row r="319" spans="1:7" ht="16.5" thickTop="1" thickBot="1" x14ac:dyDescent="0.3">
      <c r="A319">
        <v>200002161</v>
      </c>
      <c r="B319" t="s">
        <v>774</v>
      </c>
      <c r="C319" t="s">
        <v>82</v>
      </c>
      <c r="D319" s="10" t="e">
        <f>VLOOKUP(Tabela8[[#This Row],[Cód.]],#REF!,7,0)</f>
        <v>#REF!</v>
      </c>
      <c r="E319" s="9" t="s">
        <v>2292</v>
      </c>
      <c r="F319" s="10" t="s">
        <v>2279</v>
      </c>
      <c r="G319" s="8" t="e">
        <f>VLOOKUP(Tabela8[[#This Row],[Cód.]],CENTRAL[#All],9,0)</f>
        <v>#REF!</v>
      </c>
    </row>
    <row r="320" spans="1:7" ht="16.5" thickTop="1" thickBot="1" x14ac:dyDescent="0.3">
      <c r="A320">
        <v>200001073</v>
      </c>
      <c r="B320" t="s">
        <v>780</v>
      </c>
      <c r="C320" t="s">
        <v>82</v>
      </c>
      <c r="D320" s="10" t="e">
        <f>VLOOKUP(Tabela8[[#This Row],[Cód.]],#REF!,7,0)</f>
        <v>#REF!</v>
      </c>
      <c r="E320" s="9" t="s">
        <v>2292</v>
      </c>
      <c r="F320" s="10" t="s">
        <v>2279</v>
      </c>
      <c r="G320" s="8" t="e">
        <f>VLOOKUP(Tabela8[[#This Row],[Cód.]],CENTRAL[#All],9,0)</f>
        <v>#REF!</v>
      </c>
    </row>
    <row r="321" spans="1:7" ht="16.5" thickTop="1" thickBot="1" x14ac:dyDescent="0.3">
      <c r="A321">
        <v>200002165</v>
      </c>
      <c r="B321" t="s">
        <v>796</v>
      </c>
      <c r="C321" t="s">
        <v>9</v>
      </c>
      <c r="D321" s="10" t="e">
        <f>VLOOKUP(Tabela8[[#This Row],[Cód.]],#REF!,7,0)</f>
        <v>#REF!</v>
      </c>
      <c r="E321" s="9" t="s">
        <v>2292</v>
      </c>
      <c r="F321" s="10" t="s">
        <v>2279</v>
      </c>
      <c r="G321" s="8" t="e">
        <f>VLOOKUP(Tabela8[[#This Row],[Cód.]],CENTRAL[#All],9,0)</f>
        <v>#REF!</v>
      </c>
    </row>
    <row r="322" spans="1:7" ht="16.5" thickTop="1" thickBot="1" x14ac:dyDescent="0.3">
      <c r="A322">
        <v>200005826</v>
      </c>
      <c r="B322" t="s">
        <v>797</v>
      </c>
      <c r="C322" t="s">
        <v>96</v>
      </c>
      <c r="D322" s="10" t="e">
        <f>VLOOKUP(Tabela8[[#This Row],[Cód.]],#REF!,7,0)</f>
        <v>#REF!</v>
      </c>
      <c r="E322" s="9" t="s">
        <v>2292</v>
      </c>
      <c r="F322" s="10" t="s">
        <v>2279</v>
      </c>
      <c r="G322" s="8" t="e">
        <f>VLOOKUP(Tabela8[[#This Row],[Cód.]],CENTRAL[#All],9,0)</f>
        <v>#REF!</v>
      </c>
    </row>
    <row r="323" spans="1:7" ht="16.5" thickTop="1" thickBot="1" x14ac:dyDescent="0.3">
      <c r="A323">
        <v>200005825</v>
      </c>
      <c r="B323" t="s">
        <v>804</v>
      </c>
      <c r="C323" t="s">
        <v>96</v>
      </c>
      <c r="D323" s="10" t="e">
        <f>VLOOKUP(Tabela8[[#This Row],[Cód.]],#REF!,7,0)</f>
        <v>#REF!</v>
      </c>
      <c r="E323" s="9" t="s">
        <v>2292</v>
      </c>
      <c r="F323" s="10" t="s">
        <v>2279</v>
      </c>
      <c r="G323" s="8" t="e">
        <f>VLOOKUP(Tabela8[[#This Row],[Cód.]],CENTRAL[#All],9,0)</f>
        <v>#REF!</v>
      </c>
    </row>
    <row r="324" spans="1:7" ht="16.5" thickTop="1" thickBot="1" x14ac:dyDescent="0.3">
      <c r="A324">
        <v>200005682</v>
      </c>
      <c r="B324" t="s">
        <v>66</v>
      </c>
      <c r="C324" t="s">
        <v>67</v>
      </c>
      <c r="D324" s="10" t="e">
        <f>VLOOKUP(Tabela8[[#This Row],[Cód.]],#REF!,7,0)</f>
        <v>#REF!</v>
      </c>
      <c r="E324" s="9" t="s">
        <v>2293</v>
      </c>
      <c r="F324" s="10" t="s">
        <v>2279</v>
      </c>
      <c r="G324" s="8" t="e">
        <f>VLOOKUP(Tabela8[[#This Row],[Cód.]],CENTRAL[#All],9,0)</f>
        <v>#REF!</v>
      </c>
    </row>
    <row r="325" spans="1:7" ht="16.5" thickTop="1" thickBot="1" x14ac:dyDescent="0.3">
      <c r="A325">
        <v>200006263</v>
      </c>
      <c r="B325" t="s">
        <v>726</v>
      </c>
      <c r="C325" t="s">
        <v>721</v>
      </c>
      <c r="D325" s="10" t="e">
        <f>VLOOKUP(Tabela8[[#This Row],[Cód.]],#REF!,7,0)</f>
        <v>#REF!</v>
      </c>
      <c r="E325" s="9" t="s">
        <v>2293</v>
      </c>
      <c r="F325" s="10" t="s">
        <v>2279</v>
      </c>
      <c r="G325" s="8" t="e">
        <f>VLOOKUP(Tabela8[[#This Row],[Cód.]],CENTRAL[#All],9,0)</f>
        <v>#REF!</v>
      </c>
    </row>
    <row r="326" spans="1:7" ht="16.5" thickTop="1" thickBot="1" x14ac:dyDescent="0.3">
      <c r="A326">
        <v>200007032</v>
      </c>
      <c r="B326" t="s">
        <v>729</v>
      </c>
      <c r="C326" t="s">
        <v>721</v>
      </c>
      <c r="D326" s="10" t="e">
        <f>VLOOKUP(Tabela8[[#This Row],[Cód.]],#REF!,7,0)</f>
        <v>#REF!</v>
      </c>
      <c r="E326" s="9" t="s">
        <v>2293</v>
      </c>
      <c r="F326" s="10" t="s">
        <v>2279</v>
      </c>
      <c r="G326" s="8" t="e">
        <f>VLOOKUP(Tabela8[[#This Row],[Cód.]],CENTRAL[#All],9,0)</f>
        <v>#REF!</v>
      </c>
    </row>
    <row r="327" spans="1:7" ht="16.5" thickTop="1" thickBot="1" x14ac:dyDescent="0.3">
      <c r="A327">
        <v>200001095</v>
      </c>
      <c r="B327" t="s">
        <v>11</v>
      </c>
      <c r="C327" t="s">
        <v>9</v>
      </c>
      <c r="D327" s="10" t="e">
        <f>VLOOKUP(Tabela8[[#This Row],[Cód.]],#REF!,7,0)</f>
        <v>#REF!</v>
      </c>
      <c r="E327" s="9" t="s">
        <v>2294</v>
      </c>
      <c r="F327" s="10" t="s">
        <v>2279</v>
      </c>
      <c r="G327" s="8" t="e">
        <f>VLOOKUP(Tabela8[[#This Row],[Cód.]],CENTRAL[#All],9,0)</f>
        <v>#REF!</v>
      </c>
    </row>
    <row r="328" spans="1:7" ht="16.5" thickTop="1" thickBot="1" x14ac:dyDescent="0.3">
      <c r="A328">
        <v>200000006</v>
      </c>
      <c r="B328" t="s">
        <v>12</v>
      </c>
      <c r="C328" t="s">
        <v>9</v>
      </c>
      <c r="D328" s="10" t="e">
        <f>VLOOKUP(Tabela8[[#This Row],[Cód.]],#REF!,7,0)</f>
        <v>#REF!</v>
      </c>
      <c r="E328" s="9" t="s">
        <v>2294</v>
      </c>
      <c r="F328" s="10" t="s">
        <v>2279</v>
      </c>
      <c r="G328" s="8" t="e">
        <f>VLOOKUP(Tabela8[[#This Row],[Cód.]],CENTRAL[#All],9,0)</f>
        <v>#REF!</v>
      </c>
    </row>
    <row r="329" spans="1:7" ht="16.5" thickTop="1" thickBot="1" x14ac:dyDescent="0.3">
      <c r="A329">
        <v>200003628</v>
      </c>
      <c r="B329" t="s">
        <v>13</v>
      </c>
      <c r="C329" t="s">
        <v>9</v>
      </c>
      <c r="D329" s="10" t="e">
        <f>VLOOKUP(Tabela8[[#This Row],[Cód.]],#REF!,7,0)</f>
        <v>#REF!</v>
      </c>
      <c r="E329" s="9" t="s">
        <v>2294</v>
      </c>
      <c r="F329" s="10" t="s">
        <v>2279</v>
      </c>
      <c r="G329" s="8" t="e">
        <f>VLOOKUP(Tabela8[[#This Row],[Cód.]],CENTRAL[#All],9,0)</f>
        <v>#REF!</v>
      </c>
    </row>
    <row r="330" spans="1:7" ht="16.5" thickTop="1" thickBot="1" x14ac:dyDescent="0.3">
      <c r="A330">
        <v>200004676</v>
      </c>
      <c r="B330" t="s">
        <v>20</v>
      </c>
      <c r="C330" t="s">
        <v>9</v>
      </c>
      <c r="D330" s="10" t="e">
        <f>VLOOKUP(Tabela8[[#This Row],[Cód.]],#REF!,7,0)</f>
        <v>#REF!</v>
      </c>
      <c r="E330" s="9" t="s">
        <v>2294</v>
      </c>
      <c r="F330" s="10" t="s">
        <v>2279</v>
      </c>
      <c r="G330" s="8" t="e">
        <f>VLOOKUP(Tabela8[[#This Row],[Cód.]],CENTRAL[#All],9,0)</f>
        <v>#REF!</v>
      </c>
    </row>
    <row r="331" spans="1:7" ht="16.5" thickTop="1" thickBot="1" x14ac:dyDescent="0.3">
      <c r="A331">
        <v>200004676</v>
      </c>
      <c r="B331" t="s">
        <v>20</v>
      </c>
      <c r="C331" t="s">
        <v>9</v>
      </c>
      <c r="D331" s="10" t="e">
        <f>VLOOKUP(Tabela8[[#This Row],[Cód.]],#REF!,7,0)</f>
        <v>#REF!</v>
      </c>
      <c r="E331" s="9" t="s">
        <v>2294</v>
      </c>
      <c r="F331" s="10" t="s">
        <v>2279</v>
      </c>
      <c r="G331" s="8" t="e">
        <f>VLOOKUP(Tabela8[[#This Row],[Cód.]],CENTRAL[#All],9,0)</f>
        <v>#REF!</v>
      </c>
    </row>
    <row r="332" spans="1:7" ht="16.5" thickTop="1" thickBot="1" x14ac:dyDescent="0.3">
      <c r="A332">
        <v>200000015</v>
      </c>
      <c r="B332" t="s">
        <v>24</v>
      </c>
      <c r="C332" t="s">
        <v>9</v>
      </c>
      <c r="D332" s="10" t="e">
        <f>VLOOKUP(Tabela8[[#This Row],[Cód.]],#REF!,7,0)</f>
        <v>#REF!</v>
      </c>
      <c r="E332" s="9" t="s">
        <v>2294</v>
      </c>
      <c r="F332" s="10" t="s">
        <v>2279</v>
      </c>
      <c r="G332" s="8" t="e">
        <f>VLOOKUP(Tabela8[[#This Row],[Cód.]],CENTRAL[#All],9,0)</f>
        <v>#REF!</v>
      </c>
    </row>
    <row r="333" spans="1:7" ht="16.5" thickTop="1" thickBot="1" x14ac:dyDescent="0.3">
      <c r="A333">
        <v>200001917</v>
      </c>
      <c r="B333" t="s">
        <v>68</v>
      </c>
      <c r="C333" t="s">
        <v>9</v>
      </c>
      <c r="D333" s="10" t="e">
        <f>VLOOKUP(Tabela8[[#This Row],[Cód.]],#REF!,7,0)</f>
        <v>#REF!</v>
      </c>
      <c r="E333" s="9" t="s">
        <v>2294</v>
      </c>
      <c r="F333" s="10" t="s">
        <v>2279</v>
      </c>
      <c r="G333" s="8" t="e">
        <f>VLOOKUP(Tabela8[[#This Row],[Cód.]],CENTRAL[#All],9,0)</f>
        <v>#REF!</v>
      </c>
    </row>
    <row r="334" spans="1:7" ht="16.5" thickTop="1" thickBot="1" x14ac:dyDescent="0.3">
      <c r="A334">
        <v>200000034</v>
      </c>
      <c r="B334" t="s">
        <v>78</v>
      </c>
      <c r="C334" t="s">
        <v>9</v>
      </c>
      <c r="D334" s="10" t="e">
        <f>VLOOKUP(Tabela8[[#This Row],[Cód.]],#REF!,7,0)</f>
        <v>#REF!</v>
      </c>
      <c r="E334" s="9" t="s">
        <v>2294</v>
      </c>
      <c r="F334" s="10" t="s">
        <v>2279</v>
      </c>
      <c r="G334" s="8" t="e">
        <f>VLOOKUP(Tabela8[[#This Row],[Cód.]],CENTRAL[#All],9,0)</f>
        <v>#REF!</v>
      </c>
    </row>
    <row r="335" spans="1:7" ht="16.5" thickTop="1" thickBot="1" x14ac:dyDescent="0.3">
      <c r="A335">
        <v>200001346</v>
      </c>
      <c r="B335" t="s">
        <v>1506</v>
      </c>
      <c r="C335" t="s">
        <v>9</v>
      </c>
      <c r="D335" s="10" t="e">
        <f>VLOOKUP(Tabela8[[#This Row],[Cód.]],#REF!,7,0)</f>
        <v>#REF!</v>
      </c>
      <c r="E335" s="9" t="s">
        <v>2294</v>
      </c>
      <c r="F335" s="10" t="s">
        <v>2279</v>
      </c>
      <c r="G335" s="8" t="e">
        <f>VLOOKUP(Tabela8[[#This Row],[Cód.]],CENTRAL[#All],9,0)</f>
        <v>#REF!</v>
      </c>
    </row>
    <row r="336" spans="1:7" ht="16.5" thickTop="1" thickBot="1" x14ac:dyDescent="0.3">
      <c r="A336">
        <v>200001015</v>
      </c>
      <c r="B336" t="s">
        <v>1614</v>
      </c>
      <c r="C336" t="s">
        <v>9</v>
      </c>
      <c r="D336" s="10" t="e">
        <f>VLOOKUP(Tabela8[[#This Row],[Cód.]],#REF!,7,0)</f>
        <v>#REF!</v>
      </c>
      <c r="E336" s="9" t="s">
        <v>2294</v>
      </c>
      <c r="F336" s="10" t="s">
        <v>2279</v>
      </c>
      <c r="G336" s="8" t="e">
        <f>VLOOKUP(Tabela8[[#This Row],[Cód.]],CENTRAL[#All],9,0)</f>
        <v>#REF!</v>
      </c>
    </row>
    <row r="337" spans="1:7" ht="16.5" thickTop="1" thickBot="1" x14ac:dyDescent="0.3">
      <c r="A337">
        <v>200001927</v>
      </c>
      <c r="B337" t="s">
        <v>199</v>
      </c>
      <c r="C337" t="s">
        <v>9</v>
      </c>
      <c r="D337" s="10" t="e">
        <f>VLOOKUP(Tabela8[[#This Row],[Cód.]],#REF!,7,0)</f>
        <v>#REF!</v>
      </c>
      <c r="E337" s="9" t="s">
        <v>2294</v>
      </c>
      <c r="F337" s="10" t="s">
        <v>2279</v>
      </c>
      <c r="G337" s="8" t="e">
        <f>VLOOKUP(Tabela8[[#This Row],[Cód.]],CENTRAL[#All],9,0)</f>
        <v>#REF!</v>
      </c>
    </row>
    <row r="338" spans="1:7" ht="16.5" thickTop="1" thickBot="1" x14ac:dyDescent="0.3">
      <c r="A338">
        <v>200002359</v>
      </c>
      <c r="B338" t="s">
        <v>201</v>
      </c>
      <c r="C338" t="s">
        <v>9</v>
      </c>
      <c r="D338" s="10" t="e">
        <f>VLOOKUP(Tabela8[[#This Row],[Cód.]],#REF!,7,0)</f>
        <v>#REF!</v>
      </c>
      <c r="E338" s="9" t="s">
        <v>2294</v>
      </c>
      <c r="F338" s="10" t="s">
        <v>2279</v>
      </c>
      <c r="G338" s="8" t="e">
        <f>VLOOKUP(Tabela8[[#This Row],[Cód.]],CENTRAL[#All],9,0)</f>
        <v>#REF!</v>
      </c>
    </row>
    <row r="339" spans="1:7" ht="16.5" thickTop="1" thickBot="1" x14ac:dyDescent="0.3">
      <c r="A339">
        <v>200000241</v>
      </c>
      <c r="B339" t="s">
        <v>307</v>
      </c>
      <c r="C339" t="s">
        <v>9</v>
      </c>
      <c r="D339" s="10" t="e">
        <f>VLOOKUP(Tabela8[[#This Row],[Cód.]],#REF!,7,0)</f>
        <v>#REF!</v>
      </c>
      <c r="E339" s="9" t="s">
        <v>2294</v>
      </c>
      <c r="F339" s="10" t="s">
        <v>2279</v>
      </c>
      <c r="G339" s="8" t="e">
        <f>VLOOKUP(Tabela8[[#This Row],[Cód.]],CENTRAL[#All],9,0)</f>
        <v>#REF!</v>
      </c>
    </row>
    <row r="340" spans="1:7" ht="16.5" thickTop="1" thickBot="1" x14ac:dyDescent="0.3">
      <c r="A340">
        <v>200000309</v>
      </c>
      <c r="B340" t="s">
        <v>358</v>
      </c>
      <c r="C340" t="s">
        <v>9</v>
      </c>
      <c r="D340" s="10" t="e">
        <f>VLOOKUP(Tabela8[[#This Row],[Cód.]],#REF!,7,0)</f>
        <v>#REF!</v>
      </c>
      <c r="E340" s="9" t="s">
        <v>2294</v>
      </c>
      <c r="F340" s="10" t="s">
        <v>2279</v>
      </c>
      <c r="G340" s="8" t="e">
        <f>VLOOKUP(Tabela8[[#This Row],[Cód.]],CENTRAL[#All],9,0)</f>
        <v>#REF!</v>
      </c>
    </row>
    <row r="341" spans="1:7" ht="16.5" thickTop="1" thickBot="1" x14ac:dyDescent="0.3">
      <c r="A341">
        <v>200000310</v>
      </c>
      <c r="B341" t="s">
        <v>359</v>
      </c>
      <c r="C341" t="s">
        <v>9</v>
      </c>
      <c r="D341" s="10" t="e">
        <f>VLOOKUP(Tabela8[[#This Row],[Cód.]],#REF!,7,0)</f>
        <v>#REF!</v>
      </c>
      <c r="E341" s="9" t="s">
        <v>2294</v>
      </c>
      <c r="F341" s="10" t="s">
        <v>2279</v>
      </c>
      <c r="G341" s="8" t="e">
        <f>VLOOKUP(Tabela8[[#This Row],[Cód.]],CENTRAL[#All],9,0)</f>
        <v>#REF!</v>
      </c>
    </row>
    <row r="342" spans="1:7" ht="16.5" thickTop="1" thickBot="1" x14ac:dyDescent="0.3">
      <c r="A342">
        <v>200000308</v>
      </c>
      <c r="B342" t="s">
        <v>360</v>
      </c>
      <c r="C342" t="s">
        <v>9</v>
      </c>
      <c r="D342" s="10" t="e">
        <f>VLOOKUP(Tabela8[[#This Row],[Cód.]],#REF!,7,0)</f>
        <v>#REF!</v>
      </c>
      <c r="E342" s="9" t="s">
        <v>2294</v>
      </c>
      <c r="F342" s="10" t="s">
        <v>2279</v>
      </c>
      <c r="G342" s="8" t="e">
        <f>VLOOKUP(Tabela8[[#This Row],[Cód.]],CENTRAL[#All],9,0)</f>
        <v>#REF!</v>
      </c>
    </row>
    <row r="343" spans="1:7" ht="16.5" thickTop="1" thickBot="1" x14ac:dyDescent="0.3">
      <c r="A343">
        <v>200000308</v>
      </c>
      <c r="B343" t="s">
        <v>360</v>
      </c>
      <c r="C343" t="s">
        <v>9</v>
      </c>
      <c r="D343" s="10" t="e">
        <f>VLOOKUP(Tabela8[[#This Row],[Cód.]],#REF!,7,0)</f>
        <v>#REF!</v>
      </c>
      <c r="E343" s="9" t="s">
        <v>2294</v>
      </c>
      <c r="F343" s="10" t="s">
        <v>2279</v>
      </c>
      <c r="G343" s="8" t="e">
        <f>VLOOKUP(Tabela8[[#This Row],[Cód.]],CENTRAL[#All],9,0)</f>
        <v>#REF!</v>
      </c>
    </row>
    <row r="344" spans="1:7" ht="16.5" thickTop="1" thickBot="1" x14ac:dyDescent="0.3">
      <c r="A344">
        <v>200001338</v>
      </c>
      <c r="B344" t="s">
        <v>361</v>
      </c>
      <c r="C344" t="s">
        <v>9</v>
      </c>
      <c r="D344" s="10" t="e">
        <f>VLOOKUP(Tabela8[[#This Row],[Cód.]],#REF!,7,0)</f>
        <v>#REF!</v>
      </c>
      <c r="E344" s="9" t="s">
        <v>2294</v>
      </c>
      <c r="F344" s="10" t="s">
        <v>2279</v>
      </c>
      <c r="G344" s="8" t="e">
        <f>VLOOKUP(Tabela8[[#This Row],[Cód.]],CENTRAL[#All],9,0)</f>
        <v>#REF!</v>
      </c>
    </row>
    <row r="345" spans="1:7" ht="16.5" thickTop="1" thickBot="1" x14ac:dyDescent="0.3">
      <c r="A345">
        <v>200000376</v>
      </c>
      <c r="B345" t="s">
        <v>419</v>
      </c>
      <c r="C345" t="s">
        <v>9</v>
      </c>
      <c r="D345" s="10" t="e">
        <f>VLOOKUP(Tabela8[[#This Row],[Cód.]],#REF!,7,0)</f>
        <v>#REF!</v>
      </c>
      <c r="E345" s="9" t="s">
        <v>2294</v>
      </c>
      <c r="F345" s="10" t="s">
        <v>2279</v>
      </c>
      <c r="G345" s="8" t="e">
        <f>VLOOKUP(Tabela8[[#This Row],[Cód.]],CENTRAL[#All],9,0)</f>
        <v>#REF!</v>
      </c>
    </row>
    <row r="346" spans="1:7" ht="16.5" thickTop="1" thickBot="1" x14ac:dyDescent="0.3">
      <c r="A346">
        <v>200000376</v>
      </c>
      <c r="B346" t="s">
        <v>419</v>
      </c>
      <c r="C346" t="s">
        <v>9</v>
      </c>
      <c r="D346" s="10" t="e">
        <f>VLOOKUP(Tabela8[[#This Row],[Cód.]],#REF!,7,0)</f>
        <v>#REF!</v>
      </c>
      <c r="E346" s="9" t="s">
        <v>2294</v>
      </c>
      <c r="F346" s="10" t="s">
        <v>2279</v>
      </c>
      <c r="G346" s="8" t="e">
        <f>VLOOKUP(Tabela8[[#This Row],[Cód.]],CENTRAL[#All],9,0)</f>
        <v>#REF!</v>
      </c>
    </row>
    <row r="347" spans="1:7" ht="16.5" thickTop="1" thickBot="1" x14ac:dyDescent="0.3">
      <c r="A347">
        <v>200002208</v>
      </c>
      <c r="B347" t="s">
        <v>436</v>
      </c>
      <c r="C347" t="s">
        <v>9</v>
      </c>
      <c r="D347" s="10" t="e">
        <f>VLOOKUP(Tabela8[[#This Row],[Cód.]],#REF!,7,0)</f>
        <v>#REF!</v>
      </c>
      <c r="E347" s="9" t="s">
        <v>2294</v>
      </c>
      <c r="F347" s="10" t="s">
        <v>2279</v>
      </c>
      <c r="G347" s="8" t="e">
        <f>VLOOKUP(Tabela8[[#This Row],[Cód.]],CENTRAL[#All],9,0)</f>
        <v>#REF!</v>
      </c>
    </row>
    <row r="348" spans="1:7" ht="16.5" thickTop="1" thickBot="1" x14ac:dyDescent="0.3">
      <c r="A348">
        <v>200002209</v>
      </c>
      <c r="B348" t="s">
        <v>437</v>
      </c>
      <c r="C348" t="s">
        <v>9</v>
      </c>
      <c r="D348" s="10" t="e">
        <f>VLOOKUP(Tabela8[[#This Row],[Cód.]],#REF!,7,0)</f>
        <v>#REF!</v>
      </c>
      <c r="E348" s="9" t="s">
        <v>2294</v>
      </c>
      <c r="F348" s="10" t="s">
        <v>2279</v>
      </c>
      <c r="G348" s="8" t="e">
        <f>VLOOKUP(Tabela8[[#This Row],[Cód.]],CENTRAL[#All],9,0)</f>
        <v>#REF!</v>
      </c>
    </row>
    <row r="349" spans="1:7" ht="16.5" thickTop="1" thickBot="1" x14ac:dyDescent="0.3">
      <c r="A349">
        <v>200003532</v>
      </c>
      <c r="B349" t="s">
        <v>2302</v>
      </c>
      <c r="C349" t="s">
        <v>9</v>
      </c>
      <c r="D349" s="10" t="e">
        <f>VLOOKUP(Tabela8[[#This Row],[Cód.]],#REF!,7,0)</f>
        <v>#REF!</v>
      </c>
      <c r="E349" s="9" t="s">
        <v>2294</v>
      </c>
      <c r="F349" s="10" t="s">
        <v>2279</v>
      </c>
      <c r="G349" s="8" t="e">
        <f>VLOOKUP(Tabela8[[#This Row],[Cód.]],CENTRAL[#All],9,0)</f>
        <v>#REF!</v>
      </c>
    </row>
    <row r="350" spans="1:7" ht="16.5" thickTop="1" thickBot="1" x14ac:dyDescent="0.3">
      <c r="A350">
        <v>200000423</v>
      </c>
      <c r="B350" t="s">
        <v>2303</v>
      </c>
      <c r="C350" t="s">
        <v>9</v>
      </c>
      <c r="D350" s="10" t="e">
        <f>VLOOKUP(Tabela8[[#This Row],[Cód.]],#REF!,7,0)</f>
        <v>#REF!</v>
      </c>
      <c r="E350" s="9" t="s">
        <v>2294</v>
      </c>
      <c r="F350" s="10" t="s">
        <v>2279</v>
      </c>
      <c r="G350" s="8" t="e">
        <f>VLOOKUP(Tabela8[[#This Row],[Cód.]],CENTRAL[#All],9,0)</f>
        <v>#REF!</v>
      </c>
    </row>
    <row r="351" spans="1:7" ht="16.5" thickTop="1" thickBot="1" x14ac:dyDescent="0.3">
      <c r="A351">
        <v>200000424</v>
      </c>
      <c r="B351" t="s">
        <v>2304</v>
      </c>
      <c r="C351" t="s">
        <v>9</v>
      </c>
      <c r="D351" s="10" t="e">
        <f>VLOOKUP(Tabela8[[#This Row],[Cód.]],#REF!,7,0)</f>
        <v>#REF!</v>
      </c>
      <c r="E351" s="9" t="s">
        <v>2294</v>
      </c>
      <c r="F351" s="10" t="s">
        <v>2279</v>
      </c>
      <c r="G351" s="8" t="e">
        <f>VLOOKUP(Tabela8[[#This Row],[Cód.]],CENTRAL[#All],9,0)</f>
        <v>#REF!</v>
      </c>
    </row>
    <row r="352" spans="1:7" ht="16.5" thickTop="1" thickBot="1" x14ac:dyDescent="0.3">
      <c r="A352">
        <v>200004132</v>
      </c>
      <c r="B352" t="s">
        <v>524</v>
      </c>
      <c r="C352" t="s">
        <v>9</v>
      </c>
      <c r="D352" s="10" t="e">
        <f>VLOOKUP(Tabela8[[#This Row],[Cód.]],#REF!,7,0)</f>
        <v>#REF!</v>
      </c>
      <c r="E352" s="9" t="s">
        <v>2294</v>
      </c>
      <c r="F352" s="10" t="s">
        <v>2279</v>
      </c>
      <c r="G352" s="8" t="e">
        <f>VLOOKUP(Tabela8[[#This Row],[Cód.]],CENTRAL[#All],9,0)</f>
        <v>#REF!</v>
      </c>
    </row>
    <row r="353" spans="1:7" ht="16.5" thickTop="1" thickBot="1" x14ac:dyDescent="0.3">
      <c r="A353">
        <v>200000425</v>
      </c>
      <c r="B353" t="s">
        <v>526</v>
      </c>
      <c r="C353" t="s">
        <v>9</v>
      </c>
      <c r="D353" s="10" t="e">
        <f>VLOOKUP(Tabela8[[#This Row],[Cód.]],#REF!,7,0)</f>
        <v>#REF!</v>
      </c>
      <c r="E353" s="9" t="s">
        <v>2294</v>
      </c>
      <c r="F353" s="10" t="s">
        <v>2279</v>
      </c>
      <c r="G353" s="8" t="e">
        <f>VLOOKUP(Tabela8[[#This Row],[Cód.]],CENTRAL[#All],9,0)</f>
        <v>#REF!</v>
      </c>
    </row>
    <row r="354" spans="1:7" ht="16.5" thickTop="1" thickBot="1" x14ac:dyDescent="0.3">
      <c r="A354">
        <v>200002213</v>
      </c>
      <c r="B354" t="s">
        <v>612</v>
      </c>
      <c r="C354" t="s">
        <v>9</v>
      </c>
      <c r="D354" s="10" t="e">
        <f>VLOOKUP(Tabela8[[#This Row],[Cód.]],#REF!,7,0)</f>
        <v>#REF!</v>
      </c>
      <c r="E354" s="9" t="s">
        <v>2294</v>
      </c>
      <c r="F354" s="10" t="s">
        <v>2279</v>
      </c>
      <c r="G354" s="8" t="e">
        <f>VLOOKUP(Tabela8[[#This Row],[Cód.]],CENTRAL[#All],9,0)</f>
        <v>#REF!</v>
      </c>
    </row>
    <row r="355" spans="1:7" ht="16.5" thickTop="1" thickBot="1" x14ac:dyDescent="0.3">
      <c r="A355">
        <v>200000495</v>
      </c>
      <c r="B355" t="s">
        <v>614</v>
      </c>
      <c r="C355" t="s">
        <v>9</v>
      </c>
      <c r="D355" s="10" t="e">
        <f>VLOOKUP(Tabela8[[#This Row],[Cód.]],#REF!,7,0)</f>
        <v>#REF!</v>
      </c>
      <c r="E355" s="9" t="s">
        <v>2294</v>
      </c>
      <c r="F355" s="10" t="s">
        <v>2279</v>
      </c>
      <c r="G355" s="8" t="e">
        <f>VLOOKUP(Tabela8[[#This Row],[Cód.]],CENTRAL[#All],9,0)</f>
        <v>#REF!</v>
      </c>
    </row>
    <row r="356" spans="1:7" ht="16.5" thickTop="1" thickBot="1" x14ac:dyDescent="0.3">
      <c r="A356">
        <v>200000495</v>
      </c>
      <c r="B356" t="s">
        <v>614</v>
      </c>
      <c r="C356" t="s">
        <v>9</v>
      </c>
      <c r="D356" s="10" t="e">
        <f>VLOOKUP(Tabela8[[#This Row],[Cód.]],#REF!,7,0)</f>
        <v>#REF!</v>
      </c>
      <c r="E356" s="9" t="s">
        <v>2294</v>
      </c>
      <c r="F356" s="10" t="s">
        <v>2279</v>
      </c>
      <c r="G356" s="8" t="e">
        <f>VLOOKUP(Tabela8[[#This Row],[Cód.]],CENTRAL[#All],9,0)</f>
        <v>#REF!</v>
      </c>
    </row>
    <row r="357" spans="1:7" ht="16.5" thickTop="1" thickBot="1" x14ac:dyDescent="0.3">
      <c r="A357">
        <v>200000496</v>
      </c>
      <c r="B357" t="s">
        <v>615</v>
      </c>
      <c r="C357" t="s">
        <v>9</v>
      </c>
      <c r="D357" s="10" t="e">
        <f>VLOOKUP(Tabela8[[#This Row],[Cód.]],#REF!,7,0)</f>
        <v>#REF!</v>
      </c>
      <c r="E357" s="9" t="s">
        <v>2294</v>
      </c>
      <c r="F357" s="10" t="s">
        <v>2279</v>
      </c>
      <c r="G357" s="8" t="e">
        <f>VLOOKUP(Tabela8[[#This Row],[Cód.]],CENTRAL[#All],9,0)</f>
        <v>#REF!</v>
      </c>
    </row>
    <row r="358" spans="1:7" ht="16.5" thickTop="1" thickBot="1" x14ac:dyDescent="0.3">
      <c r="A358">
        <v>200000496</v>
      </c>
      <c r="B358" t="s">
        <v>615</v>
      </c>
      <c r="C358" t="s">
        <v>9</v>
      </c>
      <c r="D358" s="10" t="e">
        <f>VLOOKUP(Tabela8[[#This Row],[Cód.]],#REF!,7,0)</f>
        <v>#REF!</v>
      </c>
      <c r="E358" s="9" t="s">
        <v>2294</v>
      </c>
      <c r="F358" s="10" t="s">
        <v>2279</v>
      </c>
      <c r="G358" s="8" t="e">
        <f>VLOOKUP(Tabela8[[#This Row],[Cód.]],CENTRAL[#All],9,0)</f>
        <v>#REF!</v>
      </c>
    </row>
    <row r="359" spans="1:7" ht="16.5" thickTop="1" thickBot="1" x14ac:dyDescent="0.3">
      <c r="A359">
        <v>200000497</v>
      </c>
      <c r="B359" t="s">
        <v>616</v>
      </c>
      <c r="C359" t="s">
        <v>9</v>
      </c>
      <c r="D359" s="10" t="e">
        <f>VLOOKUP(Tabela8[[#This Row],[Cód.]],#REF!,7,0)</f>
        <v>#REF!</v>
      </c>
      <c r="E359" s="9" t="s">
        <v>2294</v>
      </c>
      <c r="F359" s="10" t="s">
        <v>2279</v>
      </c>
      <c r="G359" s="8" t="e">
        <f>VLOOKUP(Tabela8[[#This Row],[Cód.]],CENTRAL[#All],9,0)</f>
        <v>#REF!</v>
      </c>
    </row>
    <row r="360" spans="1:7" ht="16.5" thickTop="1" thickBot="1" x14ac:dyDescent="0.3">
      <c r="A360">
        <v>200000497</v>
      </c>
      <c r="B360" t="s">
        <v>616</v>
      </c>
      <c r="C360" t="s">
        <v>9</v>
      </c>
      <c r="D360" s="10" t="e">
        <f>VLOOKUP(Tabela8[[#This Row],[Cód.]],#REF!,7,0)</f>
        <v>#REF!</v>
      </c>
      <c r="E360" s="9" t="s">
        <v>2294</v>
      </c>
      <c r="F360" s="10" t="s">
        <v>2279</v>
      </c>
      <c r="G360" s="8" t="e">
        <f>VLOOKUP(Tabela8[[#This Row],[Cód.]],CENTRAL[#All],9,0)</f>
        <v>#REF!</v>
      </c>
    </row>
    <row r="361" spans="1:7" ht="16.5" thickTop="1" thickBot="1" x14ac:dyDescent="0.3">
      <c r="A361">
        <v>200003674</v>
      </c>
      <c r="B361" t="s">
        <v>842</v>
      </c>
      <c r="C361" t="s">
        <v>9</v>
      </c>
      <c r="D361" s="10" t="e">
        <f>VLOOKUP(Tabela8[[#This Row],[Cód.]],#REF!,7,0)</f>
        <v>#REF!</v>
      </c>
      <c r="E361" s="9" t="s">
        <v>2294</v>
      </c>
      <c r="F361" s="10" t="s">
        <v>2279</v>
      </c>
      <c r="G361" s="8" t="e">
        <f>VLOOKUP(Tabela8[[#This Row],[Cód.]],CENTRAL[#All],9,0)</f>
        <v>#REF!</v>
      </c>
    </row>
    <row r="362" spans="1:7" ht="16.5" thickTop="1" thickBot="1" x14ac:dyDescent="0.3">
      <c r="A362">
        <v>200002217</v>
      </c>
      <c r="B362" t="s">
        <v>843</v>
      </c>
      <c r="C362" t="s">
        <v>9</v>
      </c>
      <c r="D362" s="10" t="e">
        <f>VLOOKUP(Tabela8[[#This Row],[Cód.]],#REF!,7,0)</f>
        <v>#REF!</v>
      </c>
      <c r="E362" s="9" t="s">
        <v>2294</v>
      </c>
      <c r="F362" s="10" t="s">
        <v>2279</v>
      </c>
      <c r="G362" s="8" t="e">
        <f>VLOOKUP(Tabela8[[#This Row],[Cód.]],CENTRAL[#All],9,0)</f>
        <v>#REF!</v>
      </c>
    </row>
    <row r="363" spans="1:7" ht="16.5" thickTop="1" thickBot="1" x14ac:dyDescent="0.3">
      <c r="A363">
        <v>200003640</v>
      </c>
      <c r="B363" t="s">
        <v>844</v>
      </c>
      <c r="C363" t="s">
        <v>9</v>
      </c>
      <c r="D363" s="10" t="e">
        <f>VLOOKUP(Tabela8[[#This Row],[Cód.]],#REF!,7,0)</f>
        <v>#REF!</v>
      </c>
      <c r="E363" s="9" t="s">
        <v>2294</v>
      </c>
      <c r="F363" s="10" t="s">
        <v>2279</v>
      </c>
      <c r="G363" s="8" t="e">
        <f>VLOOKUP(Tabela8[[#This Row],[Cód.]],CENTRAL[#All],9,0)</f>
        <v>#REF!</v>
      </c>
    </row>
    <row r="364" spans="1:7" ht="16.5" thickTop="1" thickBot="1" x14ac:dyDescent="0.3">
      <c r="A364">
        <v>200003641</v>
      </c>
      <c r="B364" t="s">
        <v>845</v>
      </c>
      <c r="C364" t="s">
        <v>9</v>
      </c>
      <c r="D364" s="10" t="e">
        <f>VLOOKUP(Tabela8[[#This Row],[Cód.]],#REF!,7,0)</f>
        <v>#REF!</v>
      </c>
      <c r="E364" s="9" t="s">
        <v>2294</v>
      </c>
      <c r="F364" s="10" t="s">
        <v>2279</v>
      </c>
      <c r="G364" s="8" t="e">
        <f>VLOOKUP(Tabela8[[#This Row],[Cód.]],CENTRAL[#All],9,0)</f>
        <v>#REF!</v>
      </c>
    </row>
    <row r="365" spans="1:7" ht="16.5" thickTop="1" thickBot="1" x14ac:dyDescent="0.3">
      <c r="A365">
        <v>200000599</v>
      </c>
      <c r="B365" t="s">
        <v>848</v>
      </c>
      <c r="C365" t="s">
        <v>9</v>
      </c>
      <c r="D365" s="10" t="e">
        <f>VLOOKUP(Tabela8[[#This Row],[Cód.]],#REF!,7,0)</f>
        <v>#REF!</v>
      </c>
      <c r="E365" s="9" t="s">
        <v>2294</v>
      </c>
      <c r="F365" s="10" t="s">
        <v>2279</v>
      </c>
      <c r="G365" s="8" t="e">
        <f>VLOOKUP(Tabela8[[#This Row],[Cód.]],CENTRAL[#All],9,0)</f>
        <v>#REF!</v>
      </c>
    </row>
    <row r="366" spans="1:7" ht="16.5" thickTop="1" thickBot="1" x14ac:dyDescent="0.3">
      <c r="A366">
        <v>200000599</v>
      </c>
      <c r="B366" t="s">
        <v>848</v>
      </c>
      <c r="C366" t="s">
        <v>9</v>
      </c>
      <c r="D366" s="10" t="e">
        <f>VLOOKUP(Tabela8[[#This Row],[Cód.]],#REF!,7,0)</f>
        <v>#REF!</v>
      </c>
      <c r="E366" s="9" t="s">
        <v>2294</v>
      </c>
      <c r="F366" s="10" t="s">
        <v>2279</v>
      </c>
      <c r="G366" s="8" t="e">
        <f>VLOOKUP(Tabela8[[#This Row],[Cód.]],CENTRAL[#All],9,0)</f>
        <v>#REF!</v>
      </c>
    </row>
    <row r="367" spans="1:7" ht="16.5" thickTop="1" thickBot="1" x14ac:dyDescent="0.3">
      <c r="A367">
        <v>200000614</v>
      </c>
      <c r="B367" t="s">
        <v>867</v>
      </c>
      <c r="C367" t="s">
        <v>9</v>
      </c>
      <c r="D367" s="10" t="e">
        <f>VLOOKUP(Tabela8[[#This Row],[Cód.]],#REF!,7,0)</f>
        <v>#REF!</v>
      </c>
      <c r="E367" s="9" t="s">
        <v>2294</v>
      </c>
      <c r="F367" s="10" t="s">
        <v>2279</v>
      </c>
      <c r="G367" s="8" t="e">
        <f>VLOOKUP(Tabela8[[#This Row],[Cód.]],CENTRAL[#All],9,0)</f>
        <v>#REF!</v>
      </c>
    </row>
    <row r="368" spans="1:7" ht="16.5" thickTop="1" thickBot="1" x14ac:dyDescent="0.3">
      <c r="A368">
        <v>200002057</v>
      </c>
      <c r="B368" t="s">
        <v>873</v>
      </c>
      <c r="C368" t="s">
        <v>9</v>
      </c>
      <c r="D368" s="10" t="e">
        <f>VLOOKUP(Tabela8[[#This Row],[Cód.]],#REF!,7,0)</f>
        <v>#REF!</v>
      </c>
      <c r="E368" s="9" t="s">
        <v>2294</v>
      </c>
      <c r="F368" s="10" t="s">
        <v>2279</v>
      </c>
      <c r="G368" s="8" t="e">
        <f>VLOOKUP(Tabela8[[#This Row],[Cód.]],CENTRAL[#All],9,0)</f>
        <v>#REF!</v>
      </c>
    </row>
    <row r="369" spans="1:7" ht="16.5" thickTop="1" thickBot="1" x14ac:dyDescent="0.3">
      <c r="A369">
        <v>200001036</v>
      </c>
      <c r="B369" t="s">
        <v>875</v>
      </c>
      <c r="C369" t="s">
        <v>9</v>
      </c>
      <c r="D369" s="10" t="e">
        <f>VLOOKUP(Tabela8[[#This Row],[Cód.]],#REF!,7,0)</f>
        <v>#REF!</v>
      </c>
      <c r="E369" s="9" t="s">
        <v>2294</v>
      </c>
      <c r="F369" s="10" t="s">
        <v>2279</v>
      </c>
      <c r="G369" s="8" t="e">
        <f>VLOOKUP(Tabela8[[#This Row],[Cód.]],CENTRAL[#All],9,0)</f>
        <v>#REF!</v>
      </c>
    </row>
    <row r="370" spans="1:7" ht="16.5" thickTop="1" thickBot="1" x14ac:dyDescent="0.3">
      <c r="A370">
        <v>200002058</v>
      </c>
      <c r="B370" t="s">
        <v>876</v>
      </c>
      <c r="C370" t="s">
        <v>9</v>
      </c>
      <c r="D370" s="10" t="e">
        <f>VLOOKUP(Tabela8[[#This Row],[Cód.]],#REF!,7,0)</f>
        <v>#REF!</v>
      </c>
      <c r="E370" s="9" t="s">
        <v>2294</v>
      </c>
      <c r="F370" s="10" t="s">
        <v>2279</v>
      </c>
      <c r="G370" s="8" t="e">
        <f>VLOOKUP(Tabela8[[#This Row],[Cód.]],CENTRAL[#All],9,0)</f>
        <v>#REF!</v>
      </c>
    </row>
    <row r="371" spans="1:7" ht="16.5" thickTop="1" thickBot="1" x14ac:dyDescent="0.3">
      <c r="A371">
        <v>200004985</v>
      </c>
      <c r="B371" t="s">
        <v>877</v>
      </c>
      <c r="C371" t="s">
        <v>9</v>
      </c>
      <c r="D371" s="10" t="e">
        <f>VLOOKUP(Tabela8[[#This Row],[Cód.]],#REF!,7,0)</f>
        <v>#REF!</v>
      </c>
      <c r="E371" s="9" t="s">
        <v>2294</v>
      </c>
      <c r="F371" s="10" t="s">
        <v>2279</v>
      </c>
      <c r="G371" s="8" t="e">
        <f>VLOOKUP(Tabela8[[#This Row],[Cód.]],CENTRAL[#All],9,0)</f>
        <v>#REF!</v>
      </c>
    </row>
    <row r="372" spans="1:7" ht="16.5" thickTop="1" thickBot="1" x14ac:dyDescent="0.3">
      <c r="A372">
        <v>200000625</v>
      </c>
      <c r="B372" t="s">
        <v>887</v>
      </c>
      <c r="C372" t="s">
        <v>9</v>
      </c>
      <c r="D372" s="10" t="e">
        <f>VLOOKUP(Tabela8[[#This Row],[Cód.]],#REF!,7,0)</f>
        <v>#REF!</v>
      </c>
      <c r="E372" s="9" t="s">
        <v>2294</v>
      </c>
      <c r="F372" s="10" t="s">
        <v>2279</v>
      </c>
      <c r="G372" s="8" t="e">
        <f>VLOOKUP(Tabela8[[#This Row],[Cód.]],CENTRAL[#All],9,0)</f>
        <v>#REF!</v>
      </c>
    </row>
    <row r="373" spans="1:7" ht="16.5" thickTop="1" thickBot="1" x14ac:dyDescent="0.3">
      <c r="A373">
        <v>200000626</v>
      </c>
      <c r="B373" t="s">
        <v>888</v>
      </c>
      <c r="C373" t="s">
        <v>9</v>
      </c>
      <c r="D373" s="10" t="e">
        <f>VLOOKUP(Tabela8[[#This Row],[Cód.]],#REF!,7,0)</f>
        <v>#REF!</v>
      </c>
      <c r="E373" s="9" t="s">
        <v>2294</v>
      </c>
      <c r="F373" s="10" t="s">
        <v>2279</v>
      </c>
      <c r="G373" s="8" t="e">
        <f>VLOOKUP(Tabela8[[#This Row],[Cód.]],CENTRAL[#All],9,0)</f>
        <v>#REF!</v>
      </c>
    </row>
    <row r="374" spans="1:7" ht="16.5" thickTop="1" thickBot="1" x14ac:dyDescent="0.3">
      <c r="A374">
        <v>200002059</v>
      </c>
      <c r="B374" t="s">
        <v>998</v>
      </c>
      <c r="C374" t="s">
        <v>9</v>
      </c>
      <c r="D374" s="10" t="e">
        <f>VLOOKUP(Tabela8[[#This Row],[Cód.]],#REF!,7,0)</f>
        <v>#REF!</v>
      </c>
      <c r="E374" s="9" t="s">
        <v>2294</v>
      </c>
      <c r="F374" s="10" t="s">
        <v>2279</v>
      </c>
      <c r="G374" s="8" t="e">
        <f>VLOOKUP(Tabela8[[#This Row],[Cód.]],CENTRAL[#All],9,0)</f>
        <v>#REF!</v>
      </c>
    </row>
    <row r="375" spans="1:7" ht="16.5" thickTop="1" thickBot="1" x14ac:dyDescent="0.3">
      <c r="A375">
        <v>200002218</v>
      </c>
      <c r="B375" t="s">
        <v>1001</v>
      </c>
      <c r="C375" t="s">
        <v>9</v>
      </c>
      <c r="D375" s="10" t="e">
        <f>VLOOKUP(Tabela8[[#This Row],[Cód.]],#REF!,7,0)</f>
        <v>#REF!</v>
      </c>
      <c r="E375" s="9" t="s">
        <v>2294</v>
      </c>
      <c r="F375" s="10" t="s">
        <v>2279</v>
      </c>
      <c r="G375" s="8" t="e">
        <f>VLOOKUP(Tabela8[[#This Row],[Cód.]],CENTRAL[#All],9,0)</f>
        <v>#REF!</v>
      </c>
    </row>
    <row r="376" spans="1:7" ht="16.5" thickTop="1" thickBot="1" x14ac:dyDescent="0.3">
      <c r="A376">
        <v>200002219</v>
      </c>
      <c r="B376" t="s">
        <v>1002</v>
      </c>
      <c r="C376" t="s">
        <v>9</v>
      </c>
      <c r="D376" s="10" t="e">
        <f>VLOOKUP(Tabela8[[#This Row],[Cód.]],#REF!,7,0)</f>
        <v>#REF!</v>
      </c>
      <c r="E376" s="9" t="s">
        <v>2294</v>
      </c>
      <c r="F376" s="10" t="s">
        <v>2279</v>
      </c>
      <c r="G376" s="8" t="e">
        <f>VLOOKUP(Tabela8[[#This Row],[Cód.]],CENTRAL[#All],9,0)</f>
        <v>#REF!</v>
      </c>
    </row>
    <row r="377" spans="1:7" ht="16.5" thickTop="1" thickBot="1" x14ac:dyDescent="0.3">
      <c r="A377">
        <v>200002220</v>
      </c>
      <c r="B377" t="s">
        <v>1003</v>
      </c>
      <c r="C377" t="s">
        <v>9</v>
      </c>
      <c r="D377" s="10" t="e">
        <f>VLOOKUP(Tabela8[[#This Row],[Cód.]],#REF!,7,0)</f>
        <v>#REF!</v>
      </c>
      <c r="E377" s="9" t="s">
        <v>2294</v>
      </c>
      <c r="F377" s="10" t="s">
        <v>2279</v>
      </c>
      <c r="G377" s="8" t="e">
        <f>VLOOKUP(Tabela8[[#This Row],[Cód.]],CENTRAL[#All],9,0)</f>
        <v>#REF!</v>
      </c>
    </row>
    <row r="378" spans="1:7" ht="16.5" thickTop="1" thickBot="1" x14ac:dyDescent="0.3">
      <c r="A378">
        <v>200003673</v>
      </c>
      <c r="B378" t="s">
        <v>1045</v>
      </c>
      <c r="C378" t="s">
        <v>9</v>
      </c>
      <c r="D378" s="10" t="e">
        <f>VLOOKUP(Tabela8[[#This Row],[Cód.]],#REF!,7,0)</f>
        <v>#REF!</v>
      </c>
      <c r="E378" s="9" t="s">
        <v>2294</v>
      </c>
      <c r="F378" s="10" t="s">
        <v>2279</v>
      </c>
      <c r="G378" s="8" t="e">
        <f>VLOOKUP(Tabela8[[#This Row],[Cód.]],CENTRAL[#All],9,0)</f>
        <v>#REF!</v>
      </c>
    </row>
    <row r="379" spans="1:7" ht="16.5" thickTop="1" thickBot="1" x14ac:dyDescent="0.3">
      <c r="A379">
        <v>200002060</v>
      </c>
      <c r="B379" t="s">
        <v>1095</v>
      </c>
      <c r="C379" t="s">
        <v>9</v>
      </c>
      <c r="D379" s="10" t="e">
        <f>VLOOKUP(Tabela8[[#This Row],[Cód.]],#REF!,7,0)</f>
        <v>#REF!</v>
      </c>
      <c r="E379" s="9" t="s">
        <v>2294</v>
      </c>
      <c r="F379" s="10" t="s">
        <v>2279</v>
      </c>
      <c r="G379" s="8" t="e">
        <f>VLOOKUP(Tabela8[[#This Row],[Cód.]],CENTRAL[#All],9,0)</f>
        <v>#REF!</v>
      </c>
    </row>
    <row r="380" spans="1:7" ht="15.75" thickTop="1" x14ac:dyDescent="0.25">
      <c r="A380">
        <v>200001344</v>
      </c>
      <c r="B380" t="s">
        <v>2305</v>
      </c>
      <c r="C380" t="s">
        <v>9</v>
      </c>
      <c r="D380" s="10" t="e">
        <f>VLOOKUP(Tabela8[[#This Row],[Cód.]],#REF!,7,0)</f>
        <v>#REF!</v>
      </c>
      <c r="E380" s="9" t="s">
        <v>2294</v>
      </c>
      <c r="F380" s="10" t="s">
        <v>2279</v>
      </c>
      <c r="G380" s="8" t="e">
        <f>VLOOKUP(Tabela8[[#This Row],[Cód.]],CENTRAL[#All],9,0)</f>
        <v>#REF!</v>
      </c>
    </row>
    <row r="381" spans="1:7" ht="15.75" thickBot="1" x14ac:dyDescent="0.3">
      <c r="A381">
        <v>200000700</v>
      </c>
      <c r="B381" t="s">
        <v>1119</v>
      </c>
      <c r="C381" t="s">
        <v>9</v>
      </c>
      <c r="D381" s="10" t="e">
        <f>VLOOKUP(Tabela8[[#This Row],[Cód.]],#REF!,7,0)</f>
        <v>#REF!</v>
      </c>
      <c r="E381" s="10" t="s">
        <v>2294</v>
      </c>
      <c r="F381" s="10" t="s">
        <v>2279</v>
      </c>
      <c r="G381" s="8" t="e">
        <f>VLOOKUP(Tabela8[[#This Row],[Cód.]],CENTRAL[#All],9,0)</f>
        <v>#REF!</v>
      </c>
    </row>
    <row r="382" spans="1:7" ht="16.5" thickTop="1" thickBot="1" x14ac:dyDescent="0.3">
      <c r="A382">
        <v>200002227</v>
      </c>
      <c r="B382" t="s">
        <v>1122</v>
      </c>
      <c r="C382" t="s">
        <v>9</v>
      </c>
      <c r="D382" s="10" t="e">
        <f>VLOOKUP(Tabela8[[#This Row],[Cód.]],#REF!,7,0)</f>
        <v>#REF!</v>
      </c>
      <c r="E382" s="9" t="s">
        <v>2294</v>
      </c>
      <c r="F382" s="10" t="s">
        <v>2279</v>
      </c>
      <c r="G382" s="8" t="e">
        <f>VLOOKUP(Tabela8[[#This Row],[Cód.]],CENTRAL[#All],9,0)</f>
        <v>#REF!</v>
      </c>
    </row>
    <row r="383" spans="1:7" ht="15.75" thickTop="1" x14ac:dyDescent="0.25">
      <c r="A383">
        <v>200002226</v>
      </c>
      <c r="B383" t="s">
        <v>1133</v>
      </c>
      <c r="C383" t="s">
        <v>9</v>
      </c>
      <c r="D383" s="10" t="e">
        <f>VLOOKUP(Tabela8[[#This Row],[Cód.]],#REF!,7,0)</f>
        <v>#REF!</v>
      </c>
      <c r="E383" s="9" t="s">
        <v>2294</v>
      </c>
      <c r="F383" s="10" t="s">
        <v>2279</v>
      </c>
      <c r="G383" s="8" t="e">
        <f>VLOOKUP(Tabela8[[#This Row],[Cód.]],CENTRAL[#All],9,0)</f>
        <v>#REF!</v>
      </c>
    </row>
    <row r="384" spans="1:7" ht="15.75" thickBot="1" x14ac:dyDescent="0.3">
      <c r="A384">
        <v>200005774</v>
      </c>
      <c r="B384" t="s">
        <v>118</v>
      </c>
      <c r="C384" t="s">
        <v>9</v>
      </c>
      <c r="D384" s="10" t="e">
        <f>VLOOKUP(Tabela8[[#This Row],[Cód.]],#REF!,7,0)</f>
        <v>#REF!</v>
      </c>
      <c r="E384" s="10" t="s">
        <v>2295</v>
      </c>
      <c r="F384" s="10" t="s">
        <v>2279</v>
      </c>
      <c r="G384" s="8" t="e">
        <f>VLOOKUP(Tabela8[[#This Row],[Cód.]],CENTRAL[#All],9,0)</f>
        <v>#REF!</v>
      </c>
    </row>
    <row r="385" spans="1:7" ht="16.5" thickTop="1" thickBot="1" x14ac:dyDescent="0.3">
      <c r="A385">
        <v>200005803</v>
      </c>
      <c r="B385" t="s">
        <v>119</v>
      </c>
      <c r="C385" t="s">
        <v>9</v>
      </c>
      <c r="D385" s="10" t="e">
        <f>VLOOKUP(Tabela8[[#This Row],[Cód.]],#REF!,7,0)</f>
        <v>#REF!</v>
      </c>
      <c r="E385" s="9" t="s">
        <v>2295</v>
      </c>
      <c r="F385" s="10" t="s">
        <v>2279</v>
      </c>
      <c r="G385" s="8" t="e">
        <f>VLOOKUP(Tabela8[[#This Row],[Cód.]],CENTRAL[#All],9,0)</f>
        <v>#REF!</v>
      </c>
    </row>
    <row r="386" spans="1:7" ht="16.5" thickTop="1" thickBot="1" x14ac:dyDescent="0.3">
      <c r="A386">
        <v>200005804</v>
      </c>
      <c r="B386" t="s">
        <v>120</v>
      </c>
      <c r="C386" t="s">
        <v>9</v>
      </c>
      <c r="D386" s="10" t="e">
        <f>VLOOKUP(Tabela8[[#This Row],[Cód.]],#REF!,7,0)</f>
        <v>#REF!</v>
      </c>
      <c r="E386" s="9" t="s">
        <v>2295</v>
      </c>
      <c r="F386" s="10" t="s">
        <v>2279</v>
      </c>
      <c r="G386" s="8" t="e">
        <f>VLOOKUP(Tabela8[[#This Row],[Cód.]],CENTRAL[#All],9,0)</f>
        <v>#REF!</v>
      </c>
    </row>
    <row r="387" spans="1:7" ht="16.5" thickTop="1" thickBot="1" x14ac:dyDescent="0.3">
      <c r="A387">
        <v>200004625</v>
      </c>
      <c r="B387" t="s">
        <v>121</v>
      </c>
      <c r="C387" t="s">
        <v>108</v>
      </c>
      <c r="D387" s="10" t="e">
        <f>VLOOKUP(Tabela8[[#This Row],[Cód.]],#REF!,7,0)</f>
        <v>#REF!</v>
      </c>
      <c r="E387" s="9" t="s">
        <v>2295</v>
      </c>
      <c r="F387" s="10" t="s">
        <v>2279</v>
      </c>
      <c r="G387" s="8" t="e">
        <f>VLOOKUP(Tabela8[[#This Row],[Cód.]],CENTRAL[#All],9,0)</f>
        <v>#REF!</v>
      </c>
    </row>
    <row r="388" spans="1:7" ht="16.5" thickTop="1" thickBot="1" x14ac:dyDescent="0.3">
      <c r="A388">
        <v>200004315</v>
      </c>
      <c r="B388" t="s">
        <v>122</v>
      </c>
      <c r="C388" t="s">
        <v>9</v>
      </c>
      <c r="D388" s="10" t="e">
        <f>VLOOKUP(Tabela8[[#This Row],[Cód.]],#REF!,7,0)</f>
        <v>#REF!</v>
      </c>
      <c r="E388" s="9" t="s">
        <v>2295</v>
      </c>
      <c r="F388" s="10" t="s">
        <v>2279</v>
      </c>
      <c r="G388" s="8" t="e">
        <f>VLOOKUP(Tabela8[[#This Row],[Cód.]],CENTRAL[#All],9,0)</f>
        <v>#REF!</v>
      </c>
    </row>
    <row r="389" spans="1:7" ht="16.5" thickTop="1" thickBot="1" x14ac:dyDescent="0.3">
      <c r="A389">
        <v>200004630</v>
      </c>
      <c r="B389" t="s">
        <v>203</v>
      </c>
      <c r="C389" t="s">
        <v>108</v>
      </c>
      <c r="D389" s="10" t="e">
        <f>VLOOKUP(Tabela8[[#This Row],[Cód.]],#REF!,7,0)</f>
        <v>#REF!</v>
      </c>
      <c r="E389" s="9" t="s">
        <v>2295</v>
      </c>
      <c r="F389" s="10" t="s">
        <v>2279</v>
      </c>
      <c r="G389" s="8" t="e">
        <f>VLOOKUP(Tabela8[[#This Row],[Cód.]],CENTRAL[#All],9,0)</f>
        <v>#REF!</v>
      </c>
    </row>
    <row r="390" spans="1:7" ht="16.5" thickTop="1" thickBot="1" x14ac:dyDescent="0.3">
      <c r="A390">
        <v>200006051</v>
      </c>
      <c r="B390" t="s">
        <v>204</v>
      </c>
      <c r="C390" t="s">
        <v>9</v>
      </c>
      <c r="D390" s="10" t="e">
        <f>VLOOKUP(Tabela8[[#This Row],[Cód.]],#REF!,7,0)</f>
        <v>#REF!</v>
      </c>
      <c r="E390" s="9" t="s">
        <v>2295</v>
      </c>
      <c r="F390" s="10" t="s">
        <v>2279</v>
      </c>
      <c r="G390" s="8" t="e">
        <f>VLOOKUP(Tabela8[[#This Row],[Cód.]],CENTRAL[#All],9,0)</f>
        <v>#REF!</v>
      </c>
    </row>
    <row r="391" spans="1:7" ht="16.5" thickTop="1" thickBot="1" x14ac:dyDescent="0.3">
      <c r="A391">
        <v>200005801</v>
      </c>
      <c r="B391" t="s">
        <v>205</v>
      </c>
      <c r="C391" t="s">
        <v>9</v>
      </c>
      <c r="D391" s="10" t="e">
        <f>VLOOKUP(Tabela8[[#This Row],[Cód.]],#REF!,7,0)</f>
        <v>#REF!</v>
      </c>
      <c r="E391" s="9" t="s">
        <v>2295</v>
      </c>
      <c r="F391" s="10" t="s">
        <v>2279</v>
      </c>
      <c r="G391" s="8" t="e">
        <f>VLOOKUP(Tabela8[[#This Row],[Cód.]],CENTRAL[#All],9,0)</f>
        <v>#REF!</v>
      </c>
    </row>
    <row r="392" spans="1:7" ht="16.5" thickTop="1" thickBot="1" x14ac:dyDescent="0.3">
      <c r="A392">
        <v>200004629</v>
      </c>
      <c r="B392" t="s">
        <v>206</v>
      </c>
      <c r="C392" t="s">
        <v>108</v>
      </c>
      <c r="D392" s="10" t="e">
        <f>VLOOKUP(Tabela8[[#This Row],[Cód.]],#REF!,7,0)</f>
        <v>#REF!</v>
      </c>
      <c r="E392" s="9" t="s">
        <v>2295</v>
      </c>
      <c r="F392" s="10" t="s">
        <v>2279</v>
      </c>
      <c r="G392" s="8" t="e">
        <f>VLOOKUP(Tabela8[[#This Row],[Cód.]],CENTRAL[#All],9,0)</f>
        <v>#REF!</v>
      </c>
    </row>
    <row r="393" spans="1:7" ht="16.5" thickTop="1" thickBot="1" x14ac:dyDescent="0.3">
      <c r="A393">
        <v>200004313</v>
      </c>
      <c r="B393" t="s">
        <v>236</v>
      </c>
      <c r="C393" t="s">
        <v>9</v>
      </c>
      <c r="D393" s="10" t="e">
        <f>VLOOKUP(Tabela8[[#This Row],[Cód.]],#REF!,7,0)</f>
        <v>#REF!</v>
      </c>
      <c r="E393" s="9" t="s">
        <v>2295</v>
      </c>
      <c r="F393" s="10" t="s">
        <v>2279</v>
      </c>
      <c r="G393" s="8" t="e">
        <f>VLOOKUP(Tabela8[[#This Row],[Cód.]],CENTRAL[#All],9,0)</f>
        <v>#REF!</v>
      </c>
    </row>
    <row r="394" spans="1:7" ht="16.5" thickTop="1" thickBot="1" x14ac:dyDescent="0.3">
      <c r="A394">
        <v>200005440</v>
      </c>
      <c r="B394" t="s">
        <v>237</v>
      </c>
      <c r="C394" t="s">
        <v>9</v>
      </c>
      <c r="D394" s="10" t="e">
        <f>VLOOKUP(Tabela8[[#This Row],[Cód.]],#REF!,7,0)</f>
        <v>#REF!</v>
      </c>
      <c r="E394" s="9" t="s">
        <v>2295</v>
      </c>
      <c r="F394" s="10" t="s">
        <v>2279</v>
      </c>
      <c r="G394" s="8" t="e">
        <f>VLOOKUP(Tabela8[[#This Row],[Cód.]],CENTRAL[#All],9,0)</f>
        <v>#REF!</v>
      </c>
    </row>
    <row r="395" spans="1:7" ht="16.5" thickTop="1" thickBot="1" x14ac:dyDescent="0.3">
      <c r="A395">
        <v>200006407</v>
      </c>
      <c r="B395" t="s">
        <v>248</v>
      </c>
      <c r="C395" t="s">
        <v>9</v>
      </c>
      <c r="D395" s="10" t="e">
        <f>VLOOKUP(Tabela8[[#This Row],[Cód.]],#REF!,7,0)</f>
        <v>#REF!</v>
      </c>
      <c r="E395" s="9" t="s">
        <v>2295</v>
      </c>
      <c r="F395" s="10" t="s">
        <v>2279</v>
      </c>
      <c r="G395" s="8" t="e">
        <f>VLOOKUP(Tabela8[[#This Row],[Cód.]],CENTRAL[#All],9,0)</f>
        <v>#REF!</v>
      </c>
    </row>
    <row r="396" spans="1:7" ht="16.5" thickTop="1" thickBot="1" x14ac:dyDescent="0.3">
      <c r="A396">
        <v>200004628</v>
      </c>
      <c r="B396" t="s">
        <v>250</v>
      </c>
      <c r="C396" t="s">
        <v>108</v>
      </c>
      <c r="D396" s="10" t="e">
        <f>VLOOKUP(Tabela8[[#This Row],[Cód.]],#REF!,7,0)</f>
        <v>#REF!</v>
      </c>
      <c r="E396" s="9" t="s">
        <v>2295</v>
      </c>
      <c r="F396" s="10" t="s">
        <v>2279</v>
      </c>
      <c r="G396" s="8" t="e">
        <f>VLOOKUP(Tabela8[[#This Row],[Cód.]],CENTRAL[#All],9,0)</f>
        <v>#REF!</v>
      </c>
    </row>
    <row r="397" spans="1:7" ht="16.5" thickTop="1" thickBot="1" x14ac:dyDescent="0.3">
      <c r="A397">
        <v>200005795</v>
      </c>
      <c r="B397" t="s">
        <v>252</v>
      </c>
      <c r="C397" t="s">
        <v>9</v>
      </c>
      <c r="D397" s="10" t="e">
        <f>VLOOKUP(Tabela8[[#This Row],[Cód.]],#REF!,7,0)</f>
        <v>#REF!</v>
      </c>
      <c r="E397" s="9" t="s">
        <v>2295</v>
      </c>
      <c r="F397" s="10" t="s">
        <v>2279</v>
      </c>
      <c r="G397" s="8" t="e">
        <f>VLOOKUP(Tabela8[[#This Row],[Cód.]],CENTRAL[#All],9,0)</f>
        <v>#REF!</v>
      </c>
    </row>
    <row r="398" spans="1:7" ht="16.5" thickTop="1" thickBot="1" x14ac:dyDescent="0.3">
      <c r="A398">
        <v>200005800</v>
      </c>
      <c r="B398" t="s">
        <v>336</v>
      </c>
      <c r="C398" t="s">
        <v>9</v>
      </c>
      <c r="D398" s="10" t="e">
        <f>VLOOKUP(Tabela8[[#This Row],[Cód.]],#REF!,7,0)</f>
        <v>#REF!</v>
      </c>
      <c r="E398" s="9" t="s">
        <v>2295</v>
      </c>
      <c r="F398" s="10" t="s">
        <v>2279</v>
      </c>
      <c r="G398" s="8" t="e">
        <f>VLOOKUP(Tabela8[[#This Row],[Cód.]],CENTRAL[#All],9,0)</f>
        <v>#REF!</v>
      </c>
    </row>
    <row r="399" spans="1:7" ht="16.5" thickTop="1" thickBot="1" x14ac:dyDescent="0.3">
      <c r="A399">
        <v>200006408</v>
      </c>
      <c r="B399" t="s">
        <v>337</v>
      </c>
      <c r="C399" t="s">
        <v>9</v>
      </c>
      <c r="D399" s="10" t="e">
        <f>VLOOKUP(Tabela8[[#This Row],[Cód.]],#REF!,7,0)</f>
        <v>#REF!</v>
      </c>
      <c r="E399" s="9" t="s">
        <v>2295</v>
      </c>
      <c r="F399" s="10" t="s">
        <v>2279</v>
      </c>
      <c r="G399" s="8" t="e">
        <f>VLOOKUP(Tabela8[[#This Row],[Cód.]],CENTRAL[#All],9,0)</f>
        <v>#REF!</v>
      </c>
    </row>
    <row r="400" spans="1:7" ht="16.5" thickTop="1" thickBot="1" x14ac:dyDescent="0.3">
      <c r="A400">
        <v>200006409</v>
      </c>
      <c r="B400" t="s">
        <v>339</v>
      </c>
      <c r="C400" t="s">
        <v>9</v>
      </c>
      <c r="D400" s="10" t="e">
        <f>VLOOKUP(Tabela8[[#This Row],[Cód.]],#REF!,7,0)</f>
        <v>#REF!</v>
      </c>
      <c r="E400" s="9" t="s">
        <v>2295</v>
      </c>
      <c r="F400" s="10" t="s">
        <v>2279</v>
      </c>
      <c r="G400" s="8" t="e">
        <f>VLOOKUP(Tabela8[[#This Row],[Cód.]],CENTRAL[#All],9,0)</f>
        <v>#REF!</v>
      </c>
    </row>
    <row r="401" spans="1:7" ht="16.5" thickTop="1" thickBot="1" x14ac:dyDescent="0.3">
      <c r="A401">
        <v>200004632</v>
      </c>
      <c r="B401" t="s">
        <v>429</v>
      </c>
      <c r="C401" t="s">
        <v>108</v>
      </c>
      <c r="D401" s="10" t="e">
        <f>VLOOKUP(Tabela8[[#This Row],[Cód.]],#REF!,7,0)</f>
        <v>#REF!</v>
      </c>
      <c r="E401" s="9" t="s">
        <v>2295</v>
      </c>
      <c r="F401" s="10" t="s">
        <v>2279</v>
      </c>
      <c r="G401" s="8" t="e">
        <f>VLOOKUP(Tabela8[[#This Row],[Cód.]],CENTRAL[#All],9,0)</f>
        <v>#REF!</v>
      </c>
    </row>
    <row r="402" spans="1:7" ht="16.5" thickTop="1" thickBot="1" x14ac:dyDescent="0.3">
      <c r="A402">
        <v>200004631</v>
      </c>
      <c r="B402" t="s">
        <v>430</v>
      </c>
      <c r="C402" t="s">
        <v>108</v>
      </c>
      <c r="D402" s="10" t="e">
        <f>VLOOKUP(Tabela8[[#This Row],[Cód.]],#REF!,7,0)</f>
        <v>#REF!</v>
      </c>
      <c r="E402" s="9" t="s">
        <v>2295</v>
      </c>
      <c r="F402" s="10" t="s">
        <v>2279</v>
      </c>
      <c r="G402" s="8" t="e">
        <f>VLOOKUP(Tabela8[[#This Row],[Cód.]],CENTRAL[#All],9,0)</f>
        <v>#REF!</v>
      </c>
    </row>
    <row r="403" spans="1:7" ht="16.5" thickTop="1" thickBot="1" x14ac:dyDescent="0.3">
      <c r="A403">
        <v>200004609</v>
      </c>
      <c r="B403" t="s">
        <v>431</v>
      </c>
      <c r="C403" t="s">
        <v>9</v>
      </c>
      <c r="D403" s="10" t="e">
        <f>VLOOKUP(Tabela8[[#This Row],[Cód.]],#REF!,7,0)</f>
        <v>#REF!</v>
      </c>
      <c r="E403" s="9" t="s">
        <v>2295</v>
      </c>
      <c r="F403" s="10" t="s">
        <v>2279</v>
      </c>
      <c r="G403" s="8" t="e">
        <f>VLOOKUP(Tabela8[[#This Row],[Cód.]],CENTRAL[#All],9,0)</f>
        <v>#REF!</v>
      </c>
    </row>
    <row r="404" spans="1:7" ht="16.5" thickTop="1" thickBot="1" x14ac:dyDescent="0.3">
      <c r="A404">
        <v>200005441</v>
      </c>
      <c r="B404" t="s">
        <v>683</v>
      </c>
      <c r="C404" t="s">
        <v>9</v>
      </c>
      <c r="D404" s="10" t="e">
        <f>VLOOKUP(Tabela8[[#This Row],[Cód.]],#REF!,7,0)</f>
        <v>#REF!</v>
      </c>
      <c r="E404" s="9" t="s">
        <v>2295</v>
      </c>
      <c r="F404" s="10" t="s">
        <v>2279</v>
      </c>
      <c r="G404" s="8" t="e">
        <f>VLOOKUP(Tabela8[[#This Row],[Cód.]],CENTRAL[#All],9,0)</f>
        <v>#REF!</v>
      </c>
    </row>
    <row r="405" spans="1:7" ht="16.5" thickTop="1" thickBot="1" x14ac:dyDescent="0.3">
      <c r="A405">
        <v>200004059</v>
      </c>
      <c r="B405" t="s">
        <v>944</v>
      </c>
      <c r="C405" t="s">
        <v>9</v>
      </c>
      <c r="D405" s="10" t="e">
        <f>VLOOKUP(Tabela8[[#This Row],[Cód.]],#REF!,7,0)</f>
        <v>#REF!</v>
      </c>
      <c r="E405" s="9" t="s">
        <v>2295</v>
      </c>
      <c r="F405" s="10" t="s">
        <v>2279</v>
      </c>
      <c r="G405" s="8" t="e">
        <f>VLOOKUP(Tabela8[[#This Row],[Cód.]],CENTRAL[#All],9,0)</f>
        <v>#REF!</v>
      </c>
    </row>
    <row r="406" spans="1:7" ht="16.5" thickTop="1" thickBot="1" x14ac:dyDescent="0.3">
      <c r="A406">
        <v>200005431</v>
      </c>
      <c r="B406" t="s">
        <v>945</v>
      </c>
      <c r="C406" t="s">
        <v>9</v>
      </c>
      <c r="D406" s="10" t="e">
        <f>VLOOKUP(Tabela8[[#This Row],[Cód.]],#REF!,7,0)</f>
        <v>#REF!</v>
      </c>
      <c r="E406" s="9" t="s">
        <v>2295</v>
      </c>
      <c r="F406" s="10" t="s">
        <v>2279</v>
      </c>
      <c r="G406" s="8" t="e">
        <f>VLOOKUP(Tabela8[[#This Row],[Cód.]],CENTRAL[#All],9,0)</f>
        <v>#REF!</v>
      </c>
    </row>
    <row r="407" spans="1:7" ht="16.5" thickTop="1" thickBot="1" x14ac:dyDescent="0.3">
      <c r="A407">
        <v>200005770</v>
      </c>
      <c r="B407" t="s">
        <v>947</v>
      </c>
      <c r="C407" t="s">
        <v>9</v>
      </c>
      <c r="D407" s="10" t="e">
        <f>VLOOKUP(Tabela8[[#This Row],[Cód.]],#REF!,7,0)</f>
        <v>#REF!</v>
      </c>
      <c r="E407" s="9" t="s">
        <v>2295</v>
      </c>
      <c r="F407" s="10" t="s">
        <v>2279</v>
      </c>
      <c r="G407" s="8" t="e">
        <f>VLOOKUP(Tabela8[[#This Row],[Cód.]],CENTRAL[#All],9,0)</f>
        <v>#REF!</v>
      </c>
    </row>
    <row r="408" spans="1:7" ht="16.5" thickTop="1" thickBot="1" x14ac:dyDescent="0.3">
      <c r="A408">
        <v>200005794</v>
      </c>
      <c r="B408" t="s">
        <v>1042</v>
      </c>
      <c r="C408" t="s">
        <v>9</v>
      </c>
      <c r="D408" s="10" t="e">
        <f>VLOOKUP(Tabela8[[#This Row],[Cód.]],#REF!,7,0)</f>
        <v>#REF!</v>
      </c>
      <c r="E408" s="9" t="s">
        <v>2295</v>
      </c>
      <c r="F408" s="10" t="s">
        <v>2279</v>
      </c>
      <c r="G408" s="8" t="e">
        <f>VLOOKUP(Tabela8[[#This Row],[Cód.]],CENTRAL[#All],9,0)</f>
        <v>#REF!</v>
      </c>
    </row>
    <row r="409" spans="1:7" ht="16.5" thickTop="1" thickBot="1" x14ac:dyDescent="0.3">
      <c r="A409">
        <v>200005796</v>
      </c>
      <c r="B409" t="s">
        <v>1043</v>
      </c>
      <c r="C409" t="s">
        <v>9</v>
      </c>
      <c r="D409" s="10" t="e">
        <f>VLOOKUP(Tabela8[[#This Row],[Cód.]],#REF!,7,0)</f>
        <v>#REF!</v>
      </c>
      <c r="E409" s="9" t="s">
        <v>2295</v>
      </c>
      <c r="F409" s="10" t="s">
        <v>2279</v>
      </c>
      <c r="G409" s="8" t="e">
        <f>VLOOKUP(Tabela8[[#This Row],[Cód.]],CENTRAL[#All],9,0)</f>
        <v>#REF!</v>
      </c>
    </row>
    <row r="410" spans="1:7" ht="16.5" thickTop="1" thickBot="1" x14ac:dyDescent="0.3">
      <c r="A410">
        <v>200004626</v>
      </c>
      <c r="B410" t="s">
        <v>1072</v>
      </c>
      <c r="C410" t="s">
        <v>108</v>
      </c>
      <c r="D410" s="10" t="e">
        <f>VLOOKUP(Tabela8[[#This Row],[Cód.]],#REF!,7,0)</f>
        <v>#REF!</v>
      </c>
      <c r="E410" s="9" t="s">
        <v>2295</v>
      </c>
      <c r="F410" s="10" t="s">
        <v>2279</v>
      </c>
      <c r="G410" s="8" t="e">
        <f>VLOOKUP(Tabela8[[#This Row],[Cód.]],CENTRAL[#All],9,0)</f>
        <v>#REF!</v>
      </c>
    </row>
    <row r="411" spans="1:7" ht="15.75" thickTop="1" x14ac:dyDescent="0.25">
      <c r="A411">
        <v>200004627</v>
      </c>
      <c r="B411" t="s">
        <v>1073</v>
      </c>
      <c r="C411" t="s">
        <v>108</v>
      </c>
      <c r="D411" s="10" t="e">
        <f>VLOOKUP(Tabela8[[#This Row],[Cód.]],#REF!,7,0)</f>
        <v>#REF!</v>
      </c>
      <c r="E411" s="9" t="s">
        <v>2295</v>
      </c>
      <c r="F411" s="10" t="s">
        <v>2279</v>
      </c>
      <c r="G411" s="8" t="e">
        <f>VLOOKUP(Tabela8[[#This Row],[Cód.]],CENTRAL[#All],9,0)</f>
        <v>#REF!</v>
      </c>
    </row>
    <row r="412" spans="1:7" ht="15.75" thickBot="1" x14ac:dyDescent="0.3">
      <c r="A412">
        <v>200002337</v>
      </c>
      <c r="B412" t="s">
        <v>961</v>
      </c>
      <c r="C412" t="s">
        <v>9</v>
      </c>
      <c r="D412" s="10" t="e">
        <f>VLOOKUP(Tabela8[[#This Row],[Cód.]],#REF!,7,0)</f>
        <v>#REF!</v>
      </c>
      <c r="E412" s="10" t="s">
        <v>2296</v>
      </c>
      <c r="F412" s="10" t="s">
        <v>2279</v>
      </c>
      <c r="G412" s="8" t="e">
        <f>VLOOKUP(Tabela8[[#This Row],[Cód.]],CENTRAL[#All],9,0)</f>
        <v>#REF!</v>
      </c>
    </row>
    <row r="413" spans="1:7" ht="16.5" thickTop="1" thickBot="1" x14ac:dyDescent="0.3">
      <c r="A413">
        <v>200002336</v>
      </c>
      <c r="B413" t="s">
        <v>963</v>
      </c>
      <c r="C413" t="s">
        <v>9</v>
      </c>
      <c r="D413" s="10" t="e">
        <f>VLOOKUP(Tabela8[[#This Row],[Cód.]],#REF!,7,0)</f>
        <v>#REF!</v>
      </c>
      <c r="E413" s="9" t="s">
        <v>2296</v>
      </c>
      <c r="F413" s="10" t="s">
        <v>2279</v>
      </c>
      <c r="G413" s="8" t="e">
        <f>VLOOKUP(Tabela8[[#This Row],[Cód.]],CENTRAL[#All],9,0)</f>
        <v>#REF!</v>
      </c>
    </row>
    <row r="414" spans="1:7" ht="16.5" thickTop="1" thickBot="1" x14ac:dyDescent="0.3">
      <c r="A414">
        <v>200002338</v>
      </c>
      <c r="B414" t="s">
        <v>966</v>
      </c>
      <c r="C414" t="s">
        <v>9</v>
      </c>
      <c r="D414" s="10" t="e">
        <f>VLOOKUP(Tabela8[[#This Row],[Cód.]],#REF!,7,0)</f>
        <v>#REF!</v>
      </c>
      <c r="E414" s="9" t="s">
        <v>2296</v>
      </c>
      <c r="F414" s="10" t="s">
        <v>2279</v>
      </c>
      <c r="G414" s="8" t="e">
        <f>VLOOKUP(Tabela8[[#This Row],[Cód.]],CENTRAL[#All],9,0)</f>
        <v>#REF!</v>
      </c>
    </row>
    <row r="415" spans="1:7" ht="16.5" thickTop="1" thickBot="1" x14ac:dyDescent="0.3">
      <c r="A415">
        <v>200006943</v>
      </c>
      <c r="B415" t="s">
        <v>971</v>
      </c>
      <c r="C415" t="s">
        <v>63</v>
      </c>
      <c r="D415" s="10" t="e">
        <f>VLOOKUP(Tabela8[[#This Row],[Cód.]],#REF!,7,0)</f>
        <v>#REF!</v>
      </c>
      <c r="E415" s="9" t="s">
        <v>2296</v>
      </c>
      <c r="F415" s="10" t="s">
        <v>2279</v>
      </c>
      <c r="G415" s="8" t="e">
        <f>VLOOKUP(Tabela8[[#This Row],[Cód.]],CENTRAL[#All],9,0)</f>
        <v>#REF!</v>
      </c>
    </row>
    <row r="416" spans="1:7" ht="16.5" thickTop="1" thickBot="1" x14ac:dyDescent="0.3">
      <c r="A416">
        <v>200006837</v>
      </c>
      <c r="B416" t="s">
        <v>972</v>
      </c>
      <c r="C416" t="s">
        <v>63</v>
      </c>
      <c r="D416" s="10" t="e">
        <f>VLOOKUP(Tabela8[[#This Row],[Cód.]],#REF!,7,0)</f>
        <v>#REF!</v>
      </c>
      <c r="E416" s="9" t="s">
        <v>2296</v>
      </c>
      <c r="F416" s="10" t="s">
        <v>2279</v>
      </c>
      <c r="G416" s="8" t="e">
        <f>VLOOKUP(Tabela8[[#This Row],[Cód.]],CENTRAL[#All],9,0)</f>
        <v>#REF!</v>
      </c>
    </row>
    <row r="417" spans="1:7" ht="16.5" thickTop="1" thickBot="1" x14ac:dyDescent="0.3">
      <c r="A417">
        <v>200006836</v>
      </c>
      <c r="B417" t="s">
        <v>973</v>
      </c>
      <c r="C417" t="s">
        <v>63</v>
      </c>
      <c r="D417" s="10" t="e">
        <f>VLOOKUP(Tabela8[[#This Row],[Cód.]],#REF!,7,0)</f>
        <v>#REF!</v>
      </c>
      <c r="E417" s="9" t="s">
        <v>2296</v>
      </c>
      <c r="F417" s="10" t="s">
        <v>2279</v>
      </c>
      <c r="G417" s="8" t="e">
        <f>VLOOKUP(Tabela8[[#This Row],[Cód.]],CENTRAL[#All],9,0)</f>
        <v>#REF!</v>
      </c>
    </row>
    <row r="418" spans="1:7" ht="16.5" thickTop="1" thickBot="1" x14ac:dyDescent="0.3">
      <c r="A418">
        <v>200006944</v>
      </c>
      <c r="B418" t="s">
        <v>974</v>
      </c>
      <c r="C418" t="s">
        <v>63</v>
      </c>
      <c r="D418" s="10" t="e">
        <f>VLOOKUP(Tabela8[[#This Row],[Cód.]],#REF!,7,0)</f>
        <v>#REF!</v>
      </c>
      <c r="E418" s="9" t="s">
        <v>2296</v>
      </c>
      <c r="F418" s="10" t="s">
        <v>2279</v>
      </c>
      <c r="G418" s="8" t="e">
        <f>VLOOKUP(Tabela8[[#This Row],[Cód.]],CENTRAL[#All],9,0)</f>
        <v>#REF!</v>
      </c>
    </row>
    <row r="419" spans="1:7" ht="16.5" thickTop="1" thickBot="1" x14ac:dyDescent="0.3">
      <c r="A419">
        <v>200000749</v>
      </c>
      <c r="B419" t="s">
        <v>984</v>
      </c>
      <c r="C419" t="s">
        <v>67</v>
      </c>
      <c r="D419" s="10" t="e">
        <f>VLOOKUP(Tabela8[[#This Row],[Cód.]],#REF!,7,0)</f>
        <v>#REF!</v>
      </c>
      <c r="E419" s="9" t="s">
        <v>2296</v>
      </c>
      <c r="F419" s="10" t="s">
        <v>2279</v>
      </c>
      <c r="G419" s="8" t="e">
        <f>VLOOKUP(Tabela8[[#This Row],[Cód.]],CENTRAL[#All],9,0)</f>
        <v>#REF!</v>
      </c>
    </row>
    <row r="420" spans="1:7" ht="16.5" thickTop="1" thickBot="1" x14ac:dyDescent="0.3">
      <c r="A420">
        <v>200000660</v>
      </c>
      <c r="B420" t="s">
        <v>985</v>
      </c>
      <c r="C420" t="s">
        <v>67</v>
      </c>
      <c r="D420" s="10" t="e">
        <f>VLOOKUP(Tabela8[[#This Row],[Cód.]],#REF!,7,0)</f>
        <v>#REF!</v>
      </c>
      <c r="E420" s="9" t="s">
        <v>2296</v>
      </c>
      <c r="F420" s="10" t="s">
        <v>2279</v>
      </c>
      <c r="G420" s="8" t="e">
        <f>VLOOKUP(Tabela8[[#This Row],[Cód.]],CENTRAL[#All],9,0)</f>
        <v>#REF!</v>
      </c>
    </row>
    <row r="421" spans="1:7" ht="16.5" thickTop="1" thickBot="1" x14ac:dyDescent="0.3">
      <c r="A421">
        <v>200002346</v>
      </c>
      <c r="B421" t="s">
        <v>986</v>
      </c>
      <c r="C421" t="s">
        <v>67</v>
      </c>
      <c r="D421" s="10" t="e">
        <f>VLOOKUP(Tabela8[[#This Row],[Cód.]],#REF!,7,0)</f>
        <v>#REF!</v>
      </c>
      <c r="E421" s="9" t="s">
        <v>2296</v>
      </c>
      <c r="F421" s="10" t="s">
        <v>2279</v>
      </c>
      <c r="G421" s="8" t="e">
        <f>VLOOKUP(Tabela8[[#This Row],[Cód.]],CENTRAL[#All],9,0)</f>
        <v>#REF!</v>
      </c>
    </row>
    <row r="422" spans="1:7" ht="16.5" thickTop="1" thickBot="1" x14ac:dyDescent="0.3">
      <c r="A422">
        <v>200001620</v>
      </c>
      <c r="B422" t="s">
        <v>989</v>
      </c>
      <c r="C422" t="s">
        <v>63</v>
      </c>
      <c r="D422" s="10" t="e">
        <f>VLOOKUP(Tabela8[[#This Row],[Cód.]],#REF!,7,0)</f>
        <v>#REF!</v>
      </c>
      <c r="E422" s="9" t="s">
        <v>2296</v>
      </c>
      <c r="F422" s="10" t="s">
        <v>2279</v>
      </c>
      <c r="G422" s="8" t="e">
        <f>VLOOKUP(Tabela8[[#This Row],[Cód.]],CENTRAL[#All],9,0)</f>
        <v>#REF!</v>
      </c>
    </row>
    <row r="423" spans="1:7" ht="16.5" thickTop="1" thickBot="1" x14ac:dyDescent="0.3">
      <c r="A423">
        <v>200001620</v>
      </c>
      <c r="B423" t="s">
        <v>989</v>
      </c>
      <c r="C423" t="s">
        <v>63</v>
      </c>
      <c r="D423" s="10" t="e">
        <f>VLOOKUP(Tabela8[[#This Row],[Cód.]],#REF!,7,0)</f>
        <v>#REF!</v>
      </c>
      <c r="E423" s="9" t="s">
        <v>2296</v>
      </c>
      <c r="F423" s="10" t="s">
        <v>2279</v>
      </c>
      <c r="G423" s="8" t="e">
        <f>VLOOKUP(Tabela8[[#This Row],[Cód.]],CENTRAL[#All],9,0)</f>
        <v>#REF!</v>
      </c>
    </row>
    <row r="424" spans="1:7" ht="16.5" thickTop="1" thickBot="1" x14ac:dyDescent="0.3">
      <c r="A424">
        <v>200001624</v>
      </c>
      <c r="B424" t="s">
        <v>991</v>
      </c>
      <c r="C424" t="s">
        <v>63</v>
      </c>
      <c r="D424" s="10" t="e">
        <f>VLOOKUP(Tabela8[[#This Row],[Cód.]],#REF!,7,0)</f>
        <v>#REF!</v>
      </c>
      <c r="E424" s="9" t="s">
        <v>2296</v>
      </c>
      <c r="F424" s="10" t="s">
        <v>2279</v>
      </c>
      <c r="G424" s="8" t="e">
        <f>VLOOKUP(Tabela8[[#This Row],[Cód.]],CENTRAL[#All],9,0)</f>
        <v>#REF!</v>
      </c>
    </row>
    <row r="425" spans="1:7" ht="16.5" thickTop="1" thickBot="1" x14ac:dyDescent="0.3">
      <c r="A425">
        <v>200005524</v>
      </c>
      <c r="B425" t="s">
        <v>992</v>
      </c>
      <c r="C425" t="s">
        <v>63</v>
      </c>
      <c r="D425" s="10" t="e">
        <f>VLOOKUP(Tabela8[[#This Row],[Cód.]],#REF!,7,0)</f>
        <v>#REF!</v>
      </c>
      <c r="E425" s="9" t="s">
        <v>2296</v>
      </c>
      <c r="F425" s="10" t="s">
        <v>2279</v>
      </c>
      <c r="G425" s="8" t="e">
        <f>VLOOKUP(Tabela8[[#This Row],[Cód.]],CENTRAL[#All],9,0)</f>
        <v>#REF!</v>
      </c>
    </row>
    <row r="426" spans="1:7" ht="16.5" thickTop="1" thickBot="1" x14ac:dyDescent="0.3">
      <c r="A426">
        <v>200001623</v>
      </c>
      <c r="B426" t="s">
        <v>994</v>
      </c>
      <c r="C426" t="s">
        <v>63</v>
      </c>
      <c r="D426" s="10" t="e">
        <f>VLOOKUP(Tabela8[[#This Row],[Cód.]],#REF!,7,0)</f>
        <v>#REF!</v>
      </c>
      <c r="E426" s="9" t="s">
        <v>2296</v>
      </c>
      <c r="F426" s="10" t="s">
        <v>2279</v>
      </c>
      <c r="G426" s="8" t="e">
        <f>VLOOKUP(Tabela8[[#This Row],[Cód.]],CENTRAL[#All],9,0)</f>
        <v>#REF!</v>
      </c>
    </row>
    <row r="427" spans="1:7" ht="16.5" thickTop="1" thickBot="1" x14ac:dyDescent="0.3">
      <c r="A427">
        <v>200001625</v>
      </c>
      <c r="B427" t="s">
        <v>995</v>
      </c>
      <c r="C427" t="s">
        <v>63</v>
      </c>
      <c r="D427" s="10" t="e">
        <f>VLOOKUP(Tabela8[[#This Row],[Cód.]],#REF!,7,0)</f>
        <v>#REF!</v>
      </c>
      <c r="E427" s="9" t="s">
        <v>2296</v>
      </c>
      <c r="F427" s="10" t="s">
        <v>2279</v>
      </c>
      <c r="G427" s="8" t="e">
        <f>VLOOKUP(Tabela8[[#This Row],[Cód.]],CENTRAL[#All],9,0)</f>
        <v>#REF!</v>
      </c>
    </row>
    <row r="428" spans="1:7" ht="16.5" thickTop="1" thickBot="1" x14ac:dyDescent="0.3">
      <c r="A428">
        <v>200001625</v>
      </c>
      <c r="B428" t="s">
        <v>995</v>
      </c>
      <c r="C428" t="s">
        <v>63</v>
      </c>
      <c r="D428" s="10" t="e">
        <f>VLOOKUP(Tabela8[[#This Row],[Cód.]],#REF!,7,0)</f>
        <v>#REF!</v>
      </c>
      <c r="E428" s="9" t="s">
        <v>2296</v>
      </c>
      <c r="F428" s="10" t="s">
        <v>2279</v>
      </c>
      <c r="G428" s="8" t="e">
        <f>VLOOKUP(Tabela8[[#This Row],[Cód.]],CENTRAL[#All],9,0)</f>
        <v>#REF!</v>
      </c>
    </row>
    <row r="429" spans="1:7" ht="16.5" thickTop="1" thickBot="1" x14ac:dyDescent="0.3">
      <c r="A429">
        <v>200006858</v>
      </c>
      <c r="B429" t="s">
        <v>65</v>
      </c>
      <c r="C429" t="s">
        <v>9</v>
      </c>
      <c r="D429" s="10" t="e">
        <f>VLOOKUP(Tabela8[[#This Row],[Cód.]],#REF!,7,0)</f>
        <v>#REF!</v>
      </c>
      <c r="E429" s="9" t="s">
        <v>2297</v>
      </c>
      <c r="F429" s="10" t="s">
        <v>2279</v>
      </c>
      <c r="G429" s="8" t="e">
        <f>VLOOKUP(Tabela8[[#This Row],[Cód.]],CENTRAL[#All],9,0)</f>
        <v>#REF!</v>
      </c>
    </row>
    <row r="430" spans="1:7" ht="16.5" thickTop="1" thickBot="1" x14ac:dyDescent="0.3">
      <c r="A430">
        <v>200003957</v>
      </c>
      <c r="B430" t="s">
        <v>84</v>
      </c>
      <c r="C430" t="s">
        <v>82</v>
      </c>
      <c r="D430" s="10" t="e">
        <f>VLOOKUP(Tabela8[[#This Row],[Cód.]],#REF!,7,0)</f>
        <v>#REF!</v>
      </c>
      <c r="E430" s="9" t="s">
        <v>2297</v>
      </c>
      <c r="F430" s="10" t="s">
        <v>2279</v>
      </c>
      <c r="G430" s="8" t="e">
        <f>VLOOKUP(Tabela8[[#This Row],[Cód.]],CENTRAL[#All],9,0)</f>
        <v>#REF!</v>
      </c>
    </row>
    <row r="431" spans="1:7" ht="16.5" thickTop="1" thickBot="1" x14ac:dyDescent="0.3">
      <c r="A431">
        <v>200006757</v>
      </c>
      <c r="B431" t="s">
        <v>87</v>
      </c>
      <c r="C431" t="s">
        <v>9</v>
      </c>
      <c r="D431" s="10" t="e">
        <f>VLOOKUP(Tabela8[[#This Row],[Cód.]],#REF!,7,0)</f>
        <v>#REF!</v>
      </c>
      <c r="E431" s="9" t="s">
        <v>2297</v>
      </c>
      <c r="F431" s="10" t="s">
        <v>2279</v>
      </c>
      <c r="G431" s="8" t="e">
        <f>VLOOKUP(Tabela8[[#This Row],[Cód.]],CENTRAL[#All],9,0)</f>
        <v>#REF!</v>
      </c>
    </row>
    <row r="432" spans="1:7" ht="16.5" thickTop="1" thickBot="1" x14ac:dyDescent="0.3">
      <c r="A432">
        <v>200007112</v>
      </c>
      <c r="B432" t="s">
        <v>92</v>
      </c>
      <c r="C432" t="s">
        <v>9</v>
      </c>
      <c r="D432" s="10" t="e">
        <f>VLOOKUP(Tabela8[[#This Row],[Cód.]],#REF!,7,0)</f>
        <v>#REF!</v>
      </c>
      <c r="E432" s="9" t="s">
        <v>2297</v>
      </c>
      <c r="F432" s="10" t="s">
        <v>2279</v>
      </c>
      <c r="G432" s="8" t="e">
        <f>VLOOKUP(Tabela8[[#This Row],[Cód.]],CENTRAL[#All],9,0)</f>
        <v>#REF!</v>
      </c>
    </row>
    <row r="433" spans="1:7" ht="16.5" thickTop="1" thickBot="1" x14ac:dyDescent="0.3">
      <c r="A433">
        <v>200007113</v>
      </c>
      <c r="B433" t="s">
        <v>93</v>
      </c>
      <c r="C433" t="s">
        <v>9</v>
      </c>
      <c r="D433" s="10" t="e">
        <f>VLOOKUP(Tabela8[[#This Row],[Cód.]],#REF!,7,0)</f>
        <v>#REF!</v>
      </c>
      <c r="E433" s="9" t="s">
        <v>2297</v>
      </c>
      <c r="F433" s="10" t="s">
        <v>2279</v>
      </c>
      <c r="G433" s="8" t="e">
        <f>VLOOKUP(Tabela8[[#This Row],[Cód.]],CENTRAL[#All],9,0)</f>
        <v>#REF!</v>
      </c>
    </row>
    <row r="434" spans="1:7" ht="16.5" thickTop="1" thickBot="1" x14ac:dyDescent="0.3">
      <c r="A434">
        <v>200006319</v>
      </c>
      <c r="B434" t="s">
        <v>95</v>
      </c>
      <c r="C434" t="s">
        <v>96</v>
      </c>
      <c r="D434" s="10" t="e">
        <f>VLOOKUP(Tabela8[[#This Row],[Cód.]],#REF!,7,0)</f>
        <v>#REF!</v>
      </c>
      <c r="E434" s="9" t="s">
        <v>2297</v>
      </c>
      <c r="F434" s="10" t="s">
        <v>2279</v>
      </c>
      <c r="G434" s="8" t="e">
        <f>VLOOKUP(Tabela8[[#This Row],[Cód.]],CENTRAL[#All],9,0)</f>
        <v>#REF!</v>
      </c>
    </row>
    <row r="435" spans="1:7" ht="16.5" thickTop="1" thickBot="1" x14ac:dyDescent="0.3">
      <c r="A435">
        <v>200002933</v>
      </c>
      <c r="B435" t="s">
        <v>97</v>
      </c>
      <c r="C435" t="s">
        <v>86</v>
      </c>
      <c r="D435" s="10" t="e">
        <f>VLOOKUP(Tabela8[[#This Row],[Cód.]],#REF!,7,0)</f>
        <v>#REF!</v>
      </c>
      <c r="E435" s="9" t="s">
        <v>2297</v>
      </c>
      <c r="F435" s="10" t="s">
        <v>2279</v>
      </c>
      <c r="G435" s="8" t="e">
        <f>VLOOKUP(Tabela8[[#This Row],[Cód.]],CENTRAL[#All],9,0)</f>
        <v>#REF!</v>
      </c>
    </row>
    <row r="436" spans="1:7" ht="16.5" thickTop="1" thickBot="1" x14ac:dyDescent="0.3">
      <c r="A436">
        <v>200002709</v>
      </c>
      <c r="B436" t="s">
        <v>98</v>
      </c>
      <c r="C436" t="s">
        <v>9</v>
      </c>
      <c r="D436" s="10" t="e">
        <f>VLOOKUP(Tabela8[[#This Row],[Cód.]],#REF!,7,0)</f>
        <v>#REF!</v>
      </c>
      <c r="E436" s="9" t="s">
        <v>2297</v>
      </c>
      <c r="F436" s="10" t="s">
        <v>2279</v>
      </c>
      <c r="G436" s="8" t="e">
        <f>VLOOKUP(Tabela8[[#This Row],[Cód.]],CENTRAL[#All],9,0)</f>
        <v>#REF!</v>
      </c>
    </row>
    <row r="437" spans="1:7" ht="16.5" thickTop="1" thickBot="1" x14ac:dyDescent="0.3">
      <c r="A437">
        <v>200002709</v>
      </c>
      <c r="B437" t="s">
        <v>98</v>
      </c>
      <c r="C437" t="s">
        <v>9</v>
      </c>
      <c r="D437" s="10" t="e">
        <f>VLOOKUP(Tabela8[[#This Row],[Cód.]],#REF!,7,0)</f>
        <v>#REF!</v>
      </c>
      <c r="E437" s="9" t="s">
        <v>2297</v>
      </c>
      <c r="F437" s="10" t="s">
        <v>2279</v>
      </c>
      <c r="G437" s="8" t="e">
        <f>VLOOKUP(Tabela8[[#This Row],[Cód.]],CENTRAL[#All],9,0)</f>
        <v>#REF!</v>
      </c>
    </row>
    <row r="438" spans="1:7" ht="16.5" thickTop="1" thickBot="1" x14ac:dyDescent="0.3">
      <c r="A438">
        <v>200002107</v>
      </c>
      <c r="B438" t="s">
        <v>285</v>
      </c>
      <c r="C438" t="s">
        <v>86</v>
      </c>
      <c r="D438" s="10" t="e">
        <f>VLOOKUP(Tabela8[[#This Row],[Cód.]],#REF!,7,0)</f>
        <v>#REF!</v>
      </c>
      <c r="E438" s="9" t="s">
        <v>2297</v>
      </c>
      <c r="F438" s="10" t="s">
        <v>2279</v>
      </c>
      <c r="G438" s="8" t="e">
        <f>VLOOKUP(Tabela8[[#This Row],[Cód.]],CENTRAL[#All],9,0)</f>
        <v>#REF!</v>
      </c>
    </row>
    <row r="439" spans="1:7" ht="16.5" thickTop="1" thickBot="1" x14ac:dyDescent="0.3">
      <c r="A439">
        <v>200002107</v>
      </c>
      <c r="B439" t="s">
        <v>285</v>
      </c>
      <c r="C439" t="s">
        <v>86</v>
      </c>
      <c r="D439" s="10" t="e">
        <f>VLOOKUP(Tabela8[[#This Row],[Cód.]],#REF!,7,0)</f>
        <v>#REF!</v>
      </c>
      <c r="E439" s="9" t="s">
        <v>2297</v>
      </c>
      <c r="F439" s="10" t="s">
        <v>2279</v>
      </c>
      <c r="G439" s="8" t="e">
        <f>VLOOKUP(Tabela8[[#This Row],[Cód.]],CENTRAL[#All],9,0)</f>
        <v>#REF!</v>
      </c>
    </row>
    <row r="440" spans="1:7" ht="16.5" thickTop="1" thickBot="1" x14ac:dyDescent="0.3">
      <c r="A440">
        <v>200002109</v>
      </c>
      <c r="B440" t="s">
        <v>289</v>
      </c>
      <c r="C440" t="s">
        <v>96</v>
      </c>
      <c r="D440" s="10" t="e">
        <f>VLOOKUP(Tabela8[[#This Row],[Cód.]],#REF!,7,0)</f>
        <v>#REF!</v>
      </c>
      <c r="E440" s="9" t="s">
        <v>2297</v>
      </c>
      <c r="F440" s="10" t="s">
        <v>2279</v>
      </c>
      <c r="G440" s="8" t="e">
        <f>VLOOKUP(Tabela8[[#This Row],[Cód.]],CENTRAL[#All],9,0)</f>
        <v>#REF!</v>
      </c>
    </row>
    <row r="441" spans="1:7" ht="16.5" thickTop="1" thickBot="1" x14ac:dyDescent="0.3">
      <c r="A441">
        <v>200002109</v>
      </c>
      <c r="B441" t="s">
        <v>289</v>
      </c>
      <c r="C441" t="s">
        <v>96</v>
      </c>
      <c r="D441" s="10" t="e">
        <f>VLOOKUP(Tabela8[[#This Row],[Cód.]],#REF!,7,0)</f>
        <v>#REF!</v>
      </c>
      <c r="E441" s="9" t="s">
        <v>2297</v>
      </c>
      <c r="F441" s="10" t="s">
        <v>2279</v>
      </c>
      <c r="G441" s="8" t="e">
        <f>VLOOKUP(Tabela8[[#This Row],[Cód.]],CENTRAL[#All],9,0)</f>
        <v>#REF!</v>
      </c>
    </row>
    <row r="442" spans="1:7" ht="16.5" thickTop="1" thickBot="1" x14ac:dyDescent="0.3">
      <c r="A442">
        <v>200007114</v>
      </c>
      <c r="B442" t="s">
        <v>365</v>
      </c>
      <c r="C442" t="s">
        <v>9</v>
      </c>
      <c r="D442" s="10" t="e">
        <f>VLOOKUP(Tabela8[[#This Row],[Cód.]],#REF!,7,0)</f>
        <v>#REF!</v>
      </c>
      <c r="E442" s="9" t="s">
        <v>2297</v>
      </c>
      <c r="F442" s="10" t="s">
        <v>2279</v>
      </c>
      <c r="G442" s="8" t="e">
        <f>VLOOKUP(Tabela8[[#This Row],[Cód.]],CENTRAL[#All],9,0)</f>
        <v>#REF!</v>
      </c>
    </row>
    <row r="443" spans="1:7" ht="16.5" thickTop="1" thickBot="1" x14ac:dyDescent="0.3">
      <c r="A443">
        <v>200006856</v>
      </c>
      <c r="B443" t="s">
        <v>366</v>
      </c>
      <c r="C443" t="s">
        <v>9</v>
      </c>
      <c r="D443" s="10" t="e">
        <f>VLOOKUP(Tabela8[[#This Row],[Cód.]],#REF!,7,0)</f>
        <v>#REF!</v>
      </c>
      <c r="E443" s="9" t="s">
        <v>2297</v>
      </c>
      <c r="F443" s="10" t="s">
        <v>2279</v>
      </c>
      <c r="G443" s="8" t="e">
        <f>VLOOKUP(Tabela8[[#This Row],[Cód.]],CENTRAL[#All],9,0)</f>
        <v>#REF!</v>
      </c>
    </row>
    <row r="444" spans="1:7" ht="16.5" thickTop="1" thickBot="1" x14ac:dyDescent="0.3">
      <c r="A444">
        <v>200006857</v>
      </c>
      <c r="B444" t="s">
        <v>367</v>
      </c>
      <c r="C444" t="s">
        <v>9</v>
      </c>
      <c r="D444" s="10" t="e">
        <f>VLOOKUP(Tabela8[[#This Row],[Cód.]],#REF!,7,0)</f>
        <v>#REF!</v>
      </c>
      <c r="E444" s="9" t="s">
        <v>2297</v>
      </c>
      <c r="F444" s="10" t="s">
        <v>2279</v>
      </c>
      <c r="G444" s="8" t="e">
        <f>VLOOKUP(Tabela8[[#This Row],[Cód.]],CENTRAL[#All],9,0)</f>
        <v>#REF!</v>
      </c>
    </row>
    <row r="445" spans="1:7" ht="16.5" thickTop="1" thickBot="1" x14ac:dyDescent="0.3">
      <c r="A445">
        <v>200000366</v>
      </c>
      <c r="B445" t="s">
        <v>404</v>
      </c>
      <c r="C445" t="s">
        <v>294</v>
      </c>
      <c r="D445" s="10" t="e">
        <f>VLOOKUP(Tabela8[[#This Row],[Cód.]],#REF!,7,0)</f>
        <v>#REF!</v>
      </c>
      <c r="E445" s="9" t="s">
        <v>2297</v>
      </c>
      <c r="F445" s="10" t="s">
        <v>2279</v>
      </c>
      <c r="G445" s="8" t="e">
        <f>VLOOKUP(Tabela8[[#This Row],[Cód.]],CENTRAL[#All],9,0)</f>
        <v>#REF!</v>
      </c>
    </row>
    <row r="446" spans="1:7" ht="16.5" thickTop="1" thickBot="1" x14ac:dyDescent="0.3">
      <c r="A446">
        <v>200005232</v>
      </c>
      <c r="B446" t="s">
        <v>406</v>
      </c>
      <c r="C446" t="s">
        <v>294</v>
      </c>
      <c r="D446" s="10" t="e">
        <f>VLOOKUP(Tabela8[[#This Row],[Cód.]],#REF!,7,0)</f>
        <v>#REF!</v>
      </c>
      <c r="E446" s="9" t="s">
        <v>2297</v>
      </c>
      <c r="F446" s="10" t="s">
        <v>2279</v>
      </c>
      <c r="G446" s="8" t="e">
        <f>VLOOKUP(Tabela8[[#This Row],[Cód.]],CENTRAL[#All],9,0)</f>
        <v>#REF!</v>
      </c>
    </row>
    <row r="447" spans="1:7" ht="16.5" thickTop="1" thickBot="1" x14ac:dyDescent="0.3">
      <c r="A447">
        <v>200002112</v>
      </c>
      <c r="B447" t="s">
        <v>418</v>
      </c>
      <c r="C447" t="s">
        <v>9</v>
      </c>
      <c r="D447" s="10" t="e">
        <f>VLOOKUP(Tabela8[[#This Row],[Cód.]],#REF!,7,0)</f>
        <v>#REF!</v>
      </c>
      <c r="E447" s="9" t="s">
        <v>2297</v>
      </c>
      <c r="F447" s="10" t="s">
        <v>2279</v>
      </c>
      <c r="G447" s="8" t="e">
        <f>VLOOKUP(Tabela8[[#This Row],[Cód.]],CENTRAL[#All],9,0)</f>
        <v>#REF!</v>
      </c>
    </row>
    <row r="448" spans="1:7" ht="16.5" thickTop="1" thickBot="1" x14ac:dyDescent="0.3">
      <c r="A448">
        <v>200002112</v>
      </c>
      <c r="B448" t="s">
        <v>418</v>
      </c>
      <c r="C448" t="s">
        <v>9</v>
      </c>
      <c r="D448" s="10" t="e">
        <f>VLOOKUP(Tabela8[[#This Row],[Cód.]],#REF!,7,0)</f>
        <v>#REF!</v>
      </c>
      <c r="E448" s="9" t="s">
        <v>2297</v>
      </c>
      <c r="F448" s="10" t="s">
        <v>2279</v>
      </c>
      <c r="G448" s="8" t="e">
        <f>VLOOKUP(Tabela8[[#This Row],[Cód.]],CENTRAL[#All],9,0)</f>
        <v>#REF!</v>
      </c>
    </row>
    <row r="449" spans="1:7" ht="16.5" thickTop="1" thickBot="1" x14ac:dyDescent="0.3">
      <c r="A449">
        <v>200006281</v>
      </c>
      <c r="B449" t="s">
        <v>427</v>
      </c>
      <c r="C449" t="s">
        <v>86</v>
      </c>
      <c r="D449" s="10" t="e">
        <f>VLOOKUP(Tabela8[[#This Row],[Cód.]],#REF!,7,0)</f>
        <v>#REF!</v>
      </c>
      <c r="E449" s="9" t="s">
        <v>2297</v>
      </c>
      <c r="F449" s="10" t="s">
        <v>2279</v>
      </c>
      <c r="G449" s="8" t="e">
        <f>VLOOKUP(Tabela8[[#This Row],[Cód.]],CENTRAL[#All],9,0)</f>
        <v>#REF!</v>
      </c>
    </row>
    <row r="450" spans="1:7" ht="16.5" thickTop="1" thickBot="1" x14ac:dyDescent="0.3">
      <c r="A450">
        <v>200002287</v>
      </c>
      <c r="B450" t="s">
        <v>434</v>
      </c>
      <c r="C450" t="s">
        <v>9</v>
      </c>
      <c r="D450" s="10" t="e">
        <f>VLOOKUP(Tabela8[[#This Row],[Cód.]],#REF!,7,0)</f>
        <v>#REF!</v>
      </c>
      <c r="E450" s="9" t="s">
        <v>2297</v>
      </c>
      <c r="F450" s="10" t="s">
        <v>2279</v>
      </c>
      <c r="G450" s="8" t="e">
        <f>VLOOKUP(Tabela8[[#This Row],[Cód.]],CENTRAL[#All],9,0)</f>
        <v>#REF!</v>
      </c>
    </row>
    <row r="451" spans="1:7" ht="16.5" thickTop="1" thickBot="1" x14ac:dyDescent="0.3">
      <c r="A451">
        <v>200005054</v>
      </c>
      <c r="B451" t="s">
        <v>444</v>
      </c>
      <c r="C451" t="s">
        <v>67</v>
      </c>
      <c r="D451" s="10" t="e">
        <f>VLOOKUP(Tabela8[[#This Row],[Cód.]],#REF!,7,0)</f>
        <v>#REF!</v>
      </c>
      <c r="E451" s="9" t="s">
        <v>2297</v>
      </c>
      <c r="F451" s="10" t="s">
        <v>2279</v>
      </c>
      <c r="G451" s="8" t="e">
        <f>VLOOKUP(Tabela8[[#This Row],[Cód.]],CENTRAL[#All],9,0)</f>
        <v>#REF!</v>
      </c>
    </row>
    <row r="452" spans="1:7" ht="16.5" thickTop="1" thickBot="1" x14ac:dyDescent="0.3">
      <c r="A452">
        <v>200004082</v>
      </c>
      <c r="B452" t="s">
        <v>446</v>
      </c>
      <c r="C452" t="s">
        <v>96</v>
      </c>
      <c r="D452" s="10" t="e">
        <f>VLOOKUP(Tabela8[[#This Row],[Cód.]],#REF!,7,0)</f>
        <v>#REF!</v>
      </c>
      <c r="E452" s="9" t="s">
        <v>2297</v>
      </c>
      <c r="F452" s="10" t="s">
        <v>2279</v>
      </c>
      <c r="G452" s="8" t="e">
        <f>VLOOKUP(Tabela8[[#This Row],[Cód.]],CENTRAL[#All],9,0)</f>
        <v>#REF!</v>
      </c>
    </row>
    <row r="453" spans="1:7" ht="16.5" thickTop="1" thickBot="1" x14ac:dyDescent="0.3">
      <c r="A453">
        <v>200000460</v>
      </c>
      <c r="B453" t="s">
        <v>544</v>
      </c>
      <c r="C453" t="s">
        <v>294</v>
      </c>
      <c r="D453" s="10" t="e">
        <f>VLOOKUP(Tabela8[[#This Row],[Cód.]],#REF!,7,0)</f>
        <v>#REF!</v>
      </c>
      <c r="E453" s="9" t="s">
        <v>2297</v>
      </c>
      <c r="F453" s="10" t="s">
        <v>2279</v>
      </c>
      <c r="G453" s="8" t="e">
        <f>VLOOKUP(Tabela8[[#This Row],[Cód.]],CENTRAL[#All],9,0)</f>
        <v>#REF!</v>
      </c>
    </row>
    <row r="454" spans="1:7" ht="16.5" thickTop="1" thickBot="1" x14ac:dyDescent="0.3">
      <c r="A454">
        <v>200001141</v>
      </c>
      <c r="B454" t="s">
        <v>600</v>
      </c>
      <c r="C454" t="s">
        <v>9</v>
      </c>
      <c r="D454" s="10" t="e">
        <f>VLOOKUP(Tabela8[[#This Row],[Cód.]],#REF!,7,0)</f>
        <v>#REF!</v>
      </c>
      <c r="E454" s="9" t="s">
        <v>2297</v>
      </c>
      <c r="F454" s="10" t="s">
        <v>2279</v>
      </c>
      <c r="G454" s="8" t="e">
        <f>VLOOKUP(Tabela8[[#This Row],[Cód.]],CENTRAL[#All],9,0)</f>
        <v>#REF!</v>
      </c>
    </row>
    <row r="455" spans="1:7" ht="16.5" thickTop="1" thickBot="1" x14ac:dyDescent="0.3">
      <c r="A455">
        <v>200003161</v>
      </c>
      <c r="B455" t="s">
        <v>601</v>
      </c>
      <c r="C455" t="s">
        <v>9</v>
      </c>
      <c r="D455" s="10" t="e">
        <f>VLOOKUP(Tabela8[[#This Row],[Cód.]],#REF!,7,0)</f>
        <v>#REF!</v>
      </c>
      <c r="E455" s="9" t="s">
        <v>2297</v>
      </c>
      <c r="F455" s="10" t="s">
        <v>2279</v>
      </c>
      <c r="G455" s="8" t="e">
        <f>VLOOKUP(Tabela8[[#This Row],[Cód.]],CENTRAL[#All],9,0)</f>
        <v>#REF!</v>
      </c>
    </row>
    <row r="456" spans="1:7" ht="16.5" thickTop="1" thickBot="1" x14ac:dyDescent="0.3">
      <c r="A456">
        <v>200002115</v>
      </c>
      <c r="B456" t="s">
        <v>605</v>
      </c>
      <c r="C456" t="s">
        <v>546</v>
      </c>
      <c r="D456" s="10" t="e">
        <f>VLOOKUP(Tabela8[[#This Row],[Cód.]],#REF!,7,0)</f>
        <v>#REF!</v>
      </c>
      <c r="E456" s="9" t="s">
        <v>2297</v>
      </c>
      <c r="F456" s="10" t="s">
        <v>2279</v>
      </c>
      <c r="G456" s="8" t="e">
        <f>VLOOKUP(Tabela8[[#This Row],[Cód.]],CENTRAL[#All],9,0)</f>
        <v>#REF!</v>
      </c>
    </row>
    <row r="457" spans="1:7" ht="16.5" thickTop="1" thickBot="1" x14ac:dyDescent="0.3">
      <c r="A457">
        <v>200005046</v>
      </c>
      <c r="B457" t="s">
        <v>685</v>
      </c>
      <c r="C457" t="s">
        <v>9</v>
      </c>
      <c r="D457" s="10" t="e">
        <f>VLOOKUP(Tabela8[[#This Row],[Cód.]],#REF!,7,0)</f>
        <v>#REF!</v>
      </c>
      <c r="E457" s="9" t="s">
        <v>2297</v>
      </c>
      <c r="F457" s="10" t="s">
        <v>2279</v>
      </c>
      <c r="G457" s="8" t="e">
        <f>VLOOKUP(Tabela8[[#This Row],[Cód.]],CENTRAL[#All],9,0)</f>
        <v>#REF!</v>
      </c>
    </row>
    <row r="458" spans="1:7" ht="15.75" thickTop="1" x14ac:dyDescent="0.25">
      <c r="A458">
        <v>200006756</v>
      </c>
      <c r="B458" t="s">
        <v>690</v>
      </c>
      <c r="C458" t="s">
        <v>9</v>
      </c>
      <c r="D458" s="10" t="e">
        <f>VLOOKUP(Tabela8[[#This Row],[Cód.]],#REF!,7,0)</f>
        <v>#REF!</v>
      </c>
      <c r="E458" s="9" t="s">
        <v>2297</v>
      </c>
      <c r="F458" s="10" t="s">
        <v>2279</v>
      </c>
      <c r="G458" s="8" t="e">
        <f>VLOOKUP(Tabela8[[#This Row],[Cód.]],CENTRAL[#All],9,0)</f>
        <v>#REF!</v>
      </c>
    </row>
    <row r="459" spans="1:7" ht="15.75" thickBot="1" x14ac:dyDescent="0.3">
      <c r="A459">
        <v>200006972</v>
      </c>
      <c r="B459" t="s">
        <v>783</v>
      </c>
      <c r="C459" t="s">
        <v>9</v>
      </c>
      <c r="D459" s="10" t="e">
        <f>VLOOKUP(Tabela8[[#This Row],[Cód.]],#REF!,7,0)</f>
        <v>#REF!</v>
      </c>
      <c r="E459" s="10" t="s">
        <v>2297</v>
      </c>
      <c r="F459" s="10" t="s">
        <v>2279</v>
      </c>
      <c r="G459" s="8" t="e">
        <f>VLOOKUP(Tabela8[[#This Row],[Cód.]],CENTRAL[#All],9,0)</f>
        <v>#REF!</v>
      </c>
    </row>
    <row r="460" spans="1:7" ht="16.5" thickTop="1" thickBot="1" x14ac:dyDescent="0.3">
      <c r="A460">
        <v>200006318</v>
      </c>
      <c r="B460" t="s">
        <v>784</v>
      </c>
      <c r="C460" t="s">
        <v>63</v>
      </c>
      <c r="D460" s="10" t="e">
        <f>VLOOKUP(Tabela8[[#This Row],[Cód.]],#REF!,7,0)</f>
        <v>#REF!</v>
      </c>
      <c r="E460" s="9" t="s">
        <v>2297</v>
      </c>
      <c r="F460" s="10" t="s">
        <v>2279</v>
      </c>
      <c r="G460" s="8" t="e">
        <f>VLOOKUP(Tabela8[[#This Row],[Cód.]],CENTRAL[#All],9,0)</f>
        <v>#REF!</v>
      </c>
    </row>
    <row r="461" spans="1:7" ht="15.75" thickTop="1" x14ac:dyDescent="0.25">
      <c r="A461">
        <v>200003965</v>
      </c>
      <c r="B461" t="s">
        <v>834</v>
      </c>
      <c r="C461" t="s">
        <v>86</v>
      </c>
      <c r="D461" s="10" t="e">
        <f>VLOOKUP(Tabela8[[#This Row],[Cód.]],#REF!,7,0)</f>
        <v>#REF!</v>
      </c>
      <c r="E461" s="9" t="s">
        <v>2297</v>
      </c>
      <c r="F461" s="10" t="s">
        <v>2279</v>
      </c>
      <c r="G461" s="8" t="e">
        <f>VLOOKUP(Tabela8[[#This Row],[Cód.]],CENTRAL[#All],9,0)</f>
        <v>#REF!</v>
      </c>
    </row>
    <row r="462" spans="1:7" ht="15.75" thickBot="1" x14ac:dyDescent="0.3">
      <c r="A462">
        <v>200000610</v>
      </c>
      <c r="B462" t="s">
        <v>862</v>
      </c>
      <c r="C462" t="s">
        <v>9</v>
      </c>
      <c r="D462" s="10" t="e">
        <f>VLOOKUP(Tabela8[[#This Row],[Cód.]],#REF!,7,0)</f>
        <v>#REF!</v>
      </c>
      <c r="E462" s="10" t="s">
        <v>2297</v>
      </c>
      <c r="F462" s="10" t="s">
        <v>2279</v>
      </c>
      <c r="G462" s="8" t="e">
        <f>VLOOKUP(Tabela8[[#This Row],[Cód.]],CENTRAL[#All],9,0)</f>
        <v>#REF!</v>
      </c>
    </row>
    <row r="463" spans="1:7" ht="16.5" thickTop="1" thickBot="1" x14ac:dyDescent="0.3">
      <c r="A463">
        <v>200001011</v>
      </c>
      <c r="B463" t="s">
        <v>880</v>
      </c>
      <c r="C463" t="s">
        <v>9</v>
      </c>
      <c r="D463" s="10" t="e">
        <f>VLOOKUP(Tabela8[[#This Row],[Cód.]],#REF!,7,0)</f>
        <v>#REF!</v>
      </c>
      <c r="E463" s="9" t="s">
        <v>2297</v>
      </c>
      <c r="F463" s="10" t="s">
        <v>2279</v>
      </c>
      <c r="G463" s="8" t="e">
        <f>VLOOKUP(Tabela8[[#This Row],[Cód.]],CENTRAL[#All],9,0)</f>
        <v>#REF!</v>
      </c>
    </row>
    <row r="464" spans="1:7" ht="16.5" thickTop="1" thickBot="1" x14ac:dyDescent="0.3">
      <c r="A464">
        <v>200001837</v>
      </c>
      <c r="B464" t="s">
        <v>1143</v>
      </c>
      <c r="C464" t="s">
        <v>9</v>
      </c>
      <c r="D464" s="10" t="e">
        <f>VLOOKUP(Tabela8[[#This Row],[Cód.]],#REF!,7,0)</f>
        <v>#REF!</v>
      </c>
      <c r="E464" s="9" t="s">
        <v>2297</v>
      </c>
      <c r="F464" s="10" t="s">
        <v>2279</v>
      </c>
      <c r="G464" s="8" t="e">
        <f>VLOOKUP(Tabela8[[#This Row],[Cód.]],CENTRAL[#All],9,0)</f>
        <v>#REF!</v>
      </c>
    </row>
    <row r="465" spans="1:7" ht="16.5" thickTop="1" thickBot="1" x14ac:dyDescent="0.3">
      <c r="A465">
        <v>200001837</v>
      </c>
      <c r="B465" t="s">
        <v>1143</v>
      </c>
      <c r="C465" t="s">
        <v>9</v>
      </c>
      <c r="D465" s="10" t="e">
        <f>VLOOKUP(Tabela8[[#This Row],[Cód.]],#REF!,7,0)</f>
        <v>#REF!</v>
      </c>
      <c r="E465" s="9" t="s">
        <v>2297</v>
      </c>
      <c r="F465" s="10" t="s">
        <v>2279</v>
      </c>
      <c r="G465" s="8" t="e">
        <f>VLOOKUP(Tabela8[[#This Row],[Cód.]],CENTRAL[#All],9,0)</f>
        <v>#REF!</v>
      </c>
    </row>
    <row r="466" spans="1:7" ht="16.5" thickTop="1" thickBot="1" x14ac:dyDescent="0.3">
      <c r="A466">
        <v>200003129</v>
      </c>
      <c r="B466" t="s">
        <v>1111</v>
      </c>
      <c r="C466" t="s">
        <v>9</v>
      </c>
      <c r="D466" s="10" t="e">
        <f>VLOOKUP(Tabela8[[#This Row],[Cód.]],#REF!,7,0)</f>
        <v>#REF!</v>
      </c>
      <c r="E466" s="9" t="s">
        <v>2298</v>
      </c>
      <c r="F466" s="10" t="s">
        <v>2279</v>
      </c>
      <c r="G466" s="8" t="e">
        <f>VLOOKUP(Tabela8[[#This Row],[Cód.]],CENTRAL[#All],9,0)</f>
        <v>#REF!</v>
      </c>
    </row>
    <row r="467" spans="1:7" ht="16.5" thickTop="1" thickBot="1" x14ac:dyDescent="0.3">
      <c r="A467">
        <v>200006043</v>
      </c>
      <c r="B467" t="s">
        <v>10</v>
      </c>
      <c r="C467" t="s">
        <v>9</v>
      </c>
      <c r="D467" s="10" t="e">
        <f>VLOOKUP(Tabela8[[#This Row],[Cód.]],#REF!,7,0)</f>
        <v>#REF!</v>
      </c>
      <c r="E467" s="9"/>
      <c r="F467" s="10"/>
      <c r="G467" s="8" t="e">
        <f>VLOOKUP(Tabela8[[#This Row],[Cód.]],CENTRAL[#All],9,0)</f>
        <v>#REF!</v>
      </c>
    </row>
    <row r="468" spans="1:7" ht="16.5" thickTop="1" thickBot="1" x14ac:dyDescent="0.3">
      <c r="A468">
        <v>200006966</v>
      </c>
      <c r="B468" t="s">
        <v>14</v>
      </c>
      <c r="C468" t="s">
        <v>9</v>
      </c>
      <c r="D468" s="10" t="e">
        <f>VLOOKUP(Tabela8[[#This Row],[Cód.]],#REF!,7,0)</f>
        <v>#REF!</v>
      </c>
      <c r="E468" s="9"/>
      <c r="F468" s="10"/>
      <c r="G468" s="8" t="e">
        <f>VLOOKUP(Tabela8[[#This Row],[Cód.]],CENTRAL[#All],9,0)</f>
        <v>#REF!</v>
      </c>
    </row>
    <row r="469" spans="1:7" ht="16.5" thickTop="1" thickBot="1" x14ac:dyDescent="0.3">
      <c r="A469">
        <v>200001007</v>
      </c>
      <c r="B469" t="s">
        <v>15</v>
      </c>
      <c r="C469" t="s">
        <v>9</v>
      </c>
      <c r="D469" s="10" t="e">
        <f>VLOOKUP(Tabela8[[#This Row],[Cód.]],#REF!,7,0)</f>
        <v>#REF!</v>
      </c>
      <c r="E469" s="9"/>
      <c r="F469" s="10"/>
      <c r="G469" s="8" t="e">
        <f>VLOOKUP(Tabela8[[#This Row],[Cód.]],CENTRAL[#All],9,0)</f>
        <v>#REF!</v>
      </c>
    </row>
    <row r="470" spans="1:7" ht="16.5" thickTop="1" thickBot="1" x14ac:dyDescent="0.3">
      <c r="A470">
        <v>200006424</v>
      </c>
      <c r="B470" t="s">
        <v>17</v>
      </c>
      <c r="C470" t="s">
        <v>9</v>
      </c>
      <c r="D470" s="10" t="e">
        <f>VLOOKUP(Tabela8[[#This Row],[Cód.]],#REF!,7,0)</f>
        <v>#REF!</v>
      </c>
      <c r="E470" s="9"/>
      <c r="F470" s="10"/>
      <c r="G470" s="8" t="e">
        <f>VLOOKUP(Tabela8[[#This Row],[Cód.]],CENTRAL[#All],9,0)</f>
        <v>#REF!</v>
      </c>
    </row>
    <row r="471" spans="1:7" ht="16.5" thickTop="1" thickBot="1" x14ac:dyDescent="0.3">
      <c r="A471">
        <v>200006425</v>
      </c>
      <c r="B471" t="s">
        <v>18</v>
      </c>
      <c r="C471" t="s">
        <v>9</v>
      </c>
      <c r="D471" s="10" t="e">
        <f>VLOOKUP(Tabela8[[#This Row],[Cód.]],#REF!,7,0)</f>
        <v>#REF!</v>
      </c>
      <c r="E471" s="9"/>
      <c r="F471" s="10"/>
      <c r="G471" s="8" t="e">
        <f>VLOOKUP(Tabela8[[#This Row],[Cód.]],CENTRAL[#All],9,0)</f>
        <v>#REF!</v>
      </c>
    </row>
    <row r="472" spans="1:7" ht="16.5" thickTop="1" thickBot="1" x14ac:dyDescent="0.3">
      <c r="A472">
        <v>200001907</v>
      </c>
      <c r="B472" t="s">
        <v>19</v>
      </c>
      <c r="C472" t="s">
        <v>9</v>
      </c>
      <c r="D472" s="10" t="e">
        <f>VLOOKUP(Tabela8[[#This Row],[Cód.]],#REF!,7,0)</f>
        <v>#REF!</v>
      </c>
      <c r="E472" s="9"/>
      <c r="F472" s="10"/>
      <c r="G472" s="8" t="e">
        <f>VLOOKUP(Tabela8[[#This Row],[Cód.]],CENTRAL[#All],9,0)</f>
        <v>#REF!</v>
      </c>
    </row>
    <row r="473" spans="1:7" ht="16.5" thickTop="1" thickBot="1" x14ac:dyDescent="0.3">
      <c r="A473">
        <v>200000012</v>
      </c>
      <c r="B473" t="s">
        <v>21</v>
      </c>
      <c r="C473" t="s">
        <v>9</v>
      </c>
      <c r="D473" s="10" t="e">
        <f>VLOOKUP(Tabela8[[#This Row],[Cód.]],#REF!,7,0)</f>
        <v>#REF!</v>
      </c>
      <c r="E473" s="9"/>
      <c r="F473" s="10"/>
      <c r="G473" s="8" t="e">
        <f>VLOOKUP(Tabela8[[#This Row],[Cód.]],CENTRAL[#All],9,0)</f>
        <v>#REF!</v>
      </c>
    </row>
    <row r="474" spans="1:7" ht="16.5" thickTop="1" thickBot="1" x14ac:dyDescent="0.3">
      <c r="A474">
        <v>200000013</v>
      </c>
      <c r="B474" t="s">
        <v>22</v>
      </c>
      <c r="C474" t="s">
        <v>9</v>
      </c>
      <c r="D474" s="10" t="e">
        <f>VLOOKUP(Tabela8[[#This Row],[Cód.]],#REF!,7,0)</f>
        <v>#REF!</v>
      </c>
      <c r="E474" s="9"/>
      <c r="F474" s="10"/>
      <c r="G474" s="8" t="e">
        <f>VLOOKUP(Tabela8[[#This Row],[Cód.]],CENTRAL[#All],9,0)</f>
        <v>#REF!</v>
      </c>
    </row>
    <row r="475" spans="1:7" ht="16.5" thickTop="1" thickBot="1" x14ac:dyDescent="0.3">
      <c r="A475">
        <v>200000014</v>
      </c>
      <c r="B475" t="s">
        <v>23</v>
      </c>
      <c r="C475" t="s">
        <v>9</v>
      </c>
      <c r="D475" s="10" t="e">
        <f>VLOOKUP(Tabela8[[#This Row],[Cód.]],#REF!,7,0)</f>
        <v>#REF!</v>
      </c>
      <c r="E475" s="9"/>
      <c r="F475" s="10"/>
      <c r="G475" s="8" t="e">
        <f>VLOOKUP(Tabela8[[#This Row],[Cód.]],CENTRAL[#All],9,0)</f>
        <v>#REF!</v>
      </c>
    </row>
    <row r="476" spans="1:7" ht="16.5" thickTop="1" thickBot="1" x14ac:dyDescent="0.3">
      <c r="A476">
        <v>200005722</v>
      </c>
      <c r="B476" t="s">
        <v>25</v>
      </c>
      <c r="C476" t="s">
        <v>9</v>
      </c>
      <c r="D476" s="10" t="e">
        <f>VLOOKUP(Tabela8[[#This Row],[Cód.]],#REF!,7,0)</f>
        <v>#REF!</v>
      </c>
      <c r="E476" s="9"/>
      <c r="F476" s="10"/>
      <c r="G476" s="8" t="e">
        <f>VLOOKUP(Tabela8[[#This Row],[Cód.]],CENTRAL[#All],9,0)</f>
        <v>#REF!</v>
      </c>
    </row>
    <row r="477" spans="1:7" ht="16.5" thickTop="1" thickBot="1" x14ac:dyDescent="0.3">
      <c r="A477">
        <v>200006044</v>
      </c>
      <c r="B477" t="s">
        <v>26</v>
      </c>
      <c r="C477" t="s">
        <v>9</v>
      </c>
      <c r="D477" s="10" t="e">
        <f>VLOOKUP(Tabela8[[#This Row],[Cód.]],#REF!,7,0)</f>
        <v>#REF!</v>
      </c>
      <c r="E477" s="9"/>
      <c r="F477" s="10"/>
      <c r="G477" s="8" t="e">
        <f>VLOOKUP(Tabela8[[#This Row],[Cód.]],CENTRAL[#All],9,0)</f>
        <v>#REF!</v>
      </c>
    </row>
    <row r="478" spans="1:7" ht="16.5" thickTop="1" thickBot="1" x14ac:dyDescent="0.3">
      <c r="A478">
        <v>200003630</v>
      </c>
      <c r="B478" t="s">
        <v>27</v>
      </c>
      <c r="C478" t="s">
        <v>9</v>
      </c>
      <c r="D478" s="10" t="e">
        <f>VLOOKUP(Tabela8[[#This Row],[Cód.]],#REF!,7,0)</f>
        <v>#REF!</v>
      </c>
      <c r="E478" s="9"/>
      <c r="F478" s="10"/>
      <c r="G478" s="8" t="e">
        <f>VLOOKUP(Tabela8[[#This Row],[Cód.]],CENTRAL[#All],9,0)</f>
        <v>#REF!</v>
      </c>
    </row>
    <row r="479" spans="1:7" ht="16.5" thickTop="1" thickBot="1" x14ac:dyDescent="0.3">
      <c r="A479">
        <v>200003631</v>
      </c>
      <c r="B479" t="s">
        <v>28</v>
      </c>
      <c r="C479" t="s">
        <v>9</v>
      </c>
      <c r="D479" s="10" t="e">
        <f>VLOOKUP(Tabela8[[#This Row],[Cód.]],#REF!,7,0)</f>
        <v>#REF!</v>
      </c>
      <c r="E479" s="9"/>
      <c r="F479" s="10"/>
      <c r="G479" s="8" t="e">
        <f>VLOOKUP(Tabela8[[#This Row],[Cód.]],CENTRAL[#All],9,0)</f>
        <v>#REF!</v>
      </c>
    </row>
    <row r="480" spans="1:7" ht="16.5" thickTop="1" thickBot="1" x14ac:dyDescent="0.3">
      <c r="A480">
        <v>200003632</v>
      </c>
      <c r="B480" t="s">
        <v>29</v>
      </c>
      <c r="C480" t="s">
        <v>9</v>
      </c>
      <c r="D480" s="10" t="e">
        <f>VLOOKUP(Tabela8[[#This Row],[Cód.]],#REF!,7,0)</f>
        <v>#REF!</v>
      </c>
      <c r="E480" s="9"/>
      <c r="F480" s="10"/>
      <c r="G480" s="8" t="e">
        <f>VLOOKUP(Tabela8[[#This Row],[Cód.]],CENTRAL[#All],9,0)</f>
        <v>#REF!</v>
      </c>
    </row>
    <row r="481" spans="1:7" ht="16.5" thickTop="1" thickBot="1" x14ac:dyDescent="0.3">
      <c r="A481">
        <v>200003633</v>
      </c>
      <c r="B481" t="s">
        <v>30</v>
      </c>
      <c r="C481" t="s">
        <v>9</v>
      </c>
      <c r="D481" s="10" t="e">
        <f>VLOOKUP(Tabela8[[#This Row],[Cód.]],#REF!,7,0)</f>
        <v>#REF!</v>
      </c>
      <c r="E481" s="9"/>
      <c r="F481" s="10"/>
      <c r="G481" s="8" t="e">
        <f>VLOOKUP(Tabela8[[#This Row],[Cód.]],CENTRAL[#All],9,0)</f>
        <v>#REF!</v>
      </c>
    </row>
    <row r="482" spans="1:7" ht="16.5" thickTop="1" thickBot="1" x14ac:dyDescent="0.3">
      <c r="A482">
        <v>200000201</v>
      </c>
      <c r="B482" t="s">
        <v>38</v>
      </c>
      <c r="C482" t="s">
        <v>9</v>
      </c>
      <c r="D482" s="10" t="e">
        <f>VLOOKUP(Tabela8[[#This Row],[Cód.]],#REF!,7,0)</f>
        <v>#REF!</v>
      </c>
      <c r="E482" s="9"/>
      <c r="F482" s="10"/>
      <c r="G482" s="8" t="e">
        <f>VLOOKUP(Tabela8[[#This Row],[Cód.]],CENTRAL[#All],9,0)</f>
        <v>#REF!</v>
      </c>
    </row>
    <row r="483" spans="1:7" ht="16.5" thickTop="1" thickBot="1" x14ac:dyDescent="0.3">
      <c r="A483">
        <v>200001357</v>
      </c>
      <c r="B483" t="s">
        <v>39</v>
      </c>
      <c r="C483" t="s">
        <v>9</v>
      </c>
      <c r="D483" s="10" t="e">
        <f>VLOOKUP(Tabela8[[#This Row],[Cód.]],#REF!,7,0)</f>
        <v>#REF!</v>
      </c>
      <c r="E483" s="9"/>
      <c r="F483" s="10"/>
      <c r="G483" s="8" t="e">
        <f>VLOOKUP(Tabela8[[#This Row],[Cód.]],CENTRAL[#All],9,0)</f>
        <v>#REF!</v>
      </c>
    </row>
    <row r="484" spans="1:7" ht="16.5" thickTop="1" thickBot="1" x14ac:dyDescent="0.3">
      <c r="A484">
        <v>200001008</v>
      </c>
      <c r="B484" t="s">
        <v>40</v>
      </c>
      <c r="C484" t="s">
        <v>9</v>
      </c>
      <c r="D484" s="10" t="e">
        <f>VLOOKUP(Tabela8[[#This Row],[Cód.]],#REF!,7,0)</f>
        <v>#REF!</v>
      </c>
      <c r="E484" s="9"/>
      <c r="F484" s="10"/>
      <c r="G484" s="8" t="e">
        <f>VLOOKUP(Tabela8[[#This Row],[Cód.]],CENTRAL[#All],9,0)</f>
        <v>#REF!</v>
      </c>
    </row>
    <row r="485" spans="1:7" ht="16.5" thickTop="1" thickBot="1" x14ac:dyDescent="0.3">
      <c r="A485">
        <v>200001356</v>
      </c>
      <c r="B485" t="s">
        <v>41</v>
      </c>
      <c r="C485" t="s">
        <v>9</v>
      </c>
      <c r="D485" s="10" t="e">
        <f>VLOOKUP(Tabela8[[#This Row],[Cód.]],#REF!,7,0)</f>
        <v>#REF!</v>
      </c>
      <c r="E485" s="9"/>
      <c r="F485" s="10"/>
      <c r="G485" s="8" t="e">
        <f>VLOOKUP(Tabela8[[#This Row],[Cód.]],CENTRAL[#All],9,0)</f>
        <v>#REF!</v>
      </c>
    </row>
    <row r="486" spans="1:7" ht="16.5" thickTop="1" thickBot="1" x14ac:dyDescent="0.3">
      <c r="A486">
        <v>200001358</v>
      </c>
      <c r="B486" t="s">
        <v>42</v>
      </c>
      <c r="C486" t="s">
        <v>9</v>
      </c>
      <c r="D486" s="10" t="e">
        <f>VLOOKUP(Tabela8[[#This Row],[Cód.]],#REF!,7,0)</f>
        <v>#REF!</v>
      </c>
      <c r="E486" s="9"/>
      <c r="F486" s="10"/>
      <c r="G486" s="8" t="e">
        <f>VLOOKUP(Tabela8[[#This Row],[Cód.]],CENTRAL[#All],9,0)</f>
        <v>#REF!</v>
      </c>
    </row>
    <row r="487" spans="1:7" ht="16.5" thickTop="1" thickBot="1" x14ac:dyDescent="0.3">
      <c r="A487">
        <v>200005244</v>
      </c>
      <c r="B487" t="s">
        <v>43</v>
      </c>
      <c r="C487" t="s">
        <v>9</v>
      </c>
      <c r="D487" s="10" t="e">
        <f>VLOOKUP(Tabela8[[#This Row],[Cód.]],#REF!,7,0)</f>
        <v>#REF!</v>
      </c>
      <c r="E487" s="9"/>
      <c r="F487" s="10"/>
      <c r="G487" s="8" t="e">
        <f>VLOOKUP(Tabela8[[#This Row],[Cód.]],CENTRAL[#All],9,0)</f>
        <v>#REF!</v>
      </c>
    </row>
    <row r="488" spans="1:7" ht="16.5" thickTop="1" thickBot="1" x14ac:dyDescent="0.3">
      <c r="A488">
        <v>200005243</v>
      </c>
      <c r="B488" t="s">
        <v>45</v>
      </c>
      <c r="C488" t="s">
        <v>9</v>
      </c>
      <c r="D488" s="10" t="e">
        <f>VLOOKUP(Tabela8[[#This Row],[Cód.]],#REF!,7,0)</f>
        <v>#REF!</v>
      </c>
      <c r="E488" s="9"/>
      <c r="F488" s="10"/>
      <c r="G488" s="8" t="e">
        <f>VLOOKUP(Tabela8[[#This Row],[Cód.]],CENTRAL[#All],9,0)</f>
        <v>#REF!</v>
      </c>
    </row>
    <row r="489" spans="1:7" ht="16.5" thickTop="1" thickBot="1" x14ac:dyDescent="0.3">
      <c r="A489">
        <v>200004086</v>
      </c>
      <c r="B489" t="s">
        <v>46</v>
      </c>
      <c r="C489" t="s">
        <v>9</v>
      </c>
      <c r="D489" s="10" t="e">
        <f>VLOOKUP(Tabela8[[#This Row],[Cód.]],#REF!,7,0)</f>
        <v>#REF!</v>
      </c>
      <c r="E489" s="9"/>
      <c r="F489" s="10"/>
      <c r="G489" s="8" t="e">
        <f>VLOOKUP(Tabela8[[#This Row],[Cód.]],CENTRAL[#All],9,0)</f>
        <v>#REF!</v>
      </c>
    </row>
    <row r="490" spans="1:7" ht="16.5" thickTop="1" thickBot="1" x14ac:dyDescent="0.3">
      <c r="A490">
        <v>200001913</v>
      </c>
      <c r="B490" t="s">
        <v>50</v>
      </c>
      <c r="C490" t="s">
        <v>9</v>
      </c>
      <c r="D490" s="10" t="e">
        <f>VLOOKUP(Tabela8[[#This Row],[Cód.]],#REF!,7,0)</f>
        <v>#REF!</v>
      </c>
      <c r="E490" s="9"/>
      <c r="F490" s="10"/>
      <c r="G490" s="8" t="e">
        <f>VLOOKUP(Tabela8[[#This Row],[Cód.]],CENTRAL[#All],9,0)</f>
        <v>#REF!</v>
      </c>
    </row>
    <row r="491" spans="1:7" ht="16.5" thickTop="1" thickBot="1" x14ac:dyDescent="0.3">
      <c r="A491">
        <v>200004951</v>
      </c>
      <c r="B491" t="s">
        <v>55</v>
      </c>
      <c r="C491" t="s">
        <v>9</v>
      </c>
      <c r="D491" s="10" t="e">
        <f>VLOOKUP(Tabela8[[#This Row],[Cód.]],#REF!,7,0)</f>
        <v>#REF!</v>
      </c>
      <c r="E491" s="9"/>
      <c r="F491" s="10"/>
      <c r="G491" s="8" t="e">
        <f>VLOOKUP(Tabela8[[#This Row],[Cód.]],CENTRAL[#All],9,0)</f>
        <v>#REF!</v>
      </c>
    </row>
    <row r="492" spans="1:7" ht="16.5" thickTop="1" thickBot="1" x14ac:dyDescent="0.3">
      <c r="A492">
        <v>200004952</v>
      </c>
      <c r="B492" t="s">
        <v>56</v>
      </c>
      <c r="C492" t="s">
        <v>9</v>
      </c>
      <c r="D492" s="10" t="e">
        <f>VLOOKUP(Tabela8[[#This Row],[Cód.]],#REF!,7,0)</f>
        <v>#REF!</v>
      </c>
      <c r="E492" s="9"/>
      <c r="F492" s="10"/>
      <c r="G492" s="8" t="e">
        <f>VLOOKUP(Tabela8[[#This Row],[Cód.]],CENTRAL[#All],9,0)</f>
        <v>#REF!</v>
      </c>
    </row>
    <row r="493" spans="1:7" ht="16.5" thickTop="1" thickBot="1" x14ac:dyDescent="0.3">
      <c r="A493">
        <v>200003583</v>
      </c>
      <c r="B493" t="s">
        <v>60</v>
      </c>
      <c r="C493" t="s">
        <v>9</v>
      </c>
      <c r="D493" s="10" t="e">
        <f>VLOOKUP(Tabela8[[#This Row],[Cód.]],#REF!,7,0)</f>
        <v>#REF!</v>
      </c>
      <c r="E493" s="9"/>
      <c r="F493" s="10"/>
      <c r="G493" s="8" t="e">
        <f>VLOOKUP(Tabela8[[#This Row],[Cód.]],CENTRAL[#All],9,0)</f>
        <v>#REF!</v>
      </c>
    </row>
    <row r="494" spans="1:7" ht="16.5" thickTop="1" thickBot="1" x14ac:dyDescent="0.3">
      <c r="A494">
        <v>200003702</v>
      </c>
      <c r="B494" t="s">
        <v>61</v>
      </c>
      <c r="C494" t="s">
        <v>9</v>
      </c>
      <c r="D494" s="10" t="e">
        <f>VLOOKUP(Tabela8[[#This Row],[Cód.]],#REF!,7,0)</f>
        <v>#REF!</v>
      </c>
      <c r="E494" s="9"/>
      <c r="F494" s="10"/>
      <c r="G494" s="8" t="e">
        <f>VLOOKUP(Tabela8[[#This Row],[Cód.]],CENTRAL[#All],9,0)</f>
        <v>#REF!</v>
      </c>
    </row>
    <row r="495" spans="1:7" ht="16.5" thickTop="1" thickBot="1" x14ac:dyDescent="0.3">
      <c r="A495">
        <v>200002120</v>
      </c>
      <c r="B495" t="s">
        <v>64</v>
      </c>
      <c r="C495" t="s">
        <v>9</v>
      </c>
      <c r="D495" s="10" t="e">
        <f>VLOOKUP(Tabela8[[#This Row],[Cód.]],#REF!,7,0)</f>
        <v>#REF!</v>
      </c>
      <c r="E495" s="9"/>
      <c r="F495" s="10"/>
      <c r="G495" s="8" t="e">
        <f>VLOOKUP(Tabela8[[#This Row],[Cód.]],CENTRAL[#All],9,0)</f>
        <v>#REF!</v>
      </c>
    </row>
    <row r="496" spans="1:7" ht="16.5" thickTop="1" thickBot="1" x14ac:dyDescent="0.3">
      <c r="A496">
        <v>200007186</v>
      </c>
      <c r="B496" t="s">
        <v>69</v>
      </c>
      <c r="C496" t="s">
        <v>9</v>
      </c>
      <c r="D496" s="10" t="e">
        <f>VLOOKUP(Tabela8[[#This Row],[Cód.]],#REF!,7,0)</f>
        <v>#REF!</v>
      </c>
      <c r="E496" s="9"/>
      <c r="F496" s="10"/>
      <c r="G496" s="8" t="e">
        <f>VLOOKUP(Tabela8[[#This Row],[Cód.]],CENTRAL[#All],9,0)</f>
        <v>#REF!</v>
      </c>
    </row>
    <row r="497" spans="1:7" ht="16.5" thickTop="1" thickBot="1" x14ac:dyDescent="0.3">
      <c r="A497">
        <v>200006872</v>
      </c>
      <c r="B497" t="s">
        <v>70</v>
      </c>
      <c r="C497" t="s">
        <v>9</v>
      </c>
      <c r="D497" s="10" t="e">
        <f>VLOOKUP(Tabela8[[#This Row],[Cód.]],#REF!,7,0)</f>
        <v>#REF!</v>
      </c>
      <c r="E497" s="9"/>
      <c r="F497" s="10"/>
      <c r="G497" s="8" t="e">
        <f>VLOOKUP(Tabela8[[#This Row],[Cód.]],CENTRAL[#All],9,0)</f>
        <v>#REF!</v>
      </c>
    </row>
    <row r="498" spans="1:7" ht="16.5" thickTop="1" thickBot="1" x14ac:dyDescent="0.3">
      <c r="A498">
        <v>200006374</v>
      </c>
      <c r="B498" t="s">
        <v>72</v>
      </c>
      <c r="C498" t="s">
        <v>9</v>
      </c>
      <c r="D498" s="10" t="e">
        <f>VLOOKUP(Tabela8[[#This Row],[Cód.]],#REF!,7,0)</f>
        <v>#REF!</v>
      </c>
      <c r="E498" s="9"/>
      <c r="F498" s="10"/>
      <c r="G498" s="8" t="e">
        <f>VLOOKUP(Tabela8[[#This Row],[Cód.]],CENTRAL[#All],9,0)</f>
        <v>#REF!</v>
      </c>
    </row>
    <row r="499" spans="1:7" ht="16.5" thickTop="1" thickBot="1" x14ac:dyDescent="0.3">
      <c r="A499">
        <v>200007187</v>
      </c>
      <c r="B499" t="s">
        <v>73</v>
      </c>
      <c r="C499" t="s">
        <v>9</v>
      </c>
      <c r="D499" s="10" t="e">
        <f>VLOOKUP(Tabela8[[#This Row],[Cód.]],#REF!,7,0)</f>
        <v>#REF!</v>
      </c>
      <c r="E499" s="9"/>
      <c r="F499" s="10"/>
      <c r="G499" s="8" t="e">
        <f>VLOOKUP(Tabela8[[#This Row],[Cód.]],CENTRAL[#All],9,0)</f>
        <v>#REF!</v>
      </c>
    </row>
    <row r="500" spans="1:7" ht="16.5" thickTop="1" thickBot="1" x14ac:dyDescent="0.3">
      <c r="A500">
        <v>200001571</v>
      </c>
      <c r="B500" t="s">
        <v>79</v>
      </c>
      <c r="C500" t="s">
        <v>9</v>
      </c>
      <c r="D500" s="10" t="e">
        <f>VLOOKUP(Tabela8[[#This Row],[Cód.]],#REF!,7,0)</f>
        <v>#REF!</v>
      </c>
      <c r="E500" s="9"/>
      <c r="F500" s="10"/>
      <c r="G500" s="8" t="e">
        <f>VLOOKUP(Tabela8[[#This Row],[Cód.]],CENTRAL[#All],9,0)</f>
        <v>#REF!</v>
      </c>
    </row>
    <row r="501" spans="1:7" ht="16.5" thickTop="1" thickBot="1" x14ac:dyDescent="0.3">
      <c r="A501">
        <v>200004234</v>
      </c>
      <c r="B501" t="s">
        <v>81</v>
      </c>
      <c r="C501" t="s">
        <v>82</v>
      </c>
      <c r="D501" s="10" t="e">
        <f>VLOOKUP(Tabela8[[#This Row],[Cód.]],#REF!,7,0)</f>
        <v>#REF!</v>
      </c>
      <c r="E501" s="9"/>
      <c r="F501" s="10"/>
      <c r="G501" s="8" t="e">
        <f>VLOOKUP(Tabela8[[#This Row],[Cód.]],CENTRAL[#All],9,0)</f>
        <v>#REF!</v>
      </c>
    </row>
    <row r="502" spans="1:7" ht="16.5" thickTop="1" thickBot="1" x14ac:dyDescent="0.3">
      <c r="A502">
        <v>200002106</v>
      </c>
      <c r="B502" t="s">
        <v>83</v>
      </c>
      <c r="C502" t="s">
        <v>9</v>
      </c>
      <c r="D502" s="10" t="e">
        <f>VLOOKUP(Tabela8[[#This Row],[Cód.]],#REF!,7,0)</f>
        <v>#REF!</v>
      </c>
      <c r="E502" s="9"/>
      <c r="F502" s="10"/>
      <c r="G502" s="8" t="e">
        <f>VLOOKUP(Tabela8[[#This Row],[Cód.]],CENTRAL[#All],9,0)</f>
        <v>#REF!</v>
      </c>
    </row>
    <row r="503" spans="1:7" ht="16.5" thickTop="1" thickBot="1" x14ac:dyDescent="0.3">
      <c r="A503">
        <v>200003095</v>
      </c>
      <c r="B503" t="s">
        <v>85</v>
      </c>
      <c r="C503" t="s">
        <v>86</v>
      </c>
      <c r="D503" s="10" t="e">
        <f>VLOOKUP(Tabela8[[#This Row],[Cód.]],#REF!,7,0)</f>
        <v>#REF!</v>
      </c>
      <c r="E503" s="9"/>
      <c r="F503" s="10"/>
      <c r="G503" s="8" t="e">
        <f>VLOOKUP(Tabela8[[#This Row],[Cód.]],CENTRAL[#All],9,0)</f>
        <v>#REF!</v>
      </c>
    </row>
    <row r="504" spans="1:7" ht="16.5" thickTop="1" thickBot="1" x14ac:dyDescent="0.3">
      <c r="A504">
        <v>200003095</v>
      </c>
      <c r="B504" t="s">
        <v>85</v>
      </c>
      <c r="C504" t="s">
        <v>86</v>
      </c>
      <c r="D504" s="10" t="e">
        <f>VLOOKUP(Tabela8[[#This Row],[Cód.]],#REF!,7,0)</f>
        <v>#REF!</v>
      </c>
      <c r="E504" s="9"/>
      <c r="F504" s="10"/>
      <c r="G504" s="8" t="e">
        <f>VLOOKUP(Tabela8[[#This Row],[Cód.]],CENTRAL[#All],9,0)</f>
        <v>#REF!</v>
      </c>
    </row>
    <row r="505" spans="1:7" ht="16.5" thickTop="1" thickBot="1" x14ac:dyDescent="0.3">
      <c r="A505">
        <v>200002642</v>
      </c>
      <c r="B505" t="s">
        <v>88</v>
      </c>
      <c r="C505" t="s">
        <v>9</v>
      </c>
      <c r="D505" s="10" t="e">
        <f>VLOOKUP(Tabela8[[#This Row],[Cód.]],#REF!,7,0)</f>
        <v>#REF!</v>
      </c>
      <c r="E505" s="9"/>
      <c r="F505" s="10"/>
      <c r="G505" s="8" t="e">
        <f>VLOOKUP(Tabela8[[#This Row],[Cód.]],CENTRAL[#All],9,0)</f>
        <v>#REF!</v>
      </c>
    </row>
    <row r="506" spans="1:7" ht="16.5" thickTop="1" thickBot="1" x14ac:dyDescent="0.3">
      <c r="A506">
        <v>200002207</v>
      </c>
      <c r="B506" t="s">
        <v>89</v>
      </c>
      <c r="C506" t="s">
        <v>9</v>
      </c>
      <c r="D506" s="10" t="e">
        <f>VLOOKUP(Tabela8[[#This Row],[Cód.]],#REF!,7,0)</f>
        <v>#REF!</v>
      </c>
      <c r="E506" s="9"/>
      <c r="F506" s="10"/>
      <c r="G506" s="8" t="e">
        <f>VLOOKUP(Tabela8[[#This Row],[Cód.]],CENTRAL[#All],9,0)</f>
        <v>#REF!</v>
      </c>
    </row>
    <row r="507" spans="1:7" ht="16.5" thickTop="1" thickBot="1" x14ac:dyDescent="0.3">
      <c r="A507">
        <v>200001009</v>
      </c>
      <c r="B507" t="s">
        <v>90</v>
      </c>
      <c r="C507" t="s">
        <v>9</v>
      </c>
      <c r="D507" s="10" t="e">
        <f>VLOOKUP(Tabela8[[#This Row],[Cód.]],#REF!,7,0)</f>
        <v>#REF!</v>
      </c>
      <c r="E507" s="9"/>
      <c r="F507" s="10"/>
      <c r="G507" s="8" t="e">
        <f>VLOOKUP(Tabela8[[#This Row],[Cód.]],CENTRAL[#All],9,0)</f>
        <v>#REF!</v>
      </c>
    </row>
    <row r="508" spans="1:7" ht="16.5" thickTop="1" thickBot="1" x14ac:dyDescent="0.3">
      <c r="A508">
        <v>200001730</v>
      </c>
      <c r="B508" t="s">
        <v>91</v>
      </c>
      <c r="C508" t="s">
        <v>9</v>
      </c>
      <c r="D508" s="10" t="e">
        <f>VLOOKUP(Tabela8[[#This Row],[Cód.]],#REF!,7,0)</f>
        <v>#REF!</v>
      </c>
      <c r="E508" s="9"/>
      <c r="F508" s="10"/>
      <c r="G508" s="8" t="e">
        <f>VLOOKUP(Tabela8[[#This Row],[Cód.]],CENTRAL[#All],9,0)</f>
        <v>#REF!</v>
      </c>
    </row>
    <row r="509" spans="1:7" ht="16.5" thickTop="1" thickBot="1" x14ac:dyDescent="0.3">
      <c r="A509">
        <v>200006710</v>
      </c>
      <c r="B509" t="s">
        <v>2306</v>
      </c>
      <c r="C509" t="s">
        <v>86</v>
      </c>
      <c r="D509" s="10" t="e">
        <f>VLOOKUP(Tabela8[[#This Row],[Cód.]],#REF!,7,0)</f>
        <v>#REF!</v>
      </c>
      <c r="E509" s="9"/>
      <c r="F509" s="10"/>
      <c r="G509" s="8" t="e">
        <f>VLOOKUP(Tabela8[[#This Row],[Cód.]],CENTRAL[#All],9,0)</f>
        <v>#REF!</v>
      </c>
    </row>
    <row r="510" spans="1:7" ht="16.5" thickTop="1" thickBot="1" x14ac:dyDescent="0.3">
      <c r="A510">
        <v>200003966</v>
      </c>
      <c r="B510" t="s">
        <v>99</v>
      </c>
      <c r="C510" t="s">
        <v>86</v>
      </c>
      <c r="D510" s="10" t="e">
        <f>VLOOKUP(Tabela8[[#This Row],[Cód.]],#REF!,7,0)</f>
        <v>#REF!</v>
      </c>
      <c r="E510" s="9"/>
      <c r="F510" s="10"/>
      <c r="G510" s="8" t="e">
        <f>VLOOKUP(Tabela8[[#This Row],[Cód.]],CENTRAL[#All],9,0)</f>
        <v>#REF!</v>
      </c>
    </row>
    <row r="511" spans="1:7" ht="16.5" thickTop="1" thickBot="1" x14ac:dyDescent="0.3">
      <c r="A511">
        <v>200000041</v>
      </c>
      <c r="B511" t="s">
        <v>100</v>
      </c>
      <c r="C511" t="s">
        <v>82</v>
      </c>
      <c r="D511" s="10" t="e">
        <f>VLOOKUP(Tabela8[[#This Row],[Cód.]],#REF!,7,0)</f>
        <v>#REF!</v>
      </c>
      <c r="E511" s="9"/>
      <c r="F511" s="10"/>
      <c r="G511" s="8" t="e">
        <f>VLOOKUP(Tabela8[[#This Row],[Cód.]],CENTRAL[#All],9,0)</f>
        <v>#REF!</v>
      </c>
    </row>
    <row r="512" spans="1:7" ht="16.5" thickTop="1" thickBot="1" x14ac:dyDescent="0.3">
      <c r="A512">
        <v>200001918</v>
      </c>
      <c r="B512" t="s">
        <v>101</v>
      </c>
      <c r="C512" t="s">
        <v>9</v>
      </c>
      <c r="D512" s="10" t="e">
        <f>VLOOKUP(Tabela8[[#This Row],[Cód.]],#REF!,7,0)</f>
        <v>#REF!</v>
      </c>
      <c r="E512" s="9"/>
      <c r="F512" s="10"/>
      <c r="G512" s="8" t="e">
        <f>VLOOKUP(Tabela8[[#This Row],[Cód.]],CENTRAL[#All],9,0)</f>
        <v>#REF!</v>
      </c>
    </row>
    <row r="513" spans="1:7" ht="16.5" thickTop="1" thickBot="1" x14ac:dyDescent="0.3">
      <c r="A513">
        <v>200001336</v>
      </c>
      <c r="B513" t="s">
        <v>102</v>
      </c>
      <c r="C513" t="s">
        <v>9</v>
      </c>
      <c r="D513" s="10" t="e">
        <f>VLOOKUP(Tabela8[[#This Row],[Cód.]],#REF!,7,0)</f>
        <v>#REF!</v>
      </c>
      <c r="E513" s="9"/>
      <c r="F513" s="10"/>
      <c r="G513" s="8" t="e">
        <f>VLOOKUP(Tabela8[[#This Row],[Cód.]],CENTRAL[#All],9,0)</f>
        <v>#REF!</v>
      </c>
    </row>
    <row r="514" spans="1:7" ht="16.5" thickTop="1" thickBot="1" x14ac:dyDescent="0.3">
      <c r="A514">
        <v>200000045</v>
      </c>
      <c r="B514" t="s">
        <v>103</v>
      </c>
      <c r="C514" t="s">
        <v>9</v>
      </c>
      <c r="D514" s="10" t="e">
        <f>VLOOKUP(Tabela8[[#This Row],[Cód.]],#REF!,7,0)</f>
        <v>#REF!</v>
      </c>
      <c r="E514" s="9"/>
      <c r="F514" s="10"/>
      <c r="G514" s="8" t="e">
        <f>VLOOKUP(Tabela8[[#This Row],[Cód.]],CENTRAL[#All],9,0)</f>
        <v>#REF!</v>
      </c>
    </row>
    <row r="515" spans="1:7" ht="16.5" thickTop="1" thickBot="1" x14ac:dyDescent="0.3">
      <c r="A515">
        <v>200002643</v>
      </c>
      <c r="B515" t="s">
        <v>104</v>
      </c>
      <c r="C515" t="s">
        <v>9</v>
      </c>
      <c r="D515" s="10" t="e">
        <f>VLOOKUP(Tabela8[[#This Row],[Cód.]],#REF!,7,0)</f>
        <v>#REF!</v>
      </c>
      <c r="E515" s="9"/>
      <c r="F515" s="10"/>
      <c r="G515" s="8" t="e">
        <f>VLOOKUP(Tabela8[[#This Row],[Cód.]],CENTRAL[#All],9,0)</f>
        <v>#REF!</v>
      </c>
    </row>
    <row r="516" spans="1:7" ht="16.5" thickTop="1" thickBot="1" x14ac:dyDescent="0.3">
      <c r="A516">
        <v>200002061</v>
      </c>
      <c r="B516" t="s">
        <v>105</v>
      </c>
      <c r="C516" t="s">
        <v>9</v>
      </c>
      <c r="D516" s="10" t="e">
        <f>VLOOKUP(Tabela8[[#This Row],[Cód.]],#REF!,7,0)</f>
        <v>#REF!</v>
      </c>
      <c r="E516" s="9"/>
      <c r="F516" s="10"/>
      <c r="G516" s="8" t="e">
        <f>VLOOKUP(Tabela8[[#This Row],[Cód.]],CENTRAL[#All],9,0)</f>
        <v>#REF!</v>
      </c>
    </row>
    <row r="517" spans="1:7" ht="16.5" thickTop="1" thickBot="1" x14ac:dyDescent="0.3">
      <c r="A517">
        <v>200006423</v>
      </c>
      <c r="B517" t="s">
        <v>106</v>
      </c>
      <c r="C517" t="s">
        <v>9</v>
      </c>
      <c r="D517" s="10" t="e">
        <f>VLOOKUP(Tabela8[[#This Row],[Cód.]],#REF!,7,0)</f>
        <v>#REF!</v>
      </c>
      <c r="E517" s="9"/>
      <c r="F517" s="10"/>
      <c r="G517" s="8" t="e">
        <f>VLOOKUP(Tabela8[[#This Row],[Cód.]],CENTRAL[#All],9,0)</f>
        <v>#REF!</v>
      </c>
    </row>
    <row r="518" spans="1:7" ht="16.5" thickTop="1" thickBot="1" x14ac:dyDescent="0.3">
      <c r="A518">
        <v>200007110</v>
      </c>
      <c r="B518" t="s">
        <v>107</v>
      </c>
      <c r="C518" t="s">
        <v>108</v>
      </c>
      <c r="D518" s="10" t="e">
        <f>VLOOKUP(Tabela8[[#This Row],[Cód.]],#REF!,7,0)</f>
        <v>#REF!</v>
      </c>
      <c r="E518" s="9"/>
      <c r="F518" s="10"/>
      <c r="G518" s="8" t="e">
        <f>VLOOKUP(Tabela8[[#This Row],[Cód.]],CENTRAL[#All],9,0)</f>
        <v>#REF!</v>
      </c>
    </row>
    <row r="519" spans="1:7" ht="16.5" thickTop="1" thickBot="1" x14ac:dyDescent="0.3">
      <c r="A519">
        <v>200005833</v>
      </c>
      <c r="B519" t="s">
        <v>109</v>
      </c>
      <c r="C519" t="s">
        <v>110</v>
      </c>
      <c r="D519" s="10" t="e">
        <f>VLOOKUP(Tabela8[[#This Row],[Cód.]],#REF!,7,0)</f>
        <v>#REF!</v>
      </c>
      <c r="E519" s="9"/>
      <c r="F519" s="10"/>
      <c r="G519" s="8" t="e">
        <f>VLOOKUP(Tabela8[[#This Row],[Cód.]],CENTRAL[#All],9,0)</f>
        <v>#REF!</v>
      </c>
    </row>
    <row r="520" spans="1:7" ht="16.5" thickTop="1" thickBot="1" x14ac:dyDescent="0.3">
      <c r="A520">
        <v>200006090</v>
      </c>
      <c r="B520" t="s">
        <v>111</v>
      </c>
      <c r="C520" t="s">
        <v>9</v>
      </c>
      <c r="D520" s="10" t="e">
        <f>VLOOKUP(Tabela8[[#This Row],[Cód.]],#REF!,7,0)</f>
        <v>#REF!</v>
      </c>
      <c r="E520" s="9"/>
      <c r="F520" s="10"/>
      <c r="G520" s="8" t="e">
        <f>VLOOKUP(Tabela8[[#This Row],[Cód.]],CENTRAL[#All],9,0)</f>
        <v>#REF!</v>
      </c>
    </row>
    <row r="521" spans="1:7" ht="16.5" thickTop="1" thickBot="1" x14ac:dyDescent="0.3">
      <c r="A521">
        <v>200000159</v>
      </c>
      <c r="B521" t="s">
        <v>112</v>
      </c>
      <c r="C521" t="s">
        <v>9</v>
      </c>
      <c r="D521" s="10" t="e">
        <f>VLOOKUP(Tabela8[[#This Row],[Cód.]],#REF!,7,0)</f>
        <v>#REF!</v>
      </c>
      <c r="E521" s="9"/>
      <c r="F521" s="10"/>
      <c r="G521" s="8" t="e">
        <f>VLOOKUP(Tabela8[[#This Row],[Cód.]],CENTRAL[#All],9,0)</f>
        <v>#REF!</v>
      </c>
    </row>
    <row r="522" spans="1:7" ht="16.5" thickTop="1" thickBot="1" x14ac:dyDescent="0.3">
      <c r="A522">
        <v>200000704</v>
      </c>
      <c r="B522" t="s">
        <v>113</v>
      </c>
      <c r="C522" t="s">
        <v>9</v>
      </c>
      <c r="D522" s="10" t="e">
        <f>VLOOKUP(Tabela8[[#This Row],[Cód.]],#REF!,7,0)</f>
        <v>#REF!</v>
      </c>
      <c r="E522" s="9"/>
      <c r="F522" s="10"/>
      <c r="G522" s="8" t="e">
        <f>VLOOKUP(Tabela8[[#This Row],[Cód.]],CENTRAL[#All],9,0)</f>
        <v>#REF!</v>
      </c>
    </row>
    <row r="523" spans="1:7" ht="16.5" thickTop="1" thickBot="1" x14ac:dyDescent="0.3">
      <c r="A523">
        <v>200002055</v>
      </c>
      <c r="B523" t="s">
        <v>114</v>
      </c>
      <c r="C523" t="s">
        <v>9</v>
      </c>
      <c r="D523" s="10" t="e">
        <f>VLOOKUP(Tabela8[[#This Row],[Cód.]],#REF!,7,0)</f>
        <v>#REF!</v>
      </c>
      <c r="E523" s="9"/>
      <c r="F523" s="10"/>
      <c r="G523" s="8" t="e">
        <f>VLOOKUP(Tabela8[[#This Row],[Cód.]],CENTRAL[#All],9,0)</f>
        <v>#REF!</v>
      </c>
    </row>
    <row r="524" spans="1:7" ht="16.5" thickTop="1" thickBot="1" x14ac:dyDescent="0.3">
      <c r="A524">
        <v>200003618</v>
      </c>
      <c r="B524" t="s">
        <v>115</v>
      </c>
      <c r="C524" t="s">
        <v>9</v>
      </c>
      <c r="D524" s="10" t="e">
        <f>VLOOKUP(Tabela8[[#This Row],[Cód.]],#REF!,7,0)</f>
        <v>#REF!</v>
      </c>
      <c r="E524" s="9"/>
      <c r="F524" s="10"/>
      <c r="G524" s="8" t="e">
        <f>VLOOKUP(Tabela8[[#This Row],[Cód.]],CENTRAL[#All],9,0)</f>
        <v>#REF!</v>
      </c>
    </row>
    <row r="525" spans="1:7" ht="16.5" thickTop="1" thickBot="1" x14ac:dyDescent="0.3">
      <c r="A525">
        <v>200005715</v>
      </c>
      <c r="B525" t="s">
        <v>116</v>
      </c>
      <c r="C525" t="s">
        <v>9</v>
      </c>
      <c r="D525" s="10" t="e">
        <f>VLOOKUP(Tabela8[[#This Row],[Cód.]],#REF!,7,0)</f>
        <v>#REF!</v>
      </c>
      <c r="E525" s="9"/>
      <c r="F525" s="10"/>
      <c r="G525" s="8" t="e">
        <f>VLOOKUP(Tabela8[[#This Row],[Cód.]],CENTRAL[#All],9,0)</f>
        <v>#REF!</v>
      </c>
    </row>
    <row r="526" spans="1:7" ht="16.5" thickTop="1" thickBot="1" x14ac:dyDescent="0.3">
      <c r="A526">
        <v>200006280</v>
      </c>
      <c r="B526" t="s">
        <v>117</v>
      </c>
      <c r="C526" t="s">
        <v>9</v>
      </c>
      <c r="D526" s="10" t="e">
        <f>VLOOKUP(Tabela8[[#This Row],[Cód.]],#REF!,7,0)</f>
        <v>#REF!</v>
      </c>
      <c r="E526" s="9"/>
      <c r="F526" s="10"/>
      <c r="G526" s="8" t="e">
        <f>VLOOKUP(Tabela8[[#This Row],[Cód.]],CENTRAL[#All],9,0)</f>
        <v>#REF!</v>
      </c>
    </row>
    <row r="527" spans="1:7" ht="16.5" thickTop="1" thickBot="1" x14ac:dyDescent="0.3">
      <c r="A527">
        <v>200007031</v>
      </c>
      <c r="B527" t="s">
        <v>123</v>
      </c>
      <c r="C527" t="s">
        <v>9</v>
      </c>
      <c r="D527" s="10" t="e">
        <f>VLOOKUP(Tabela8[[#This Row],[Cód.]],#REF!,7,0)</f>
        <v>#REF!</v>
      </c>
      <c r="E527" s="9"/>
      <c r="F527" s="10"/>
      <c r="G527" s="8" t="e">
        <f>VLOOKUP(Tabela8[[#This Row],[Cód.]],CENTRAL[#All],9,0)</f>
        <v>#REF!</v>
      </c>
    </row>
    <row r="528" spans="1:7" ht="16.5" thickTop="1" thickBot="1" x14ac:dyDescent="0.3">
      <c r="A528">
        <v>200007030</v>
      </c>
      <c r="B528" t="s">
        <v>124</v>
      </c>
      <c r="C528" t="s">
        <v>9</v>
      </c>
      <c r="D528" s="10" t="e">
        <f>VLOOKUP(Tabela8[[#This Row],[Cód.]],#REF!,7,0)</f>
        <v>#REF!</v>
      </c>
      <c r="E528" s="9"/>
      <c r="F528" s="10"/>
      <c r="G528" s="8" t="e">
        <f>VLOOKUP(Tabela8[[#This Row],[Cód.]],CENTRAL[#All],9,0)</f>
        <v>#REF!</v>
      </c>
    </row>
    <row r="529" spans="1:7" ht="16.5" thickTop="1" thickBot="1" x14ac:dyDescent="0.3">
      <c r="A529">
        <v>200006370</v>
      </c>
      <c r="B529" t="s">
        <v>125</v>
      </c>
      <c r="C529" t="s">
        <v>9</v>
      </c>
      <c r="D529" s="10" t="e">
        <f>VLOOKUP(Tabela8[[#This Row],[Cód.]],#REF!,7,0)</f>
        <v>#REF!</v>
      </c>
      <c r="E529" s="9"/>
      <c r="F529" s="10"/>
      <c r="G529" s="8" t="e">
        <f>VLOOKUP(Tabela8[[#This Row],[Cód.]],CENTRAL[#All],9,0)</f>
        <v>#REF!</v>
      </c>
    </row>
    <row r="530" spans="1:7" ht="16.5" thickTop="1" thickBot="1" x14ac:dyDescent="0.3">
      <c r="A530">
        <v>200006370</v>
      </c>
      <c r="B530" t="s">
        <v>125</v>
      </c>
      <c r="C530" t="s">
        <v>9</v>
      </c>
      <c r="D530" s="10" t="e">
        <f>VLOOKUP(Tabela8[[#This Row],[Cód.]],#REF!,7,0)</f>
        <v>#REF!</v>
      </c>
      <c r="E530" s="9"/>
      <c r="F530" s="10"/>
      <c r="G530" s="8" t="e">
        <f>VLOOKUP(Tabela8[[#This Row],[Cód.]],CENTRAL[#All],9,0)</f>
        <v>#REF!</v>
      </c>
    </row>
    <row r="531" spans="1:7" ht="16.5" thickTop="1" thickBot="1" x14ac:dyDescent="0.3">
      <c r="A531">
        <v>200006372</v>
      </c>
      <c r="B531" t="s">
        <v>126</v>
      </c>
      <c r="C531" t="s">
        <v>9</v>
      </c>
      <c r="D531" s="10" t="e">
        <f>VLOOKUP(Tabela8[[#This Row],[Cód.]],#REF!,7,0)</f>
        <v>#REF!</v>
      </c>
      <c r="E531" s="9"/>
      <c r="F531" s="10"/>
      <c r="G531" s="8" t="e">
        <f>VLOOKUP(Tabela8[[#This Row],[Cód.]],CENTRAL[#All],9,0)</f>
        <v>#REF!</v>
      </c>
    </row>
    <row r="532" spans="1:7" ht="16.5" thickTop="1" thickBot="1" x14ac:dyDescent="0.3">
      <c r="A532">
        <v>200006368</v>
      </c>
      <c r="B532" t="s">
        <v>127</v>
      </c>
      <c r="C532" t="s">
        <v>9</v>
      </c>
      <c r="D532" s="10" t="e">
        <f>VLOOKUP(Tabela8[[#This Row],[Cód.]],#REF!,7,0)</f>
        <v>#REF!</v>
      </c>
      <c r="E532" s="9"/>
      <c r="F532" s="10"/>
      <c r="G532" s="8" t="e">
        <f>VLOOKUP(Tabela8[[#This Row],[Cód.]],CENTRAL[#All],9,0)</f>
        <v>#REF!</v>
      </c>
    </row>
    <row r="533" spans="1:7" ht="16.5" thickTop="1" thickBot="1" x14ac:dyDescent="0.3">
      <c r="A533">
        <v>200006369</v>
      </c>
      <c r="B533" t="s">
        <v>128</v>
      </c>
      <c r="C533" t="s">
        <v>9</v>
      </c>
      <c r="D533" s="10" t="e">
        <f>VLOOKUP(Tabela8[[#This Row],[Cód.]],#REF!,7,0)</f>
        <v>#REF!</v>
      </c>
      <c r="E533" s="9"/>
      <c r="F533" s="10"/>
      <c r="G533" s="8" t="e">
        <f>VLOOKUP(Tabela8[[#This Row],[Cód.]],CENTRAL[#All],9,0)</f>
        <v>#REF!</v>
      </c>
    </row>
    <row r="534" spans="1:7" ht="16.5" thickTop="1" thickBot="1" x14ac:dyDescent="0.3">
      <c r="A534">
        <v>200006371</v>
      </c>
      <c r="B534" t="s">
        <v>129</v>
      </c>
      <c r="C534" t="s">
        <v>9</v>
      </c>
      <c r="D534" s="10" t="e">
        <f>VLOOKUP(Tabela8[[#This Row],[Cód.]],#REF!,7,0)</f>
        <v>#REF!</v>
      </c>
      <c r="E534" s="9"/>
      <c r="F534" s="10"/>
      <c r="G534" s="8" t="e">
        <f>VLOOKUP(Tabela8[[#This Row],[Cód.]],CENTRAL[#All],9,0)</f>
        <v>#REF!</v>
      </c>
    </row>
    <row r="535" spans="1:7" ht="16.5" thickTop="1" thickBot="1" x14ac:dyDescent="0.3">
      <c r="A535">
        <v>200005805</v>
      </c>
      <c r="B535" t="s">
        <v>130</v>
      </c>
      <c r="C535" t="s">
        <v>9</v>
      </c>
      <c r="D535" s="10" t="e">
        <f>VLOOKUP(Tabela8[[#This Row],[Cód.]],#REF!,7,0)</f>
        <v>#REF!</v>
      </c>
      <c r="E535" s="9"/>
      <c r="F535" s="10"/>
      <c r="G535" s="8" t="e">
        <f>VLOOKUP(Tabela8[[#This Row],[Cód.]],CENTRAL[#All],9,0)</f>
        <v>#REF!</v>
      </c>
    </row>
    <row r="536" spans="1:7" ht="16.5" thickTop="1" thickBot="1" x14ac:dyDescent="0.3">
      <c r="A536">
        <v>200003813</v>
      </c>
      <c r="B536" t="s">
        <v>131</v>
      </c>
      <c r="C536" t="s">
        <v>9</v>
      </c>
      <c r="D536" s="10" t="e">
        <f>VLOOKUP(Tabela8[[#This Row],[Cód.]],#REF!,7,0)</f>
        <v>#REF!</v>
      </c>
      <c r="E536" s="9"/>
      <c r="F536" s="10"/>
      <c r="G536" s="8" t="e">
        <f>VLOOKUP(Tabela8[[#This Row],[Cód.]],CENTRAL[#All],9,0)</f>
        <v>#REF!</v>
      </c>
    </row>
    <row r="537" spans="1:7" ht="16.5" thickTop="1" thickBot="1" x14ac:dyDescent="0.3">
      <c r="A537">
        <v>200003812</v>
      </c>
      <c r="B537" t="s">
        <v>132</v>
      </c>
      <c r="C537" t="s">
        <v>9</v>
      </c>
      <c r="D537" s="10" t="e">
        <f>VLOOKUP(Tabela8[[#This Row],[Cód.]],#REF!,7,0)</f>
        <v>#REF!</v>
      </c>
      <c r="E537" s="9"/>
      <c r="F537" s="10"/>
      <c r="G537" s="8" t="e">
        <f>VLOOKUP(Tabela8[[#This Row],[Cód.]],CENTRAL[#All],9,0)</f>
        <v>#REF!</v>
      </c>
    </row>
    <row r="538" spans="1:7" ht="16.5" thickTop="1" thickBot="1" x14ac:dyDescent="0.3">
      <c r="A538">
        <v>200003811</v>
      </c>
      <c r="B538" t="s">
        <v>133</v>
      </c>
      <c r="C538" t="s">
        <v>9</v>
      </c>
      <c r="D538" s="10" t="e">
        <f>VLOOKUP(Tabela8[[#This Row],[Cód.]],#REF!,7,0)</f>
        <v>#REF!</v>
      </c>
      <c r="E538" s="9"/>
      <c r="F538" s="10"/>
      <c r="G538" s="8" t="e">
        <f>VLOOKUP(Tabela8[[#This Row],[Cód.]],CENTRAL[#All],9,0)</f>
        <v>#REF!</v>
      </c>
    </row>
    <row r="539" spans="1:7" ht="16.5" thickTop="1" thickBot="1" x14ac:dyDescent="0.3">
      <c r="A539">
        <v>200000074</v>
      </c>
      <c r="B539" t="s">
        <v>134</v>
      </c>
      <c r="C539" t="s">
        <v>9</v>
      </c>
      <c r="D539" s="10" t="e">
        <f>VLOOKUP(Tabela8[[#This Row],[Cód.]],#REF!,7,0)</f>
        <v>#REF!</v>
      </c>
      <c r="E539" s="9"/>
      <c r="F539" s="10"/>
      <c r="G539" s="8" t="e">
        <f>VLOOKUP(Tabela8[[#This Row],[Cód.]],CENTRAL[#All],9,0)</f>
        <v>#REF!</v>
      </c>
    </row>
    <row r="540" spans="1:7" ht="16.5" thickTop="1" thickBot="1" x14ac:dyDescent="0.3">
      <c r="A540">
        <v>200000075</v>
      </c>
      <c r="B540" t="s">
        <v>135</v>
      </c>
      <c r="C540" t="s">
        <v>9</v>
      </c>
      <c r="D540" s="10" t="e">
        <f>VLOOKUP(Tabela8[[#This Row],[Cód.]],#REF!,7,0)</f>
        <v>#REF!</v>
      </c>
      <c r="E540" s="9"/>
      <c r="F540" s="10"/>
      <c r="G540" s="8" t="e">
        <f>VLOOKUP(Tabela8[[#This Row],[Cód.]],CENTRAL[#All],9,0)</f>
        <v>#REF!</v>
      </c>
    </row>
    <row r="541" spans="1:7" ht="16.5" thickTop="1" thickBot="1" x14ac:dyDescent="0.3">
      <c r="A541">
        <v>200001010</v>
      </c>
      <c r="B541" t="s">
        <v>137</v>
      </c>
      <c r="C541" t="s">
        <v>9</v>
      </c>
      <c r="D541" s="10" t="e">
        <f>VLOOKUP(Tabela8[[#This Row],[Cód.]],#REF!,7,0)</f>
        <v>#REF!</v>
      </c>
      <c r="E541" s="9"/>
      <c r="F541" s="10"/>
      <c r="G541" s="8" t="e">
        <f>VLOOKUP(Tabela8[[#This Row],[Cód.]],CENTRAL[#All],9,0)</f>
        <v>#REF!</v>
      </c>
    </row>
    <row r="542" spans="1:7" ht="16.5" thickTop="1" thickBot="1" x14ac:dyDescent="0.3">
      <c r="A542">
        <v>200005321</v>
      </c>
      <c r="B542" t="s">
        <v>138</v>
      </c>
      <c r="C542" t="s">
        <v>9</v>
      </c>
      <c r="D542" s="10" t="e">
        <f>VLOOKUP(Tabela8[[#This Row],[Cód.]],#REF!,7,0)</f>
        <v>#REF!</v>
      </c>
      <c r="E542" s="9"/>
      <c r="F542" s="10"/>
      <c r="G542" s="8" t="e">
        <f>VLOOKUP(Tabela8[[#This Row],[Cód.]],CENTRAL[#All],9,0)</f>
        <v>#REF!</v>
      </c>
    </row>
    <row r="543" spans="1:7" ht="16.5" thickTop="1" thickBot="1" x14ac:dyDescent="0.3">
      <c r="A543">
        <v>200001058</v>
      </c>
      <c r="B543" t="s">
        <v>139</v>
      </c>
      <c r="C543" t="s">
        <v>9</v>
      </c>
      <c r="D543" s="10" t="e">
        <f>VLOOKUP(Tabela8[[#This Row],[Cód.]],#REF!,7,0)</f>
        <v>#REF!</v>
      </c>
      <c r="E543" s="9"/>
      <c r="F543" s="10"/>
      <c r="G543" s="8" t="e">
        <f>VLOOKUP(Tabela8[[#This Row],[Cód.]],CENTRAL[#All],9,0)</f>
        <v>#REF!</v>
      </c>
    </row>
    <row r="544" spans="1:7" ht="16.5" thickTop="1" thickBot="1" x14ac:dyDescent="0.3">
      <c r="A544">
        <v>200003303</v>
      </c>
      <c r="B544" t="s">
        <v>140</v>
      </c>
      <c r="C544" t="s">
        <v>9</v>
      </c>
      <c r="D544" s="10" t="e">
        <f>VLOOKUP(Tabela8[[#This Row],[Cód.]],#REF!,7,0)</f>
        <v>#REF!</v>
      </c>
      <c r="E544" s="9"/>
      <c r="F544" s="10"/>
      <c r="G544" s="8" t="e">
        <f>VLOOKUP(Tabela8[[#This Row],[Cód.]],CENTRAL[#All],9,0)</f>
        <v>#REF!</v>
      </c>
    </row>
    <row r="545" spans="1:7" ht="16.5" thickTop="1" thickBot="1" x14ac:dyDescent="0.3">
      <c r="A545">
        <v>200005005</v>
      </c>
      <c r="B545" t="s">
        <v>141</v>
      </c>
      <c r="C545" t="s">
        <v>9</v>
      </c>
      <c r="D545" s="10" t="e">
        <f>VLOOKUP(Tabela8[[#This Row],[Cód.]],#REF!,7,0)</f>
        <v>#REF!</v>
      </c>
      <c r="E545" s="9"/>
      <c r="F545" s="10"/>
      <c r="G545" s="8" t="e">
        <f>VLOOKUP(Tabela8[[#This Row],[Cód.]],CENTRAL[#All],9,0)</f>
        <v>#REF!</v>
      </c>
    </row>
    <row r="546" spans="1:7" ht="16.5" thickTop="1" thickBot="1" x14ac:dyDescent="0.3">
      <c r="A546">
        <v>200004660</v>
      </c>
      <c r="B546" t="s">
        <v>142</v>
      </c>
      <c r="C546" t="s">
        <v>9</v>
      </c>
      <c r="D546" s="10" t="e">
        <f>VLOOKUP(Tabela8[[#This Row],[Cód.]],#REF!,7,0)</f>
        <v>#REF!</v>
      </c>
      <c r="E546" s="9"/>
      <c r="F546" s="10"/>
      <c r="G546" s="8" t="e">
        <f>VLOOKUP(Tabela8[[#This Row],[Cód.]],CENTRAL[#All],9,0)</f>
        <v>#REF!</v>
      </c>
    </row>
    <row r="547" spans="1:7" ht="16.5" thickTop="1" thickBot="1" x14ac:dyDescent="0.3">
      <c r="A547">
        <v>200006212</v>
      </c>
      <c r="B547" t="s">
        <v>143</v>
      </c>
      <c r="C547" t="s">
        <v>144</v>
      </c>
      <c r="D547" s="10" t="e">
        <f>VLOOKUP(Tabela8[[#This Row],[Cód.]],#REF!,7,0)</f>
        <v>#REF!</v>
      </c>
      <c r="E547" s="9"/>
      <c r="F547" s="10"/>
      <c r="G547" s="8" t="e">
        <f>VLOOKUP(Tabela8[[#This Row],[Cód.]],CENTRAL[#All],9,0)</f>
        <v>#REF!</v>
      </c>
    </row>
    <row r="548" spans="1:7" ht="16.5" thickTop="1" thickBot="1" x14ac:dyDescent="0.3">
      <c r="A548">
        <v>200001062</v>
      </c>
      <c r="B548" t="s">
        <v>145</v>
      </c>
      <c r="C548" t="s">
        <v>9</v>
      </c>
      <c r="D548" s="10" t="e">
        <f>VLOOKUP(Tabela8[[#This Row],[Cód.]],#REF!,7,0)</f>
        <v>#REF!</v>
      </c>
      <c r="E548" s="9"/>
      <c r="F548" s="10"/>
      <c r="G548" s="8" t="e">
        <f>VLOOKUP(Tabela8[[#This Row],[Cód.]],CENTRAL[#All],9,0)</f>
        <v>#REF!</v>
      </c>
    </row>
    <row r="549" spans="1:7" ht="16.5" thickTop="1" thickBot="1" x14ac:dyDescent="0.3">
      <c r="A549">
        <v>200002121</v>
      </c>
      <c r="B549" t="s">
        <v>146</v>
      </c>
      <c r="C549" t="s">
        <v>9</v>
      </c>
      <c r="D549" s="10" t="e">
        <f>VLOOKUP(Tabela8[[#This Row],[Cód.]],#REF!,7,0)</f>
        <v>#REF!</v>
      </c>
      <c r="E549" s="9"/>
      <c r="F549" s="10"/>
      <c r="G549" s="8" t="e">
        <f>VLOOKUP(Tabela8[[#This Row],[Cód.]],CENTRAL[#All],9,0)</f>
        <v>#REF!</v>
      </c>
    </row>
    <row r="550" spans="1:7" ht="16.5" thickTop="1" thickBot="1" x14ac:dyDescent="0.3">
      <c r="A550">
        <v>200006062</v>
      </c>
      <c r="B550" t="s">
        <v>147</v>
      </c>
      <c r="C550" t="s">
        <v>96</v>
      </c>
      <c r="D550" s="10" t="e">
        <f>VLOOKUP(Tabela8[[#This Row],[Cód.]],#REF!,7,0)</f>
        <v>#REF!</v>
      </c>
      <c r="E550" s="9"/>
      <c r="F550" s="10"/>
      <c r="G550" s="8" t="e">
        <f>VLOOKUP(Tabela8[[#This Row],[Cód.]],CENTRAL[#All],9,0)</f>
        <v>#REF!</v>
      </c>
    </row>
    <row r="551" spans="1:7" ht="16.5" thickTop="1" thickBot="1" x14ac:dyDescent="0.3">
      <c r="A551">
        <v>200001060</v>
      </c>
      <c r="B551" t="s">
        <v>148</v>
      </c>
      <c r="C551" t="s">
        <v>9</v>
      </c>
      <c r="D551" s="10" t="e">
        <f>VLOOKUP(Tabela8[[#This Row],[Cód.]],#REF!,7,0)</f>
        <v>#REF!</v>
      </c>
      <c r="E551" s="9"/>
      <c r="F551" s="10"/>
      <c r="G551" s="8" t="e">
        <f>VLOOKUP(Tabela8[[#This Row],[Cód.]],CENTRAL[#All],9,0)</f>
        <v>#REF!</v>
      </c>
    </row>
    <row r="552" spans="1:7" ht="16.5" thickTop="1" thickBot="1" x14ac:dyDescent="0.3">
      <c r="A552">
        <v>200001061</v>
      </c>
      <c r="B552" t="s">
        <v>150</v>
      </c>
      <c r="C552" t="s">
        <v>9</v>
      </c>
      <c r="D552" s="10" t="e">
        <f>VLOOKUP(Tabela8[[#This Row],[Cód.]],#REF!,7,0)</f>
        <v>#REF!</v>
      </c>
      <c r="E552" s="9"/>
      <c r="F552" s="10"/>
      <c r="G552" s="8" t="e">
        <f>VLOOKUP(Tabela8[[#This Row],[Cód.]],CENTRAL[#All],9,0)</f>
        <v>#REF!</v>
      </c>
    </row>
    <row r="553" spans="1:7" ht="16.5" thickTop="1" thickBot="1" x14ac:dyDescent="0.3">
      <c r="A553">
        <v>200001920</v>
      </c>
      <c r="B553" t="s">
        <v>153</v>
      </c>
      <c r="C553" t="s">
        <v>9</v>
      </c>
      <c r="D553" s="10" t="e">
        <f>VLOOKUP(Tabela8[[#This Row],[Cód.]],#REF!,7,0)</f>
        <v>#REF!</v>
      </c>
      <c r="E553" s="9"/>
      <c r="F553" s="10"/>
      <c r="G553" s="8" t="e">
        <f>VLOOKUP(Tabela8[[#This Row],[Cód.]],CENTRAL[#All],9,0)</f>
        <v>#REF!</v>
      </c>
    </row>
    <row r="554" spans="1:7" ht="16.5" thickTop="1" thickBot="1" x14ac:dyDescent="0.3">
      <c r="A554">
        <v>200001921</v>
      </c>
      <c r="B554" t="s">
        <v>154</v>
      </c>
      <c r="C554" t="s">
        <v>9</v>
      </c>
      <c r="D554" s="10" t="e">
        <f>VLOOKUP(Tabela8[[#This Row],[Cód.]],#REF!,7,0)</f>
        <v>#REF!</v>
      </c>
      <c r="E554" s="9"/>
      <c r="F554" s="10"/>
      <c r="G554" s="8" t="e">
        <f>VLOOKUP(Tabela8[[#This Row],[Cód.]],CENTRAL[#All],9,0)</f>
        <v>#REF!</v>
      </c>
    </row>
    <row r="555" spans="1:7" ht="16.5" thickTop="1" thickBot="1" x14ac:dyDescent="0.3">
      <c r="A555">
        <v>200003609</v>
      </c>
      <c r="B555" t="s">
        <v>155</v>
      </c>
      <c r="C555" t="s">
        <v>9</v>
      </c>
      <c r="D555" s="10" t="e">
        <f>VLOOKUP(Tabela8[[#This Row],[Cód.]],#REF!,7,0)</f>
        <v>#REF!</v>
      </c>
      <c r="E555" s="9"/>
      <c r="F555" s="10"/>
      <c r="G555" s="8" t="e">
        <f>VLOOKUP(Tabela8[[#This Row],[Cód.]],CENTRAL[#All],9,0)</f>
        <v>#REF!</v>
      </c>
    </row>
    <row r="556" spans="1:7" ht="16.5" thickTop="1" thickBot="1" x14ac:dyDescent="0.3">
      <c r="A556">
        <v>200003611</v>
      </c>
      <c r="B556" t="s">
        <v>157</v>
      </c>
      <c r="C556" t="s">
        <v>9</v>
      </c>
      <c r="D556" s="10" t="e">
        <f>VLOOKUP(Tabela8[[#This Row],[Cód.]],#REF!,7,0)</f>
        <v>#REF!</v>
      </c>
      <c r="E556" s="9"/>
      <c r="F556" s="10"/>
      <c r="G556" s="8" t="e">
        <f>VLOOKUP(Tabela8[[#This Row],[Cód.]],CENTRAL[#All],9,0)</f>
        <v>#REF!</v>
      </c>
    </row>
    <row r="557" spans="1:7" ht="16.5" thickTop="1" thickBot="1" x14ac:dyDescent="0.3">
      <c r="A557">
        <v>200003610</v>
      </c>
      <c r="B557" t="s">
        <v>159</v>
      </c>
      <c r="C557" t="s">
        <v>9</v>
      </c>
      <c r="D557" s="10" t="e">
        <f>VLOOKUP(Tabela8[[#This Row],[Cód.]],#REF!,7,0)</f>
        <v>#REF!</v>
      </c>
      <c r="E557" s="9"/>
      <c r="F557" s="10"/>
      <c r="G557" s="8" t="e">
        <f>VLOOKUP(Tabela8[[#This Row],[Cód.]],CENTRAL[#All],9,0)</f>
        <v>#REF!</v>
      </c>
    </row>
    <row r="558" spans="1:7" ht="16.5" thickTop="1" thickBot="1" x14ac:dyDescent="0.3">
      <c r="A558">
        <v>200003613</v>
      </c>
      <c r="B558" t="s">
        <v>160</v>
      </c>
      <c r="C558" t="s">
        <v>9</v>
      </c>
      <c r="D558" s="10" t="e">
        <f>VLOOKUP(Tabela8[[#This Row],[Cód.]],#REF!,7,0)</f>
        <v>#REF!</v>
      </c>
      <c r="E558" s="9"/>
      <c r="F558" s="10"/>
      <c r="G558" s="8" t="e">
        <f>VLOOKUP(Tabela8[[#This Row],[Cód.]],CENTRAL[#All],9,0)</f>
        <v>#REF!</v>
      </c>
    </row>
    <row r="559" spans="1:7" ht="16.5" thickTop="1" thickBot="1" x14ac:dyDescent="0.3">
      <c r="A559">
        <v>200003615</v>
      </c>
      <c r="B559" t="s">
        <v>161</v>
      </c>
      <c r="C559" t="s">
        <v>9</v>
      </c>
      <c r="D559" s="10" t="e">
        <f>VLOOKUP(Tabela8[[#This Row],[Cód.]],#REF!,7,0)</f>
        <v>#REF!</v>
      </c>
      <c r="E559" s="9"/>
      <c r="F559" s="10"/>
      <c r="G559" s="8" t="e">
        <f>VLOOKUP(Tabela8[[#This Row],[Cód.]],CENTRAL[#All],9,0)</f>
        <v>#REF!</v>
      </c>
    </row>
    <row r="560" spans="1:7" ht="16.5" thickTop="1" thickBot="1" x14ac:dyDescent="0.3">
      <c r="A560">
        <v>200003614</v>
      </c>
      <c r="B560" t="s">
        <v>162</v>
      </c>
      <c r="C560" t="s">
        <v>9</v>
      </c>
      <c r="D560" s="10" t="e">
        <f>VLOOKUP(Tabela8[[#This Row],[Cód.]],#REF!,7,0)</f>
        <v>#REF!</v>
      </c>
      <c r="E560" s="9"/>
      <c r="F560" s="10"/>
      <c r="G560" s="8" t="e">
        <f>VLOOKUP(Tabela8[[#This Row],[Cód.]],CENTRAL[#All],9,0)</f>
        <v>#REF!</v>
      </c>
    </row>
    <row r="561" spans="1:7" ht="16.5" thickTop="1" thickBot="1" x14ac:dyDescent="0.3">
      <c r="A561">
        <v>200006400</v>
      </c>
      <c r="B561" t="s">
        <v>173</v>
      </c>
      <c r="C561" t="s">
        <v>9</v>
      </c>
      <c r="D561" s="10" t="e">
        <f>VLOOKUP(Tabela8[[#This Row],[Cód.]],#REF!,7,0)</f>
        <v>#REF!</v>
      </c>
      <c r="E561" s="9"/>
      <c r="F561" s="10"/>
      <c r="G561" s="8" t="e">
        <f>VLOOKUP(Tabela8[[#This Row],[Cód.]],CENTRAL[#All],9,0)</f>
        <v>#REF!</v>
      </c>
    </row>
    <row r="562" spans="1:7" ht="16.5" thickTop="1" thickBot="1" x14ac:dyDescent="0.3">
      <c r="A562">
        <v>200001088</v>
      </c>
      <c r="B562" t="s">
        <v>174</v>
      </c>
      <c r="C562" t="s">
        <v>9</v>
      </c>
      <c r="D562" s="10" t="e">
        <f>VLOOKUP(Tabela8[[#This Row],[Cód.]],#REF!,7,0)</f>
        <v>#REF!</v>
      </c>
      <c r="E562" s="9"/>
      <c r="F562" s="10"/>
      <c r="G562" s="8" t="e">
        <f>VLOOKUP(Tabela8[[#This Row],[Cód.]],CENTRAL[#All],9,0)</f>
        <v>#REF!</v>
      </c>
    </row>
    <row r="563" spans="1:7" ht="15.75" thickTop="1" x14ac:dyDescent="0.25">
      <c r="A563">
        <v>200000141</v>
      </c>
      <c r="B563" t="s">
        <v>176</v>
      </c>
      <c r="C563" t="s">
        <v>9</v>
      </c>
      <c r="D563" s="10" t="e">
        <f>VLOOKUP(Tabela8[[#This Row],[Cód.]],#REF!,7,0)</f>
        <v>#REF!</v>
      </c>
      <c r="E563" s="9"/>
      <c r="F563" s="10"/>
      <c r="G563" s="8" t="e">
        <f>VLOOKUP(Tabela8[[#This Row],[Cód.]],CENTRAL[#All],9,0)</f>
        <v>#REF!</v>
      </c>
    </row>
    <row r="564" spans="1:7" ht="15.75" thickBot="1" x14ac:dyDescent="0.3">
      <c r="A564">
        <v>200000141</v>
      </c>
      <c r="B564" t="s">
        <v>176</v>
      </c>
      <c r="C564" t="s">
        <v>9</v>
      </c>
      <c r="D564" s="10" t="e">
        <f>VLOOKUP(Tabela8[[#This Row],[Cód.]],#REF!,7,0)</f>
        <v>#REF!</v>
      </c>
      <c r="E564" s="10"/>
      <c r="F564" s="10"/>
      <c r="G564" s="8" t="e">
        <f>VLOOKUP(Tabela8[[#This Row],[Cód.]],CENTRAL[#All],9,0)</f>
        <v>#REF!</v>
      </c>
    </row>
    <row r="565" spans="1:7" ht="16.5" thickTop="1" thickBot="1" x14ac:dyDescent="0.3">
      <c r="A565">
        <v>200002469</v>
      </c>
      <c r="B565" t="s">
        <v>177</v>
      </c>
      <c r="C565" t="s">
        <v>9</v>
      </c>
      <c r="D565" s="10" t="e">
        <f>VLOOKUP(Tabela8[[#This Row],[Cód.]],#REF!,7,0)</f>
        <v>#REF!</v>
      </c>
      <c r="E565" s="9"/>
      <c r="F565" s="10"/>
      <c r="G565" s="8" t="e">
        <f>VLOOKUP(Tabela8[[#This Row],[Cód.]],CENTRAL[#All],9,0)</f>
        <v>#REF!</v>
      </c>
    </row>
    <row r="566" spans="1:7" ht="16.5" thickTop="1" thickBot="1" x14ac:dyDescent="0.3">
      <c r="A566">
        <v>200002469</v>
      </c>
      <c r="B566" t="s">
        <v>177</v>
      </c>
      <c r="C566" t="s">
        <v>9</v>
      </c>
      <c r="D566" s="10" t="e">
        <f>VLOOKUP(Tabela8[[#This Row],[Cód.]],#REF!,7,0)</f>
        <v>#REF!</v>
      </c>
      <c r="E566" s="9"/>
      <c r="F566" s="10"/>
      <c r="G566" s="8" t="e">
        <f>VLOOKUP(Tabela8[[#This Row],[Cód.]],CENTRAL[#All],9,0)</f>
        <v>#REF!</v>
      </c>
    </row>
    <row r="567" spans="1:7" ht="16.5" thickTop="1" thickBot="1" x14ac:dyDescent="0.3">
      <c r="A567">
        <v>200000142</v>
      </c>
      <c r="B567" t="s">
        <v>179</v>
      </c>
      <c r="C567" t="s">
        <v>9</v>
      </c>
      <c r="D567" s="10" t="e">
        <f>VLOOKUP(Tabela8[[#This Row],[Cód.]],#REF!,7,0)</f>
        <v>#REF!</v>
      </c>
      <c r="E567" s="9"/>
      <c r="F567" s="10"/>
      <c r="G567" s="8" t="e">
        <f>VLOOKUP(Tabela8[[#This Row],[Cód.]],CENTRAL[#All],9,0)</f>
        <v>#REF!</v>
      </c>
    </row>
    <row r="568" spans="1:7" ht="16.5" thickTop="1" thickBot="1" x14ac:dyDescent="0.3">
      <c r="A568">
        <v>200000142</v>
      </c>
      <c r="B568" t="s">
        <v>179</v>
      </c>
      <c r="C568" t="s">
        <v>9</v>
      </c>
      <c r="D568" s="10" t="e">
        <f>VLOOKUP(Tabela8[[#This Row],[Cód.]],#REF!,7,0)</f>
        <v>#REF!</v>
      </c>
      <c r="E568" s="9"/>
      <c r="F568" s="10"/>
      <c r="G568" s="8" t="e">
        <f>VLOOKUP(Tabela8[[#This Row],[Cód.]],CENTRAL[#All],9,0)</f>
        <v>#REF!</v>
      </c>
    </row>
    <row r="569" spans="1:7" ht="16.5" thickTop="1" thickBot="1" x14ac:dyDescent="0.3">
      <c r="A569">
        <v>200000140</v>
      </c>
      <c r="B569" t="s">
        <v>180</v>
      </c>
      <c r="C569" t="s">
        <v>9</v>
      </c>
      <c r="D569" s="10" t="e">
        <f>VLOOKUP(Tabela8[[#This Row],[Cód.]],#REF!,7,0)</f>
        <v>#REF!</v>
      </c>
      <c r="E569" s="9"/>
      <c r="F569" s="10"/>
      <c r="G569" s="8" t="e">
        <f>VLOOKUP(Tabela8[[#This Row],[Cód.]],CENTRAL[#All],9,0)</f>
        <v>#REF!</v>
      </c>
    </row>
    <row r="570" spans="1:7" ht="16.5" thickTop="1" thickBot="1" x14ac:dyDescent="0.3">
      <c r="A570">
        <v>200006850</v>
      </c>
      <c r="B570" t="s">
        <v>182</v>
      </c>
      <c r="C570" t="s">
        <v>9</v>
      </c>
      <c r="D570" s="10" t="e">
        <f>VLOOKUP(Tabela8[[#This Row],[Cód.]],#REF!,7,0)</f>
        <v>#REF!</v>
      </c>
      <c r="E570" s="9"/>
      <c r="F570" s="10"/>
      <c r="G570" s="8" t="e">
        <f>VLOOKUP(Tabela8[[#This Row],[Cód.]],CENTRAL[#All],9,0)</f>
        <v>#REF!</v>
      </c>
    </row>
    <row r="571" spans="1:7" ht="16.5" thickTop="1" thickBot="1" x14ac:dyDescent="0.3">
      <c r="A571">
        <v>200005831</v>
      </c>
      <c r="B571" t="s">
        <v>184</v>
      </c>
      <c r="C571" t="s">
        <v>9</v>
      </c>
      <c r="D571" s="10" t="e">
        <f>VLOOKUP(Tabela8[[#This Row],[Cód.]],#REF!,7,0)</f>
        <v>#REF!</v>
      </c>
      <c r="E571" s="9"/>
      <c r="F571" s="10"/>
      <c r="G571" s="8" t="e">
        <f>VLOOKUP(Tabela8[[#This Row],[Cód.]],CENTRAL[#All],9,0)</f>
        <v>#REF!</v>
      </c>
    </row>
    <row r="572" spans="1:7" ht="16.5" thickTop="1" thickBot="1" x14ac:dyDescent="0.3">
      <c r="A572">
        <v>200005510</v>
      </c>
      <c r="B572" t="s">
        <v>185</v>
      </c>
      <c r="C572" t="s">
        <v>9</v>
      </c>
      <c r="D572" s="10" t="e">
        <f>VLOOKUP(Tabela8[[#This Row],[Cód.]],#REF!,7,0)</f>
        <v>#REF!</v>
      </c>
      <c r="E572" s="9"/>
      <c r="F572" s="10"/>
      <c r="G572" s="8" t="e">
        <f>VLOOKUP(Tabela8[[#This Row],[Cód.]],CENTRAL[#All],9,0)</f>
        <v>#REF!</v>
      </c>
    </row>
    <row r="573" spans="1:7" ht="16.5" thickTop="1" thickBot="1" x14ac:dyDescent="0.3">
      <c r="A573">
        <v>200005410</v>
      </c>
      <c r="B573" t="s">
        <v>186</v>
      </c>
      <c r="C573" t="s">
        <v>9</v>
      </c>
      <c r="D573" s="10" t="e">
        <f>VLOOKUP(Tabela8[[#This Row],[Cód.]],#REF!,7,0)</f>
        <v>#REF!</v>
      </c>
      <c r="E573" s="9"/>
      <c r="F573" s="10"/>
      <c r="G573" s="8" t="e">
        <f>VLOOKUP(Tabela8[[#This Row],[Cód.]],CENTRAL[#All],9,0)</f>
        <v>#REF!</v>
      </c>
    </row>
    <row r="574" spans="1:7" ht="16.5" thickTop="1" thickBot="1" x14ac:dyDescent="0.3">
      <c r="A574">
        <v>200002056</v>
      </c>
      <c r="B574" t="s">
        <v>187</v>
      </c>
      <c r="C574" t="s">
        <v>9</v>
      </c>
      <c r="D574" s="10" t="e">
        <f>VLOOKUP(Tabela8[[#This Row],[Cód.]],#REF!,7,0)</f>
        <v>#REF!</v>
      </c>
      <c r="E574" s="9"/>
      <c r="F574" s="10"/>
      <c r="G574" s="8" t="e">
        <f>VLOOKUP(Tabela8[[#This Row],[Cód.]],CENTRAL[#All],9,0)</f>
        <v>#REF!</v>
      </c>
    </row>
    <row r="575" spans="1:7" ht="16.5" thickTop="1" thickBot="1" x14ac:dyDescent="0.3">
      <c r="A575">
        <v>200002056</v>
      </c>
      <c r="B575" t="s">
        <v>187</v>
      </c>
      <c r="C575" t="s">
        <v>9</v>
      </c>
      <c r="D575" s="10" t="e">
        <f>VLOOKUP(Tabela8[[#This Row],[Cód.]],#REF!,7,0)</f>
        <v>#REF!</v>
      </c>
      <c r="E575" s="9"/>
      <c r="F575" s="10"/>
      <c r="G575" s="8" t="e">
        <f>VLOOKUP(Tabela8[[#This Row],[Cód.]],CENTRAL[#All],9,0)</f>
        <v>#REF!</v>
      </c>
    </row>
    <row r="576" spans="1:7" ht="16.5" thickTop="1" thickBot="1" x14ac:dyDescent="0.3">
      <c r="A576">
        <v>200003825</v>
      </c>
      <c r="B576" t="s">
        <v>188</v>
      </c>
      <c r="C576" t="s">
        <v>9</v>
      </c>
      <c r="D576" s="10" t="e">
        <f>VLOOKUP(Tabela8[[#This Row],[Cód.]],#REF!,7,0)</f>
        <v>#REF!</v>
      </c>
      <c r="E576" s="9"/>
      <c r="F576" s="10"/>
      <c r="G576" s="8" t="e">
        <f>VLOOKUP(Tabela8[[#This Row],[Cód.]],CENTRAL[#All],9,0)</f>
        <v>#REF!</v>
      </c>
    </row>
    <row r="577" spans="1:7" ht="16.5" thickTop="1" thickBot="1" x14ac:dyDescent="0.3">
      <c r="A577">
        <v>200002770</v>
      </c>
      <c r="B577" t="s">
        <v>189</v>
      </c>
      <c r="C577" t="s">
        <v>9</v>
      </c>
      <c r="D577" s="10" t="e">
        <f>VLOOKUP(Tabela8[[#This Row],[Cód.]],#REF!,7,0)</f>
        <v>#REF!</v>
      </c>
      <c r="E577" s="9"/>
      <c r="F577" s="10"/>
      <c r="G577" s="8" t="e">
        <f>VLOOKUP(Tabela8[[#This Row],[Cód.]],CENTRAL[#All],9,0)</f>
        <v>#REF!</v>
      </c>
    </row>
    <row r="578" spans="1:7" ht="16.5" thickTop="1" thickBot="1" x14ac:dyDescent="0.3">
      <c r="A578">
        <v>200002770</v>
      </c>
      <c r="B578" t="s">
        <v>189</v>
      </c>
      <c r="C578" t="s">
        <v>9</v>
      </c>
      <c r="D578" s="10" t="e">
        <f>VLOOKUP(Tabela8[[#This Row],[Cód.]],#REF!,7,0)</f>
        <v>#REF!</v>
      </c>
      <c r="E578" s="9"/>
      <c r="F578" s="10"/>
      <c r="G578" s="8" t="e">
        <f>VLOOKUP(Tabela8[[#This Row],[Cód.]],CENTRAL[#All],9,0)</f>
        <v>#REF!</v>
      </c>
    </row>
    <row r="579" spans="1:7" ht="16.5" thickTop="1" thickBot="1" x14ac:dyDescent="0.3">
      <c r="A579">
        <v>200001406</v>
      </c>
      <c r="B579" t="s">
        <v>190</v>
      </c>
      <c r="C579" t="s">
        <v>9</v>
      </c>
      <c r="D579" s="10" t="e">
        <f>VLOOKUP(Tabela8[[#This Row],[Cód.]],#REF!,7,0)</f>
        <v>#REF!</v>
      </c>
      <c r="E579" s="9"/>
      <c r="F579" s="10"/>
      <c r="G579" s="8" t="e">
        <f>VLOOKUP(Tabela8[[#This Row],[Cód.]],CENTRAL[#All],9,0)</f>
        <v>#REF!</v>
      </c>
    </row>
    <row r="580" spans="1:7" ht="16.5" thickTop="1" thickBot="1" x14ac:dyDescent="0.3">
      <c r="A580">
        <v>200001406</v>
      </c>
      <c r="B580" t="s">
        <v>190</v>
      </c>
      <c r="C580" t="s">
        <v>9</v>
      </c>
      <c r="D580" s="10" t="e">
        <f>VLOOKUP(Tabela8[[#This Row],[Cód.]],#REF!,7,0)</f>
        <v>#REF!</v>
      </c>
      <c r="E580" s="9"/>
      <c r="F580" s="10"/>
      <c r="G580" s="8" t="e">
        <f>VLOOKUP(Tabela8[[#This Row],[Cód.]],CENTRAL[#All],9,0)</f>
        <v>#REF!</v>
      </c>
    </row>
    <row r="581" spans="1:7" ht="16.5" thickTop="1" thickBot="1" x14ac:dyDescent="0.3">
      <c r="A581">
        <v>200004495</v>
      </c>
      <c r="B581" t="s">
        <v>191</v>
      </c>
      <c r="C581" t="s">
        <v>9</v>
      </c>
      <c r="D581" s="10" t="e">
        <f>VLOOKUP(Tabela8[[#This Row],[Cód.]],#REF!,7,0)</f>
        <v>#REF!</v>
      </c>
      <c r="E581" s="9"/>
      <c r="F581" s="10"/>
      <c r="G581" s="8" t="e">
        <f>VLOOKUP(Tabela8[[#This Row],[Cód.]],CENTRAL[#All],9,0)</f>
        <v>#REF!</v>
      </c>
    </row>
    <row r="582" spans="1:7" ht="16.5" thickTop="1" thickBot="1" x14ac:dyDescent="0.3">
      <c r="A582">
        <v>200002769</v>
      </c>
      <c r="B582" t="s">
        <v>192</v>
      </c>
      <c r="C582" t="s">
        <v>9</v>
      </c>
      <c r="D582" s="10" t="e">
        <f>VLOOKUP(Tabela8[[#This Row],[Cód.]],#REF!,7,0)</f>
        <v>#REF!</v>
      </c>
      <c r="E582" s="9"/>
      <c r="F582" s="10"/>
      <c r="G582" s="8" t="e">
        <f>VLOOKUP(Tabela8[[#This Row],[Cód.]],CENTRAL[#All],9,0)</f>
        <v>#REF!</v>
      </c>
    </row>
    <row r="583" spans="1:7" ht="16.5" thickTop="1" thickBot="1" x14ac:dyDescent="0.3">
      <c r="A583">
        <v>200002769</v>
      </c>
      <c r="B583" t="s">
        <v>192</v>
      </c>
      <c r="C583" t="s">
        <v>9</v>
      </c>
      <c r="D583" s="10" t="e">
        <f>VLOOKUP(Tabela8[[#This Row],[Cód.]],#REF!,7,0)</f>
        <v>#REF!</v>
      </c>
      <c r="E583" s="9"/>
      <c r="F583" s="10"/>
      <c r="G583" s="8" t="e">
        <f>VLOOKUP(Tabela8[[#This Row],[Cód.]],CENTRAL[#All],9,0)</f>
        <v>#REF!</v>
      </c>
    </row>
    <row r="584" spans="1:7" ht="16.5" thickTop="1" thickBot="1" x14ac:dyDescent="0.3">
      <c r="A584">
        <v>200006007</v>
      </c>
      <c r="B584" t="s">
        <v>193</v>
      </c>
      <c r="C584" t="s">
        <v>9</v>
      </c>
      <c r="D584" s="10" t="e">
        <f>VLOOKUP(Tabela8[[#This Row],[Cód.]],#REF!,7,0)</f>
        <v>#REF!</v>
      </c>
      <c r="E584" s="9"/>
      <c r="F584" s="10"/>
      <c r="G584" s="8" t="e">
        <f>VLOOKUP(Tabela8[[#This Row],[Cód.]],CENTRAL[#All],9,0)</f>
        <v>#REF!</v>
      </c>
    </row>
    <row r="585" spans="1:7" ht="16.5" thickTop="1" thickBot="1" x14ac:dyDescent="0.3">
      <c r="A585">
        <v>200006007</v>
      </c>
      <c r="B585" t="s">
        <v>193</v>
      </c>
      <c r="C585" t="s">
        <v>9</v>
      </c>
      <c r="D585" s="10" t="e">
        <f>VLOOKUP(Tabela8[[#This Row],[Cód.]],#REF!,7,0)</f>
        <v>#REF!</v>
      </c>
      <c r="E585" s="9"/>
      <c r="F585" s="10"/>
      <c r="G585" s="8" t="e">
        <f>VLOOKUP(Tabela8[[#This Row],[Cód.]],CENTRAL[#All],9,0)</f>
        <v>#REF!</v>
      </c>
    </row>
    <row r="586" spans="1:7" ht="16.5" thickTop="1" thickBot="1" x14ac:dyDescent="0.3">
      <c r="A586">
        <v>200006006</v>
      </c>
      <c r="B586" t="s">
        <v>194</v>
      </c>
      <c r="C586" t="s">
        <v>9</v>
      </c>
      <c r="D586" s="10" t="e">
        <f>VLOOKUP(Tabela8[[#This Row],[Cód.]],#REF!,7,0)</f>
        <v>#REF!</v>
      </c>
      <c r="E586" s="9"/>
      <c r="F586" s="10"/>
      <c r="G586" s="8" t="e">
        <f>VLOOKUP(Tabela8[[#This Row],[Cód.]],CENTRAL[#All],9,0)</f>
        <v>#REF!</v>
      </c>
    </row>
    <row r="587" spans="1:7" ht="16.5" thickTop="1" thickBot="1" x14ac:dyDescent="0.3">
      <c r="A587">
        <v>200004973</v>
      </c>
      <c r="B587" t="s">
        <v>195</v>
      </c>
      <c r="C587" t="s">
        <v>9</v>
      </c>
      <c r="D587" s="10" t="e">
        <f>VLOOKUP(Tabela8[[#This Row],[Cód.]],#REF!,7,0)</f>
        <v>#REF!</v>
      </c>
      <c r="E587" s="9"/>
      <c r="F587" s="10"/>
      <c r="G587" s="8" t="e">
        <f>VLOOKUP(Tabela8[[#This Row],[Cód.]],CENTRAL[#All],9,0)</f>
        <v>#REF!</v>
      </c>
    </row>
    <row r="588" spans="1:7" ht="16.5" thickTop="1" thickBot="1" x14ac:dyDescent="0.3">
      <c r="A588">
        <v>200000149</v>
      </c>
      <c r="B588" t="s">
        <v>196</v>
      </c>
      <c r="C588" t="s">
        <v>9</v>
      </c>
      <c r="D588" s="10" t="e">
        <f>VLOOKUP(Tabela8[[#This Row],[Cód.]],#REF!,7,0)</f>
        <v>#REF!</v>
      </c>
      <c r="E588" s="9"/>
      <c r="F588" s="10"/>
      <c r="G588" s="8" t="e">
        <f>VLOOKUP(Tabela8[[#This Row],[Cód.]],CENTRAL[#All],9,0)</f>
        <v>#REF!</v>
      </c>
    </row>
    <row r="589" spans="1:7" ht="16.5" thickTop="1" thickBot="1" x14ac:dyDescent="0.3">
      <c r="A589">
        <v>200005344</v>
      </c>
      <c r="B589" t="s">
        <v>198</v>
      </c>
      <c r="C589" t="s">
        <v>9</v>
      </c>
      <c r="D589" s="10" t="e">
        <f>VLOOKUP(Tabela8[[#This Row],[Cód.]],#REF!,7,0)</f>
        <v>#REF!</v>
      </c>
      <c r="E589" s="9"/>
      <c r="F589" s="10"/>
      <c r="G589" s="8" t="e">
        <f>VLOOKUP(Tabela8[[#This Row],[Cód.]],CENTRAL[#All],9,0)</f>
        <v>#REF!</v>
      </c>
    </row>
    <row r="590" spans="1:7" ht="16.5" thickTop="1" thickBot="1" x14ac:dyDescent="0.3">
      <c r="A590">
        <v>200001089</v>
      </c>
      <c r="B590" t="s">
        <v>200</v>
      </c>
      <c r="C590" t="s">
        <v>9</v>
      </c>
      <c r="D590" s="10" t="e">
        <f>VLOOKUP(Tabela8[[#This Row],[Cód.]],#REF!,7,0)</f>
        <v>#REF!</v>
      </c>
      <c r="E590" s="9"/>
      <c r="F590" s="10"/>
      <c r="G590" s="8" t="e">
        <f>VLOOKUP(Tabela8[[#This Row],[Cód.]],CENTRAL[#All],9,0)</f>
        <v>#REF!</v>
      </c>
    </row>
    <row r="591" spans="1:7" ht="16.5" thickTop="1" thickBot="1" x14ac:dyDescent="0.3">
      <c r="A591">
        <v>200002122</v>
      </c>
      <c r="B591" t="s">
        <v>202</v>
      </c>
      <c r="C591" t="s">
        <v>9</v>
      </c>
      <c r="D591" s="10" t="e">
        <f>VLOOKUP(Tabela8[[#This Row],[Cód.]],#REF!,7,0)</f>
        <v>#REF!</v>
      </c>
      <c r="E591" s="9"/>
      <c r="F591" s="10"/>
      <c r="G591" s="8" t="e">
        <f>VLOOKUP(Tabela8[[#This Row],[Cód.]],CENTRAL[#All],9,0)</f>
        <v>#REF!</v>
      </c>
    </row>
    <row r="592" spans="1:7" ht="16.5" thickTop="1" thickBot="1" x14ac:dyDescent="0.3">
      <c r="A592">
        <v>200004555</v>
      </c>
      <c r="B592" t="s">
        <v>202</v>
      </c>
      <c r="C592" t="s">
        <v>9</v>
      </c>
      <c r="D592" s="10" t="e">
        <f>VLOOKUP(Tabela8[[#This Row],[Cód.]],#REF!,7,0)</f>
        <v>#REF!</v>
      </c>
      <c r="E592" s="9"/>
      <c r="F592" s="10"/>
      <c r="G592" s="8" t="e">
        <f>VLOOKUP(Tabela8[[#This Row],[Cód.]],CENTRAL[#All],9,0)</f>
        <v>#REF!</v>
      </c>
    </row>
    <row r="593" spans="1:7" ht="16.5" thickTop="1" thickBot="1" x14ac:dyDescent="0.3">
      <c r="A593">
        <v>200002122</v>
      </c>
      <c r="B593" t="s">
        <v>202</v>
      </c>
      <c r="C593" t="s">
        <v>9</v>
      </c>
      <c r="D593" s="10" t="e">
        <f>VLOOKUP(Tabela8[[#This Row],[Cód.]],#REF!,7,0)</f>
        <v>#REF!</v>
      </c>
      <c r="E593" s="9"/>
      <c r="F593" s="10"/>
      <c r="G593" s="8" t="e">
        <f>VLOOKUP(Tabela8[[#This Row],[Cód.]],CENTRAL[#All],9,0)</f>
        <v>#REF!</v>
      </c>
    </row>
    <row r="594" spans="1:7" ht="16.5" thickTop="1" thickBot="1" x14ac:dyDescent="0.3">
      <c r="A594">
        <v>200005980</v>
      </c>
      <c r="B594" t="s">
        <v>208</v>
      </c>
      <c r="C594" t="s">
        <v>9</v>
      </c>
      <c r="D594" s="10" t="e">
        <f>VLOOKUP(Tabela8[[#This Row],[Cód.]],#REF!,7,0)</f>
        <v>#REF!</v>
      </c>
      <c r="E594" s="9"/>
      <c r="F594" s="10"/>
      <c r="G594" s="8" t="e">
        <f>VLOOKUP(Tabela8[[#This Row],[Cód.]],CENTRAL[#All],9,0)</f>
        <v>#REF!</v>
      </c>
    </row>
    <row r="595" spans="1:7" ht="16.5" thickTop="1" thickBot="1" x14ac:dyDescent="0.3">
      <c r="A595">
        <v>200003624</v>
      </c>
      <c r="B595" t="s">
        <v>211</v>
      </c>
      <c r="C595" t="s">
        <v>9</v>
      </c>
      <c r="D595" s="10" t="e">
        <f>VLOOKUP(Tabela8[[#This Row],[Cód.]],#REF!,7,0)</f>
        <v>#REF!</v>
      </c>
      <c r="E595" s="9"/>
      <c r="F595" s="10"/>
      <c r="G595" s="8" t="e">
        <f>VLOOKUP(Tabela8[[#This Row],[Cód.]],CENTRAL[#All],9,0)</f>
        <v>#REF!</v>
      </c>
    </row>
    <row r="596" spans="1:7" ht="16.5" thickTop="1" thickBot="1" x14ac:dyDescent="0.3">
      <c r="A596">
        <v>200003625</v>
      </c>
      <c r="B596" t="s">
        <v>212</v>
      </c>
      <c r="C596" t="s">
        <v>9</v>
      </c>
      <c r="D596" s="10" t="e">
        <f>VLOOKUP(Tabela8[[#This Row],[Cód.]],#REF!,7,0)</f>
        <v>#REF!</v>
      </c>
      <c r="E596" s="9"/>
      <c r="F596" s="10"/>
      <c r="G596" s="8" t="e">
        <f>VLOOKUP(Tabela8[[#This Row],[Cód.]],CENTRAL[#All],9,0)</f>
        <v>#REF!</v>
      </c>
    </row>
    <row r="597" spans="1:7" ht="16.5" thickTop="1" thickBot="1" x14ac:dyDescent="0.3">
      <c r="A597">
        <v>200003626</v>
      </c>
      <c r="B597" t="s">
        <v>214</v>
      </c>
      <c r="C597" t="s">
        <v>9</v>
      </c>
      <c r="D597" s="10" t="e">
        <f>VLOOKUP(Tabela8[[#This Row],[Cód.]],#REF!,7,0)</f>
        <v>#REF!</v>
      </c>
      <c r="E597" s="9"/>
      <c r="F597" s="10"/>
      <c r="G597" s="8" t="e">
        <f>VLOOKUP(Tabela8[[#This Row],[Cód.]],CENTRAL[#All],9,0)</f>
        <v>#REF!</v>
      </c>
    </row>
    <row r="598" spans="1:7" ht="16.5" thickTop="1" thickBot="1" x14ac:dyDescent="0.3">
      <c r="A598">
        <v>200000176</v>
      </c>
      <c r="B598" t="s">
        <v>215</v>
      </c>
      <c r="C598" t="s">
        <v>9</v>
      </c>
      <c r="D598" s="10" t="e">
        <f>VLOOKUP(Tabela8[[#This Row],[Cód.]],#REF!,7,0)</f>
        <v>#REF!</v>
      </c>
      <c r="E598" s="9"/>
      <c r="F598" s="10"/>
      <c r="G598" s="8" t="e">
        <f>VLOOKUP(Tabela8[[#This Row],[Cód.]],CENTRAL[#All],9,0)</f>
        <v>#REF!</v>
      </c>
    </row>
    <row r="599" spans="1:7" ht="16.5" thickTop="1" thickBot="1" x14ac:dyDescent="0.3">
      <c r="A599">
        <v>200003597</v>
      </c>
      <c r="B599" t="s">
        <v>221</v>
      </c>
      <c r="C599" t="s">
        <v>9</v>
      </c>
      <c r="D599" s="10" t="e">
        <f>VLOOKUP(Tabela8[[#This Row],[Cód.]],#REF!,7,0)</f>
        <v>#REF!</v>
      </c>
      <c r="E599" s="9"/>
      <c r="F599" s="10"/>
      <c r="G599" s="8" t="e">
        <f>VLOOKUP(Tabela8[[#This Row],[Cód.]],CENTRAL[#All],9,0)</f>
        <v>#REF!</v>
      </c>
    </row>
    <row r="600" spans="1:7" ht="16.5" thickTop="1" thickBot="1" x14ac:dyDescent="0.3">
      <c r="A600">
        <v>200001014</v>
      </c>
      <c r="B600" t="s">
        <v>224</v>
      </c>
      <c r="C600" t="s">
        <v>9</v>
      </c>
      <c r="D600" s="10" t="e">
        <f>VLOOKUP(Tabela8[[#This Row],[Cód.]],#REF!,7,0)</f>
        <v>#REF!</v>
      </c>
      <c r="E600" s="9"/>
      <c r="F600" s="10"/>
      <c r="G600" s="8" t="e">
        <f>VLOOKUP(Tabela8[[#This Row],[Cód.]],CENTRAL[#All],9,0)</f>
        <v>#REF!</v>
      </c>
    </row>
    <row r="601" spans="1:7" ht="16.5" thickTop="1" thickBot="1" x14ac:dyDescent="0.3">
      <c r="A601">
        <v>200006210</v>
      </c>
      <c r="B601" t="s">
        <v>228</v>
      </c>
      <c r="C601" t="s">
        <v>144</v>
      </c>
      <c r="D601" s="10" t="e">
        <f>VLOOKUP(Tabela8[[#This Row],[Cód.]],#REF!,7,0)</f>
        <v>#REF!</v>
      </c>
      <c r="E601" s="9"/>
      <c r="F601" s="10"/>
      <c r="G601" s="8" t="e">
        <f>VLOOKUP(Tabela8[[#This Row],[Cód.]],CENTRAL[#All],9,0)</f>
        <v>#REF!</v>
      </c>
    </row>
    <row r="602" spans="1:7" ht="16.5" thickTop="1" thickBot="1" x14ac:dyDescent="0.3">
      <c r="A602">
        <v>200001016</v>
      </c>
      <c r="B602" t="s">
        <v>229</v>
      </c>
      <c r="C602" t="s">
        <v>9</v>
      </c>
      <c r="D602" s="10" t="e">
        <f>VLOOKUP(Tabela8[[#This Row],[Cód.]],#REF!,7,0)</f>
        <v>#REF!</v>
      </c>
      <c r="E602" s="9"/>
      <c r="F602" s="10"/>
      <c r="G602" s="8" t="e">
        <f>VLOOKUP(Tabela8[[#This Row],[Cód.]],CENTRAL[#All],9,0)</f>
        <v>#REF!</v>
      </c>
    </row>
    <row r="603" spans="1:7" ht="16.5" thickTop="1" thickBot="1" x14ac:dyDescent="0.3">
      <c r="A603">
        <v>200006042</v>
      </c>
      <c r="B603" t="s">
        <v>230</v>
      </c>
      <c r="C603" t="s">
        <v>9</v>
      </c>
      <c r="D603" s="10" t="e">
        <f>VLOOKUP(Tabela8[[#This Row],[Cód.]],#REF!,7,0)</f>
        <v>#REF!</v>
      </c>
      <c r="E603" s="9"/>
      <c r="F603" s="10"/>
      <c r="G603" s="8" t="e">
        <f>VLOOKUP(Tabela8[[#This Row],[Cód.]],CENTRAL[#All],9,0)</f>
        <v>#REF!</v>
      </c>
    </row>
    <row r="604" spans="1:7" ht="16.5" thickTop="1" thickBot="1" x14ac:dyDescent="0.3">
      <c r="A604">
        <v>200001017</v>
      </c>
      <c r="B604" t="s">
        <v>231</v>
      </c>
      <c r="C604" t="s">
        <v>9</v>
      </c>
      <c r="D604" s="10" t="e">
        <f>VLOOKUP(Tabela8[[#This Row],[Cód.]],#REF!,7,0)</f>
        <v>#REF!</v>
      </c>
      <c r="E604" s="9"/>
      <c r="F604" s="10"/>
      <c r="G604" s="8" t="e">
        <f>VLOOKUP(Tabela8[[#This Row],[Cód.]],CENTRAL[#All],9,0)</f>
        <v>#REF!</v>
      </c>
    </row>
    <row r="605" spans="1:7" ht="16.5" thickTop="1" thickBot="1" x14ac:dyDescent="0.3">
      <c r="A605">
        <v>200000230</v>
      </c>
      <c r="B605" t="s">
        <v>232</v>
      </c>
      <c r="C605" t="s">
        <v>9</v>
      </c>
      <c r="D605" s="10" t="e">
        <f>VLOOKUP(Tabela8[[#This Row],[Cód.]],#REF!,7,0)</f>
        <v>#REF!</v>
      </c>
      <c r="E605" s="9"/>
      <c r="F605" s="10"/>
      <c r="G605" s="8" t="e">
        <f>VLOOKUP(Tabela8[[#This Row],[Cód.]],CENTRAL[#All],9,0)</f>
        <v>#REF!</v>
      </c>
    </row>
    <row r="606" spans="1:7" ht="16.5" thickTop="1" thickBot="1" x14ac:dyDescent="0.3">
      <c r="A606">
        <v>200002123</v>
      </c>
      <c r="B606" t="s">
        <v>234</v>
      </c>
      <c r="C606" t="s">
        <v>9</v>
      </c>
      <c r="D606" s="10" t="e">
        <f>VLOOKUP(Tabela8[[#This Row],[Cód.]],#REF!,7,0)</f>
        <v>#REF!</v>
      </c>
      <c r="E606" s="9"/>
      <c r="F606" s="10"/>
      <c r="G606" s="8" t="e">
        <f>VLOOKUP(Tabela8[[#This Row],[Cód.]],CENTRAL[#All],9,0)</f>
        <v>#REF!</v>
      </c>
    </row>
    <row r="607" spans="1:7" ht="16.5" thickTop="1" thickBot="1" x14ac:dyDescent="0.3">
      <c r="A607">
        <v>200002124</v>
      </c>
      <c r="B607" t="s">
        <v>235</v>
      </c>
      <c r="C607" t="s">
        <v>9</v>
      </c>
      <c r="D607" s="10" t="e">
        <f>VLOOKUP(Tabela8[[#This Row],[Cód.]],#REF!,7,0)</f>
        <v>#REF!</v>
      </c>
      <c r="E607" s="9"/>
      <c r="F607" s="10"/>
      <c r="G607" s="8" t="e">
        <f>VLOOKUP(Tabela8[[#This Row],[Cód.]],CENTRAL[#All],9,0)</f>
        <v>#REF!</v>
      </c>
    </row>
    <row r="608" spans="1:7" ht="16.5" thickTop="1" thickBot="1" x14ac:dyDescent="0.3">
      <c r="A608">
        <v>200002124</v>
      </c>
      <c r="B608" t="s">
        <v>235</v>
      </c>
      <c r="C608" t="s">
        <v>9</v>
      </c>
      <c r="D608" s="10" t="e">
        <f>VLOOKUP(Tabela8[[#This Row],[Cód.]],#REF!,7,0)</f>
        <v>#REF!</v>
      </c>
      <c r="E608" s="9"/>
      <c r="F608" s="10"/>
      <c r="G608" s="8" t="e">
        <f>VLOOKUP(Tabela8[[#This Row],[Cód.]],CENTRAL[#All],9,0)</f>
        <v>#REF!</v>
      </c>
    </row>
    <row r="609" spans="1:7" ht="16.5" thickTop="1" thickBot="1" x14ac:dyDescent="0.3">
      <c r="A609">
        <v>200003886</v>
      </c>
      <c r="B609" t="s">
        <v>238</v>
      </c>
      <c r="C609" t="s">
        <v>9</v>
      </c>
      <c r="D609" s="10" t="e">
        <f>VLOOKUP(Tabela8[[#This Row],[Cód.]],#REF!,7,0)</f>
        <v>#REF!</v>
      </c>
      <c r="E609" s="9"/>
      <c r="F609" s="10"/>
      <c r="G609" s="8" t="e">
        <f>VLOOKUP(Tabela8[[#This Row],[Cód.]],CENTRAL[#All],9,0)</f>
        <v>#REF!</v>
      </c>
    </row>
    <row r="610" spans="1:7" ht="16.5" thickTop="1" thickBot="1" x14ac:dyDescent="0.3">
      <c r="A610">
        <v>200006935</v>
      </c>
      <c r="B610" t="s">
        <v>239</v>
      </c>
      <c r="C610" t="s">
        <v>9</v>
      </c>
      <c r="D610" s="10" t="e">
        <f>VLOOKUP(Tabela8[[#This Row],[Cód.]],#REF!,7,0)</f>
        <v>#REF!</v>
      </c>
      <c r="E610" s="9"/>
      <c r="F610" s="10"/>
      <c r="G610" s="8" t="e">
        <f>VLOOKUP(Tabela8[[#This Row],[Cód.]],CENTRAL[#All],9,0)</f>
        <v>#REF!</v>
      </c>
    </row>
    <row r="611" spans="1:7" ht="16.5" thickTop="1" thickBot="1" x14ac:dyDescent="0.3">
      <c r="A611">
        <v>200000207</v>
      </c>
      <c r="B611" t="s">
        <v>241</v>
      </c>
      <c r="C611" t="s">
        <v>9</v>
      </c>
      <c r="D611" s="10" t="e">
        <f>VLOOKUP(Tabela8[[#This Row],[Cód.]],#REF!,7,0)</f>
        <v>#REF!</v>
      </c>
      <c r="E611" s="9"/>
      <c r="F611" s="10"/>
      <c r="G611" s="8" t="e">
        <f>VLOOKUP(Tabela8[[#This Row],[Cód.]],CENTRAL[#All],9,0)</f>
        <v>#REF!</v>
      </c>
    </row>
    <row r="612" spans="1:7" ht="16.5" thickTop="1" thickBot="1" x14ac:dyDescent="0.3">
      <c r="A612">
        <v>200005723</v>
      </c>
      <c r="B612" t="s">
        <v>242</v>
      </c>
      <c r="C612" t="s">
        <v>9</v>
      </c>
      <c r="D612" s="10" t="e">
        <f>VLOOKUP(Tabela8[[#This Row],[Cód.]],#REF!,7,0)</f>
        <v>#REF!</v>
      </c>
      <c r="E612" s="9"/>
      <c r="F612" s="10"/>
      <c r="G612" s="8" t="e">
        <f>VLOOKUP(Tabela8[[#This Row],[Cód.]],CENTRAL[#All],9,0)</f>
        <v>#REF!</v>
      </c>
    </row>
    <row r="613" spans="1:7" ht="16.5" thickTop="1" thickBot="1" x14ac:dyDescent="0.3">
      <c r="A613">
        <v>200006053</v>
      </c>
      <c r="B613" t="s">
        <v>243</v>
      </c>
      <c r="C613" t="s">
        <v>9</v>
      </c>
      <c r="D613" s="10" t="e">
        <f>VLOOKUP(Tabela8[[#This Row],[Cód.]],#REF!,7,0)</f>
        <v>#REF!</v>
      </c>
      <c r="E613" s="9"/>
      <c r="F613" s="10"/>
      <c r="G613" s="8" t="e">
        <f>VLOOKUP(Tabela8[[#This Row],[Cód.]],CENTRAL[#All],9,0)</f>
        <v>#REF!</v>
      </c>
    </row>
    <row r="614" spans="1:7" ht="16.5" thickTop="1" thickBot="1" x14ac:dyDescent="0.3">
      <c r="A614">
        <v>200006055</v>
      </c>
      <c r="B614" t="s">
        <v>244</v>
      </c>
      <c r="C614" t="s">
        <v>9</v>
      </c>
      <c r="D614" s="10" t="e">
        <f>VLOOKUP(Tabela8[[#This Row],[Cód.]],#REF!,7,0)</f>
        <v>#REF!</v>
      </c>
      <c r="E614" s="9"/>
      <c r="F614" s="10"/>
      <c r="G614" s="8" t="e">
        <f>VLOOKUP(Tabela8[[#This Row],[Cód.]],CENTRAL[#All],9,0)</f>
        <v>#REF!</v>
      </c>
    </row>
    <row r="615" spans="1:7" ht="16.5" thickTop="1" thickBot="1" x14ac:dyDescent="0.3">
      <c r="A615">
        <v>200006056</v>
      </c>
      <c r="B615" t="s">
        <v>245</v>
      </c>
      <c r="C615" t="s">
        <v>9</v>
      </c>
      <c r="D615" s="10" t="e">
        <f>VLOOKUP(Tabela8[[#This Row],[Cód.]],#REF!,7,0)</f>
        <v>#REF!</v>
      </c>
      <c r="E615" s="9"/>
      <c r="F615" s="10"/>
      <c r="G615" s="8" t="e">
        <f>VLOOKUP(Tabela8[[#This Row],[Cód.]],CENTRAL[#All],9,0)</f>
        <v>#REF!</v>
      </c>
    </row>
    <row r="616" spans="1:7" ht="16.5" thickTop="1" thickBot="1" x14ac:dyDescent="0.3">
      <c r="A616">
        <v>200003814</v>
      </c>
      <c r="B616" t="s">
        <v>246</v>
      </c>
      <c r="C616" t="s">
        <v>9</v>
      </c>
      <c r="D616" s="10" t="e">
        <f>VLOOKUP(Tabela8[[#This Row],[Cód.]],#REF!,7,0)</f>
        <v>#REF!</v>
      </c>
      <c r="E616" s="9"/>
      <c r="F616" s="10"/>
      <c r="G616" s="8" t="e">
        <f>VLOOKUP(Tabela8[[#This Row],[Cód.]],CENTRAL[#All],9,0)</f>
        <v>#REF!</v>
      </c>
    </row>
    <row r="617" spans="1:7" ht="16.5" thickTop="1" thickBot="1" x14ac:dyDescent="0.3">
      <c r="A617">
        <v>200006838</v>
      </c>
      <c r="B617" t="s">
        <v>247</v>
      </c>
      <c r="C617" t="s">
        <v>9</v>
      </c>
      <c r="D617" s="10" t="e">
        <f>VLOOKUP(Tabela8[[#This Row],[Cód.]],#REF!,7,0)</f>
        <v>#REF!</v>
      </c>
      <c r="E617" s="9"/>
      <c r="F617" s="10"/>
      <c r="G617" s="8" t="e">
        <f>VLOOKUP(Tabela8[[#This Row],[Cód.]],CENTRAL[#All],9,0)</f>
        <v>#REF!</v>
      </c>
    </row>
    <row r="618" spans="1:7" ht="16.5" thickTop="1" thickBot="1" x14ac:dyDescent="0.3">
      <c r="A618">
        <v>200006574</v>
      </c>
      <c r="B618" t="s">
        <v>249</v>
      </c>
      <c r="C618" t="s">
        <v>9</v>
      </c>
      <c r="D618" s="10" t="e">
        <f>VLOOKUP(Tabela8[[#This Row],[Cód.]],#REF!,7,0)</f>
        <v>#REF!</v>
      </c>
      <c r="E618" s="9"/>
      <c r="F618" s="10"/>
      <c r="G618" s="8" t="e">
        <f>VLOOKUP(Tabela8[[#This Row],[Cód.]],CENTRAL[#All],9,0)</f>
        <v>#REF!</v>
      </c>
    </row>
    <row r="619" spans="1:7" ht="16.5" thickTop="1" thickBot="1" x14ac:dyDescent="0.3">
      <c r="A619">
        <v>200006059</v>
      </c>
      <c r="B619" t="s">
        <v>251</v>
      </c>
      <c r="C619" t="s">
        <v>9</v>
      </c>
      <c r="D619" s="10" t="e">
        <f>VLOOKUP(Tabela8[[#This Row],[Cód.]],#REF!,7,0)</f>
        <v>#REF!</v>
      </c>
      <c r="E619" s="9"/>
      <c r="F619" s="10"/>
      <c r="G619" s="8" t="e">
        <f>VLOOKUP(Tabela8[[#This Row],[Cód.]],CENTRAL[#All],9,0)</f>
        <v>#REF!</v>
      </c>
    </row>
    <row r="620" spans="1:7" ht="16.5" thickTop="1" thickBot="1" x14ac:dyDescent="0.3">
      <c r="A620">
        <v>200001153</v>
      </c>
      <c r="B620" t="s">
        <v>253</v>
      </c>
      <c r="C620" t="s">
        <v>9</v>
      </c>
      <c r="D620" s="10" t="e">
        <f>VLOOKUP(Tabela8[[#This Row],[Cód.]],#REF!,7,0)</f>
        <v>#REF!</v>
      </c>
      <c r="E620" s="9"/>
      <c r="F620" s="10"/>
      <c r="G620" s="8" t="e">
        <f>VLOOKUP(Tabela8[[#This Row],[Cód.]],CENTRAL[#All],9,0)</f>
        <v>#REF!</v>
      </c>
    </row>
    <row r="621" spans="1:7" ht="16.5" thickTop="1" thickBot="1" x14ac:dyDescent="0.3">
      <c r="A621">
        <v>200001153</v>
      </c>
      <c r="B621" t="s">
        <v>253</v>
      </c>
      <c r="C621" t="s">
        <v>9</v>
      </c>
      <c r="D621" s="10" t="e">
        <f>VLOOKUP(Tabela8[[#This Row],[Cód.]],#REF!,7,0)</f>
        <v>#REF!</v>
      </c>
      <c r="E621" s="9"/>
      <c r="F621" s="10"/>
      <c r="G621" s="8" t="e">
        <f>VLOOKUP(Tabela8[[#This Row],[Cód.]],CENTRAL[#All],9,0)</f>
        <v>#REF!</v>
      </c>
    </row>
    <row r="622" spans="1:7" ht="16.5" thickTop="1" thickBot="1" x14ac:dyDescent="0.3">
      <c r="A622">
        <v>200001151</v>
      </c>
      <c r="B622" t="s">
        <v>254</v>
      </c>
      <c r="C622" t="s">
        <v>9</v>
      </c>
      <c r="D622" s="10" t="e">
        <f>VLOOKUP(Tabela8[[#This Row],[Cód.]],#REF!,7,0)</f>
        <v>#REF!</v>
      </c>
      <c r="E622" s="9"/>
      <c r="F622" s="10"/>
      <c r="G622" s="8" t="e">
        <f>VLOOKUP(Tabela8[[#This Row],[Cód.]],CENTRAL[#All],9,0)</f>
        <v>#REF!</v>
      </c>
    </row>
    <row r="623" spans="1:7" ht="16.5" thickTop="1" thickBot="1" x14ac:dyDescent="0.3">
      <c r="A623">
        <v>200001151</v>
      </c>
      <c r="B623" t="s">
        <v>254</v>
      </c>
      <c r="C623" t="s">
        <v>9</v>
      </c>
      <c r="D623" s="10" t="e">
        <f>VLOOKUP(Tabela8[[#This Row],[Cód.]],#REF!,7,0)</f>
        <v>#REF!</v>
      </c>
      <c r="E623" s="9"/>
      <c r="F623" s="10"/>
      <c r="G623" s="8" t="e">
        <f>VLOOKUP(Tabela8[[#This Row],[Cód.]],CENTRAL[#All],9,0)</f>
        <v>#REF!</v>
      </c>
    </row>
    <row r="624" spans="1:7" ht="16.5" thickTop="1" thickBot="1" x14ac:dyDescent="0.3">
      <c r="A624">
        <v>200001156</v>
      </c>
      <c r="B624" t="s">
        <v>255</v>
      </c>
      <c r="C624" t="s">
        <v>9</v>
      </c>
      <c r="D624" s="10" t="e">
        <f>VLOOKUP(Tabela8[[#This Row],[Cód.]],#REF!,7,0)</f>
        <v>#REF!</v>
      </c>
      <c r="E624" s="9"/>
      <c r="F624" s="10"/>
      <c r="G624" s="8" t="e">
        <f>VLOOKUP(Tabela8[[#This Row],[Cód.]],CENTRAL[#All],9,0)</f>
        <v>#REF!</v>
      </c>
    </row>
    <row r="625" spans="1:7" ht="16.5" thickTop="1" thickBot="1" x14ac:dyDescent="0.3">
      <c r="A625">
        <v>200001156</v>
      </c>
      <c r="B625" t="s">
        <v>255</v>
      </c>
      <c r="C625" t="s">
        <v>9</v>
      </c>
      <c r="D625" s="10" t="e">
        <f>VLOOKUP(Tabela8[[#This Row],[Cód.]],#REF!,7,0)</f>
        <v>#REF!</v>
      </c>
      <c r="E625" s="9"/>
      <c r="F625" s="10"/>
      <c r="G625" s="8" t="e">
        <f>VLOOKUP(Tabela8[[#This Row],[Cód.]],CENTRAL[#All],9,0)</f>
        <v>#REF!</v>
      </c>
    </row>
    <row r="626" spans="1:7" ht="16.5" thickTop="1" thickBot="1" x14ac:dyDescent="0.3">
      <c r="A626">
        <v>200001164</v>
      </c>
      <c r="B626" t="s">
        <v>256</v>
      </c>
      <c r="C626" t="s">
        <v>9</v>
      </c>
      <c r="D626" s="10" t="e">
        <f>VLOOKUP(Tabela8[[#This Row],[Cód.]],#REF!,7,0)</f>
        <v>#REF!</v>
      </c>
      <c r="E626" s="9"/>
      <c r="F626" s="10"/>
      <c r="G626" s="8" t="e">
        <f>VLOOKUP(Tabela8[[#This Row],[Cód.]],CENTRAL[#All],9,0)</f>
        <v>#REF!</v>
      </c>
    </row>
    <row r="627" spans="1:7" ht="16.5" thickTop="1" thickBot="1" x14ac:dyDescent="0.3">
      <c r="A627">
        <v>200001164</v>
      </c>
      <c r="B627" t="s">
        <v>256</v>
      </c>
      <c r="C627" t="s">
        <v>9</v>
      </c>
      <c r="D627" s="10" t="e">
        <f>VLOOKUP(Tabela8[[#This Row],[Cód.]],#REF!,7,0)</f>
        <v>#REF!</v>
      </c>
      <c r="E627" s="9"/>
      <c r="F627" s="10"/>
      <c r="G627" s="8" t="e">
        <f>VLOOKUP(Tabela8[[#This Row],[Cód.]],CENTRAL[#All],9,0)</f>
        <v>#REF!</v>
      </c>
    </row>
    <row r="628" spans="1:7" ht="16.5" thickTop="1" thickBot="1" x14ac:dyDescent="0.3">
      <c r="A628">
        <v>200002760</v>
      </c>
      <c r="B628" t="s">
        <v>257</v>
      </c>
      <c r="C628" t="s">
        <v>9</v>
      </c>
      <c r="D628" s="10" t="e">
        <f>VLOOKUP(Tabela8[[#This Row],[Cód.]],#REF!,7,0)</f>
        <v>#REF!</v>
      </c>
      <c r="E628" s="9"/>
      <c r="F628" s="10"/>
      <c r="G628" s="8" t="e">
        <f>VLOOKUP(Tabela8[[#This Row],[Cód.]],CENTRAL[#All],9,0)</f>
        <v>#REF!</v>
      </c>
    </row>
    <row r="629" spans="1:7" ht="16.5" thickTop="1" thickBot="1" x14ac:dyDescent="0.3">
      <c r="A629">
        <v>200002760</v>
      </c>
      <c r="B629" t="s">
        <v>257</v>
      </c>
      <c r="C629" t="s">
        <v>9</v>
      </c>
      <c r="D629" s="10" t="e">
        <f>VLOOKUP(Tabela8[[#This Row],[Cód.]],#REF!,7,0)</f>
        <v>#REF!</v>
      </c>
      <c r="E629" s="9"/>
      <c r="F629" s="10"/>
      <c r="G629" s="8" t="e">
        <f>VLOOKUP(Tabela8[[#This Row],[Cód.]],CENTRAL[#All],9,0)</f>
        <v>#REF!</v>
      </c>
    </row>
    <row r="630" spans="1:7" ht="16.5" thickTop="1" thickBot="1" x14ac:dyDescent="0.3">
      <c r="A630">
        <v>200001165</v>
      </c>
      <c r="B630" t="s">
        <v>258</v>
      </c>
      <c r="C630" t="s">
        <v>9</v>
      </c>
      <c r="D630" s="10" t="e">
        <f>VLOOKUP(Tabela8[[#This Row],[Cód.]],#REF!,7,0)</f>
        <v>#REF!</v>
      </c>
      <c r="E630" s="9"/>
      <c r="F630" s="10"/>
      <c r="G630" s="8" t="e">
        <f>VLOOKUP(Tabela8[[#This Row],[Cód.]],CENTRAL[#All],9,0)</f>
        <v>#REF!</v>
      </c>
    </row>
    <row r="631" spans="1:7" ht="16.5" thickTop="1" thickBot="1" x14ac:dyDescent="0.3">
      <c r="A631">
        <v>200001165</v>
      </c>
      <c r="B631" t="s">
        <v>258</v>
      </c>
      <c r="C631" t="s">
        <v>9</v>
      </c>
      <c r="D631" s="10" t="e">
        <f>VLOOKUP(Tabela8[[#This Row],[Cód.]],#REF!,7,0)</f>
        <v>#REF!</v>
      </c>
      <c r="E631" s="9"/>
      <c r="F631" s="10"/>
      <c r="G631" s="8" t="e">
        <f>VLOOKUP(Tabela8[[#This Row],[Cód.]],CENTRAL[#All],9,0)</f>
        <v>#REF!</v>
      </c>
    </row>
    <row r="632" spans="1:7" ht="16.5" thickTop="1" thickBot="1" x14ac:dyDescent="0.3">
      <c r="A632">
        <v>200002766</v>
      </c>
      <c r="B632" t="s">
        <v>259</v>
      </c>
      <c r="C632" t="s">
        <v>9</v>
      </c>
      <c r="D632" s="10" t="e">
        <f>VLOOKUP(Tabela8[[#This Row],[Cód.]],#REF!,7,0)</f>
        <v>#REF!</v>
      </c>
      <c r="E632" s="9"/>
      <c r="F632" s="10"/>
      <c r="G632" s="8" t="e">
        <f>VLOOKUP(Tabela8[[#This Row],[Cód.]],CENTRAL[#All],9,0)</f>
        <v>#REF!</v>
      </c>
    </row>
    <row r="633" spans="1:7" ht="16.5" thickTop="1" thickBot="1" x14ac:dyDescent="0.3">
      <c r="A633">
        <v>200002766</v>
      </c>
      <c r="B633" t="s">
        <v>259</v>
      </c>
      <c r="C633" t="s">
        <v>9</v>
      </c>
      <c r="D633" s="10" t="e">
        <f>VLOOKUP(Tabela8[[#This Row],[Cód.]],#REF!,7,0)</f>
        <v>#REF!</v>
      </c>
      <c r="E633" s="9"/>
      <c r="F633" s="10"/>
      <c r="G633" s="8" t="e">
        <f>VLOOKUP(Tabela8[[#This Row],[Cód.]],CENTRAL[#All],9,0)</f>
        <v>#REF!</v>
      </c>
    </row>
    <row r="634" spans="1:7" ht="16.5" thickTop="1" thickBot="1" x14ac:dyDescent="0.3">
      <c r="A634">
        <v>200002768</v>
      </c>
      <c r="B634" t="s">
        <v>260</v>
      </c>
      <c r="C634" t="s">
        <v>9</v>
      </c>
      <c r="D634" s="10" t="e">
        <f>VLOOKUP(Tabela8[[#This Row],[Cód.]],#REF!,7,0)</f>
        <v>#REF!</v>
      </c>
      <c r="E634" s="9"/>
      <c r="F634" s="10"/>
      <c r="G634" s="8" t="e">
        <f>VLOOKUP(Tabela8[[#This Row],[Cód.]],CENTRAL[#All],9,0)</f>
        <v>#REF!</v>
      </c>
    </row>
    <row r="635" spans="1:7" ht="16.5" thickTop="1" thickBot="1" x14ac:dyDescent="0.3">
      <c r="A635">
        <v>200002768</v>
      </c>
      <c r="B635" t="s">
        <v>260</v>
      </c>
      <c r="C635" t="s">
        <v>9</v>
      </c>
      <c r="D635" s="10" t="e">
        <f>VLOOKUP(Tabela8[[#This Row],[Cód.]],#REF!,7,0)</f>
        <v>#REF!</v>
      </c>
      <c r="E635" s="9"/>
      <c r="F635" s="10"/>
      <c r="G635" s="8" t="e">
        <f>VLOOKUP(Tabela8[[#This Row],[Cód.]],CENTRAL[#All],9,0)</f>
        <v>#REF!</v>
      </c>
    </row>
    <row r="636" spans="1:7" ht="16.5" thickTop="1" thickBot="1" x14ac:dyDescent="0.3">
      <c r="A636">
        <v>200001148</v>
      </c>
      <c r="B636" t="s">
        <v>261</v>
      </c>
      <c r="C636" t="s">
        <v>9</v>
      </c>
      <c r="D636" s="10" t="e">
        <f>VLOOKUP(Tabela8[[#This Row],[Cód.]],#REF!,7,0)</f>
        <v>#REF!</v>
      </c>
      <c r="E636" s="9"/>
      <c r="F636" s="10"/>
      <c r="G636" s="8" t="e">
        <f>VLOOKUP(Tabela8[[#This Row],[Cód.]],CENTRAL[#All],9,0)</f>
        <v>#REF!</v>
      </c>
    </row>
    <row r="637" spans="1:7" ht="16.5" thickTop="1" thickBot="1" x14ac:dyDescent="0.3">
      <c r="A637">
        <v>200001148</v>
      </c>
      <c r="B637" t="s">
        <v>261</v>
      </c>
      <c r="C637" t="s">
        <v>9</v>
      </c>
      <c r="D637" s="10" t="e">
        <f>VLOOKUP(Tabela8[[#This Row],[Cód.]],#REF!,7,0)</f>
        <v>#REF!</v>
      </c>
      <c r="E637" s="9"/>
      <c r="F637" s="10"/>
      <c r="G637" s="8" t="e">
        <f>VLOOKUP(Tabela8[[#This Row],[Cód.]],CENTRAL[#All],9,0)</f>
        <v>#REF!</v>
      </c>
    </row>
    <row r="638" spans="1:7" ht="16.5" thickTop="1" thickBot="1" x14ac:dyDescent="0.3">
      <c r="A638">
        <v>200000962</v>
      </c>
      <c r="B638" t="s">
        <v>262</v>
      </c>
      <c r="C638" t="s">
        <v>9</v>
      </c>
      <c r="D638" s="10" t="e">
        <f>VLOOKUP(Tabela8[[#This Row],[Cód.]],#REF!,7,0)</f>
        <v>#REF!</v>
      </c>
      <c r="E638" s="9"/>
      <c r="F638" s="10"/>
      <c r="G638" s="8" t="e">
        <f>VLOOKUP(Tabela8[[#This Row],[Cód.]],CENTRAL[#All],9,0)</f>
        <v>#REF!</v>
      </c>
    </row>
    <row r="639" spans="1:7" ht="16.5" thickTop="1" thickBot="1" x14ac:dyDescent="0.3">
      <c r="A639">
        <v>200000962</v>
      </c>
      <c r="B639" t="s">
        <v>262</v>
      </c>
      <c r="C639" t="s">
        <v>9</v>
      </c>
      <c r="D639" s="10" t="e">
        <f>VLOOKUP(Tabela8[[#This Row],[Cód.]],#REF!,7,0)</f>
        <v>#REF!</v>
      </c>
      <c r="E639" s="9"/>
      <c r="F639" s="10"/>
      <c r="G639" s="8" t="e">
        <f>VLOOKUP(Tabela8[[#This Row],[Cód.]],CENTRAL[#All],9,0)</f>
        <v>#REF!</v>
      </c>
    </row>
    <row r="640" spans="1:7" ht="15.75" thickTop="1" x14ac:dyDescent="0.25">
      <c r="A640">
        <v>200002728</v>
      </c>
      <c r="B640" t="s">
        <v>263</v>
      </c>
      <c r="C640" t="s">
        <v>9</v>
      </c>
      <c r="D640" s="10" t="e">
        <f>VLOOKUP(Tabela8[[#This Row],[Cód.]],#REF!,7,0)</f>
        <v>#REF!</v>
      </c>
      <c r="E640" s="9"/>
      <c r="F640" s="10"/>
      <c r="G640" s="8" t="e">
        <f>VLOOKUP(Tabela8[[#This Row],[Cód.]],CENTRAL[#All],9,0)</f>
        <v>#REF!</v>
      </c>
    </row>
    <row r="641" spans="1:11" ht="15.75" thickBot="1" x14ac:dyDescent="0.3">
      <c r="A641">
        <v>200002728</v>
      </c>
      <c r="B641" t="s">
        <v>263</v>
      </c>
      <c r="C641" t="s">
        <v>9</v>
      </c>
      <c r="D641" s="10" t="e">
        <f>VLOOKUP(Tabela8[[#This Row],[Cód.]],#REF!,7,0)</f>
        <v>#REF!</v>
      </c>
      <c r="E641" s="10"/>
      <c r="F641" s="10"/>
      <c r="G641" s="8" t="e">
        <f>VLOOKUP(Tabela8[[#This Row],[Cód.]],CENTRAL[#All],9,0)</f>
        <v>#REF!</v>
      </c>
    </row>
    <row r="642" spans="1:11" ht="16.5" thickTop="1" thickBot="1" x14ac:dyDescent="0.3">
      <c r="A642">
        <v>200000967</v>
      </c>
      <c r="B642" t="s">
        <v>264</v>
      </c>
      <c r="C642" t="s">
        <v>9</v>
      </c>
      <c r="D642" s="10" t="e">
        <f>VLOOKUP(Tabela8[[#This Row],[Cód.]],#REF!,7,0)</f>
        <v>#REF!</v>
      </c>
      <c r="E642" s="9"/>
      <c r="F642" s="10"/>
      <c r="G642" s="8" t="e">
        <f>VLOOKUP(Tabela8[[#This Row],[Cód.]],CENTRAL[#All],9,0)</f>
        <v>#REF!</v>
      </c>
    </row>
    <row r="643" spans="1:11" ht="16.5" thickTop="1" thickBot="1" x14ac:dyDescent="0.3">
      <c r="A643">
        <v>200000967</v>
      </c>
      <c r="B643" t="s">
        <v>264</v>
      </c>
      <c r="C643" t="s">
        <v>9</v>
      </c>
      <c r="D643" s="10" t="e">
        <f>VLOOKUP(Tabela8[[#This Row],[Cód.]],#REF!,7,0)</f>
        <v>#REF!</v>
      </c>
      <c r="E643" s="9"/>
      <c r="F643" s="10"/>
      <c r="G643" s="8" t="e">
        <f>VLOOKUP(Tabela8[[#This Row],[Cód.]],CENTRAL[#All],9,0)</f>
        <v>#REF!</v>
      </c>
    </row>
    <row r="644" spans="1:11" ht="16.5" thickTop="1" thickBot="1" x14ac:dyDescent="0.3">
      <c r="A644">
        <v>200001157</v>
      </c>
      <c r="B644" t="s">
        <v>265</v>
      </c>
      <c r="C644" t="s">
        <v>9</v>
      </c>
      <c r="D644" s="10" t="e">
        <f>VLOOKUP(Tabela8[[#This Row],[Cód.]],#REF!,7,0)</f>
        <v>#REF!</v>
      </c>
      <c r="E644" s="9"/>
      <c r="F644" s="10"/>
      <c r="G644" s="8" t="e">
        <f>VLOOKUP(Tabela8[[#This Row],[Cód.]],CENTRAL[#All],9,0)</f>
        <v>#REF!</v>
      </c>
      <c r="K644" s="2"/>
    </row>
    <row r="645" spans="1:11" ht="16.5" thickTop="1" thickBot="1" x14ac:dyDescent="0.3">
      <c r="A645">
        <v>200001157</v>
      </c>
      <c r="B645" t="s">
        <v>265</v>
      </c>
      <c r="C645" t="s">
        <v>9</v>
      </c>
      <c r="D645" s="10" t="e">
        <f>VLOOKUP(Tabela8[[#This Row],[Cód.]],#REF!,7,0)</f>
        <v>#REF!</v>
      </c>
      <c r="E645" s="9"/>
      <c r="F645" s="10"/>
      <c r="G645" s="8" t="e">
        <f>VLOOKUP(Tabela8[[#This Row],[Cód.]],CENTRAL[#All],9,0)</f>
        <v>#REF!</v>
      </c>
      <c r="K645" s="2"/>
    </row>
    <row r="646" spans="1:11" ht="16.5" thickTop="1" thickBot="1" x14ac:dyDescent="0.3">
      <c r="A646">
        <v>200001158</v>
      </c>
      <c r="B646" t="s">
        <v>266</v>
      </c>
      <c r="C646" t="s">
        <v>9</v>
      </c>
      <c r="D646" s="10" t="e">
        <f>VLOOKUP(Tabela8[[#This Row],[Cód.]],#REF!,7,0)</f>
        <v>#REF!</v>
      </c>
      <c r="E646" s="9"/>
      <c r="F646" s="10"/>
      <c r="G646" s="8" t="e">
        <f>VLOOKUP(Tabela8[[#This Row],[Cód.]],CENTRAL[#All],9,0)</f>
        <v>#REF!</v>
      </c>
    </row>
    <row r="647" spans="1:11" ht="16.5" thickTop="1" thickBot="1" x14ac:dyDescent="0.3">
      <c r="A647">
        <v>200001158</v>
      </c>
      <c r="B647" t="s">
        <v>266</v>
      </c>
      <c r="C647" t="s">
        <v>9</v>
      </c>
      <c r="D647" s="10" t="e">
        <f>VLOOKUP(Tabela8[[#This Row],[Cód.]],#REF!,7,0)</f>
        <v>#REF!</v>
      </c>
      <c r="E647" s="9"/>
      <c r="F647" s="10"/>
      <c r="G647" s="8" t="e">
        <f>VLOOKUP(Tabela8[[#This Row],[Cód.]],CENTRAL[#All],9,0)</f>
        <v>#REF!</v>
      </c>
    </row>
    <row r="648" spans="1:11" ht="16.5" thickTop="1" thickBot="1" x14ac:dyDescent="0.3">
      <c r="A648">
        <v>200002731</v>
      </c>
      <c r="B648" t="s">
        <v>267</v>
      </c>
      <c r="C648" t="s">
        <v>9</v>
      </c>
      <c r="D648" s="10" t="e">
        <f>VLOOKUP(Tabela8[[#This Row],[Cód.]],#REF!,7,0)</f>
        <v>#REF!</v>
      </c>
      <c r="E648" s="9"/>
      <c r="F648" s="10"/>
      <c r="G648" s="8" t="e">
        <f>VLOOKUP(Tabela8[[#This Row],[Cód.]],CENTRAL[#All],9,0)</f>
        <v>#REF!</v>
      </c>
    </row>
    <row r="649" spans="1:11" ht="16.5" thickTop="1" thickBot="1" x14ac:dyDescent="0.3">
      <c r="A649">
        <v>200002731</v>
      </c>
      <c r="B649" t="s">
        <v>267</v>
      </c>
      <c r="C649" t="s">
        <v>9</v>
      </c>
      <c r="D649" s="10" t="e">
        <f>VLOOKUP(Tabela8[[#This Row],[Cód.]],#REF!,7,0)</f>
        <v>#REF!</v>
      </c>
      <c r="E649" s="9"/>
      <c r="F649" s="10"/>
      <c r="G649" s="8" t="e">
        <f>VLOOKUP(Tabela8[[#This Row],[Cód.]],CENTRAL[#All],9,0)</f>
        <v>#REF!</v>
      </c>
    </row>
    <row r="650" spans="1:11" ht="16.5" thickTop="1" thickBot="1" x14ac:dyDescent="0.3">
      <c r="A650">
        <v>200001160</v>
      </c>
      <c r="B650" t="s">
        <v>268</v>
      </c>
      <c r="C650" t="s">
        <v>9</v>
      </c>
      <c r="D650" s="10" t="e">
        <f>VLOOKUP(Tabela8[[#This Row],[Cód.]],#REF!,7,0)</f>
        <v>#REF!</v>
      </c>
      <c r="E650" s="9"/>
      <c r="F650" s="10"/>
      <c r="G650" s="8" t="e">
        <f>VLOOKUP(Tabela8[[#This Row],[Cód.]],CENTRAL[#All],9,0)</f>
        <v>#REF!</v>
      </c>
    </row>
    <row r="651" spans="1:11" ht="16.5" thickTop="1" thickBot="1" x14ac:dyDescent="0.3">
      <c r="A651">
        <v>200001160</v>
      </c>
      <c r="B651" t="s">
        <v>268</v>
      </c>
      <c r="C651" t="s">
        <v>9</v>
      </c>
      <c r="D651" s="10" t="e">
        <f>VLOOKUP(Tabela8[[#This Row],[Cód.]],#REF!,7,0)</f>
        <v>#REF!</v>
      </c>
      <c r="E651" s="9"/>
      <c r="F651" s="10"/>
      <c r="G651" s="8" t="e">
        <f>VLOOKUP(Tabela8[[#This Row],[Cód.]],CENTRAL[#All],9,0)</f>
        <v>#REF!</v>
      </c>
    </row>
    <row r="652" spans="1:11" ht="16.5" thickTop="1" thickBot="1" x14ac:dyDescent="0.3">
      <c r="A652">
        <v>200000974</v>
      </c>
      <c r="B652" t="s">
        <v>269</v>
      </c>
      <c r="C652" t="s">
        <v>9</v>
      </c>
      <c r="D652" s="10" t="e">
        <f>VLOOKUP(Tabela8[[#This Row],[Cód.]],#REF!,7,0)</f>
        <v>#REF!</v>
      </c>
      <c r="E652" s="9"/>
      <c r="F652" s="10"/>
      <c r="G652" s="8" t="e">
        <f>VLOOKUP(Tabela8[[#This Row],[Cód.]],CENTRAL[#All],9,0)</f>
        <v>#REF!</v>
      </c>
    </row>
    <row r="653" spans="1:11" ht="16.5" thickTop="1" thickBot="1" x14ac:dyDescent="0.3">
      <c r="A653">
        <v>200000974</v>
      </c>
      <c r="B653" t="s">
        <v>269</v>
      </c>
      <c r="C653" t="s">
        <v>9</v>
      </c>
      <c r="D653" s="10" t="e">
        <f>VLOOKUP(Tabela8[[#This Row],[Cód.]],#REF!,7,0)</f>
        <v>#REF!</v>
      </c>
      <c r="E653" s="9"/>
      <c r="F653" s="10"/>
      <c r="G653" s="8" t="e">
        <f>VLOOKUP(Tabela8[[#This Row],[Cód.]],CENTRAL[#All],9,0)</f>
        <v>#REF!</v>
      </c>
    </row>
    <row r="654" spans="1:11" ht="16.5" thickTop="1" thickBot="1" x14ac:dyDescent="0.3">
      <c r="A654">
        <v>200002743</v>
      </c>
      <c r="B654" t="s">
        <v>270</v>
      </c>
      <c r="C654" t="s">
        <v>9</v>
      </c>
      <c r="D654" s="10" t="e">
        <f>VLOOKUP(Tabela8[[#This Row],[Cód.]],#REF!,7,0)</f>
        <v>#REF!</v>
      </c>
      <c r="E654" s="9"/>
      <c r="F654" s="10"/>
      <c r="G654" s="8" t="e">
        <f>VLOOKUP(Tabela8[[#This Row],[Cód.]],CENTRAL[#All],9,0)</f>
        <v>#REF!</v>
      </c>
    </row>
    <row r="655" spans="1:11" ht="16.5" thickTop="1" thickBot="1" x14ac:dyDescent="0.3">
      <c r="A655">
        <v>200002743</v>
      </c>
      <c r="B655" t="s">
        <v>270</v>
      </c>
      <c r="C655" t="s">
        <v>9</v>
      </c>
      <c r="D655" s="10" t="e">
        <f>VLOOKUP(Tabela8[[#This Row],[Cód.]],#REF!,7,0)</f>
        <v>#REF!</v>
      </c>
      <c r="E655" s="9"/>
      <c r="F655" s="10"/>
      <c r="G655" s="8" t="e">
        <f>VLOOKUP(Tabela8[[#This Row],[Cód.]],CENTRAL[#All],9,0)</f>
        <v>#REF!</v>
      </c>
    </row>
    <row r="656" spans="1:11" ht="16.5" thickTop="1" thickBot="1" x14ac:dyDescent="0.3">
      <c r="A656">
        <v>200006061</v>
      </c>
      <c r="B656" t="s">
        <v>271</v>
      </c>
      <c r="C656" t="s">
        <v>9</v>
      </c>
      <c r="D656" s="10" t="e">
        <f>VLOOKUP(Tabela8[[#This Row],[Cód.]],#REF!,7,0)</f>
        <v>#REF!</v>
      </c>
      <c r="E656" s="9"/>
      <c r="F656" s="10"/>
      <c r="G656" s="8" t="e">
        <f>VLOOKUP(Tabela8[[#This Row],[Cód.]],CENTRAL[#All],9,0)</f>
        <v>#REF!</v>
      </c>
    </row>
    <row r="657" spans="1:7" ht="16.5" thickTop="1" thickBot="1" x14ac:dyDescent="0.3">
      <c r="A657">
        <v>200002747</v>
      </c>
      <c r="B657" t="s">
        <v>272</v>
      </c>
      <c r="C657" t="s">
        <v>9</v>
      </c>
      <c r="D657" s="10" t="e">
        <f>VLOOKUP(Tabela8[[#This Row],[Cód.]],#REF!,7,0)</f>
        <v>#REF!</v>
      </c>
      <c r="E657" s="9"/>
      <c r="F657" s="10"/>
      <c r="G657" s="8" t="e">
        <f>VLOOKUP(Tabela8[[#This Row],[Cód.]],CENTRAL[#All],9,0)</f>
        <v>#REF!</v>
      </c>
    </row>
    <row r="658" spans="1:7" ht="16.5" thickTop="1" thickBot="1" x14ac:dyDescent="0.3">
      <c r="A658">
        <v>200002747</v>
      </c>
      <c r="B658" t="s">
        <v>272</v>
      </c>
      <c r="C658" t="s">
        <v>9</v>
      </c>
      <c r="D658" s="10" t="e">
        <f>VLOOKUP(Tabela8[[#This Row],[Cód.]],#REF!,7,0)</f>
        <v>#REF!</v>
      </c>
      <c r="E658" s="9"/>
      <c r="F658" s="10"/>
      <c r="G658" s="8" t="e">
        <f>VLOOKUP(Tabela8[[#This Row],[Cód.]],CENTRAL[#All],9,0)</f>
        <v>#REF!</v>
      </c>
    </row>
    <row r="659" spans="1:7" ht="16.5" thickTop="1" thickBot="1" x14ac:dyDescent="0.3">
      <c r="A659">
        <v>200002753</v>
      </c>
      <c r="B659" t="s">
        <v>273</v>
      </c>
      <c r="C659" t="s">
        <v>9</v>
      </c>
      <c r="D659" s="10" t="e">
        <f>VLOOKUP(Tabela8[[#This Row],[Cód.]],#REF!,7,0)</f>
        <v>#REF!</v>
      </c>
      <c r="E659" s="9"/>
      <c r="F659" s="10"/>
      <c r="G659" s="8" t="e">
        <f>VLOOKUP(Tabela8[[#This Row],[Cód.]],CENTRAL[#All],9,0)</f>
        <v>#REF!</v>
      </c>
    </row>
    <row r="660" spans="1:7" ht="16.5" thickTop="1" thickBot="1" x14ac:dyDescent="0.3">
      <c r="A660">
        <v>200002753</v>
      </c>
      <c r="B660" t="s">
        <v>273</v>
      </c>
      <c r="C660" t="s">
        <v>9</v>
      </c>
      <c r="D660" s="10" t="e">
        <f>VLOOKUP(Tabela8[[#This Row],[Cód.]],#REF!,7,0)</f>
        <v>#REF!</v>
      </c>
      <c r="E660" s="9"/>
      <c r="F660" s="10"/>
      <c r="G660" s="8" t="e">
        <f>VLOOKUP(Tabela8[[#This Row],[Cód.]],CENTRAL[#All],9,0)</f>
        <v>#REF!</v>
      </c>
    </row>
    <row r="661" spans="1:7" ht="16.5" thickTop="1" thickBot="1" x14ac:dyDescent="0.3">
      <c r="A661">
        <v>200000977</v>
      </c>
      <c r="B661" t="s">
        <v>274</v>
      </c>
      <c r="C661" t="s">
        <v>9</v>
      </c>
      <c r="D661" s="10" t="e">
        <f>VLOOKUP(Tabela8[[#This Row],[Cód.]],#REF!,7,0)</f>
        <v>#REF!</v>
      </c>
      <c r="E661" s="9"/>
      <c r="F661" s="10"/>
      <c r="G661" s="8" t="e">
        <f>VLOOKUP(Tabela8[[#This Row],[Cód.]],CENTRAL[#All],9,0)</f>
        <v>#REF!</v>
      </c>
    </row>
    <row r="662" spans="1:7" ht="16.5" thickTop="1" thickBot="1" x14ac:dyDescent="0.3">
      <c r="A662">
        <v>200000977</v>
      </c>
      <c r="B662" t="s">
        <v>274</v>
      </c>
      <c r="C662" t="s">
        <v>9</v>
      </c>
      <c r="D662" s="10" t="e">
        <f>VLOOKUP(Tabela8[[#This Row],[Cód.]],#REF!,7,0)</f>
        <v>#REF!</v>
      </c>
      <c r="E662" s="9"/>
      <c r="F662" s="10"/>
      <c r="G662" s="8" t="e">
        <f>VLOOKUP(Tabela8[[#This Row],[Cód.]],CENTRAL[#All],9,0)</f>
        <v>#REF!</v>
      </c>
    </row>
    <row r="663" spans="1:7" ht="16.5" thickTop="1" thickBot="1" x14ac:dyDescent="0.3">
      <c r="A663">
        <v>200004640</v>
      </c>
      <c r="B663" t="s">
        <v>275</v>
      </c>
      <c r="C663" t="s">
        <v>9</v>
      </c>
      <c r="D663" s="10" t="e">
        <f>VLOOKUP(Tabela8[[#This Row],[Cód.]],#REF!,7,0)</f>
        <v>#REF!</v>
      </c>
      <c r="E663" s="9"/>
      <c r="F663" s="10"/>
      <c r="G663" s="8" t="e">
        <f>VLOOKUP(Tabela8[[#This Row],[Cód.]],CENTRAL[#All],9,0)</f>
        <v>#REF!</v>
      </c>
    </row>
    <row r="664" spans="1:7" ht="15.75" thickTop="1" x14ac:dyDescent="0.25">
      <c r="A664">
        <v>200004576</v>
      </c>
      <c r="B664" t="s">
        <v>276</v>
      </c>
      <c r="C664" t="s">
        <v>9</v>
      </c>
      <c r="D664" s="10" t="e">
        <f>VLOOKUP(Tabela8[[#This Row],[Cód.]],#REF!,7,0)</f>
        <v>#REF!</v>
      </c>
      <c r="E664" s="9"/>
      <c r="F664" s="10"/>
      <c r="G664" s="8" t="e">
        <f>VLOOKUP(Tabela8[[#This Row],[Cód.]],CENTRAL[#All],9,0)</f>
        <v>#REF!</v>
      </c>
    </row>
    <row r="665" spans="1:7" ht="15.75" thickBot="1" x14ac:dyDescent="0.3">
      <c r="A665">
        <v>200000836</v>
      </c>
      <c r="B665" t="s">
        <v>277</v>
      </c>
      <c r="C665" t="s">
        <v>9</v>
      </c>
      <c r="D665" s="10" t="e">
        <f>VLOOKUP(Tabela8[[#This Row],[Cód.]],#REF!,7,0)</f>
        <v>#REF!</v>
      </c>
      <c r="E665" s="10"/>
      <c r="F665" s="10"/>
      <c r="G665" s="8" t="e">
        <f>VLOOKUP(Tabela8[[#This Row],[Cód.]],CENTRAL[#All],9,0)</f>
        <v>#REF!</v>
      </c>
    </row>
    <row r="666" spans="1:7" ht="15.75" thickTop="1" x14ac:dyDescent="0.25">
      <c r="A666">
        <v>200000836</v>
      </c>
      <c r="B666" t="s">
        <v>277</v>
      </c>
      <c r="C666" t="s">
        <v>9</v>
      </c>
      <c r="D666" s="10" t="e">
        <f>VLOOKUP(Tabela8[[#This Row],[Cód.]],#REF!,7,0)</f>
        <v>#REF!</v>
      </c>
      <c r="E666" s="9"/>
      <c r="F666" s="10"/>
      <c r="G666" s="8" t="e">
        <f>VLOOKUP(Tabela8[[#This Row],[Cód.]],CENTRAL[#All],9,0)</f>
        <v>#REF!</v>
      </c>
    </row>
    <row r="667" spans="1:7" ht="15.75" thickBot="1" x14ac:dyDescent="0.3">
      <c r="A667">
        <v>200004575</v>
      </c>
      <c r="B667" t="s">
        <v>278</v>
      </c>
      <c r="C667" t="s">
        <v>9</v>
      </c>
      <c r="D667" s="10" t="e">
        <f>VLOOKUP(Tabela8[[#This Row],[Cód.]],#REF!,7,0)</f>
        <v>#REF!</v>
      </c>
      <c r="E667" s="10"/>
      <c r="F667" s="10"/>
      <c r="G667" s="8" t="e">
        <f>VLOOKUP(Tabela8[[#This Row],[Cód.]],CENTRAL[#All],9,0)</f>
        <v>#REF!</v>
      </c>
    </row>
    <row r="668" spans="1:7" ht="16.5" thickTop="1" thickBot="1" x14ac:dyDescent="0.3">
      <c r="A668">
        <v>200004574</v>
      </c>
      <c r="B668" t="s">
        <v>279</v>
      </c>
      <c r="C668" t="s">
        <v>9</v>
      </c>
      <c r="D668" s="10" t="e">
        <f>VLOOKUP(Tabela8[[#This Row],[Cód.]],#REF!,7,0)</f>
        <v>#REF!</v>
      </c>
      <c r="E668" s="9"/>
      <c r="F668" s="10"/>
      <c r="G668" s="8" t="e">
        <f>VLOOKUP(Tabela8[[#This Row],[Cód.]],CENTRAL[#All],9,0)</f>
        <v>#REF!</v>
      </c>
    </row>
    <row r="669" spans="1:7" ht="16.5" thickTop="1" thickBot="1" x14ac:dyDescent="0.3">
      <c r="A669">
        <v>200004573</v>
      </c>
      <c r="B669" t="s">
        <v>280</v>
      </c>
      <c r="C669" t="s">
        <v>9</v>
      </c>
      <c r="D669" s="10" t="e">
        <f>VLOOKUP(Tabela8[[#This Row],[Cód.]],#REF!,7,0)</f>
        <v>#REF!</v>
      </c>
      <c r="E669" s="9"/>
      <c r="F669" s="10"/>
      <c r="G669" s="8" t="e">
        <f>VLOOKUP(Tabela8[[#This Row],[Cód.]],CENTRAL[#All],9,0)</f>
        <v>#REF!</v>
      </c>
    </row>
    <row r="670" spans="1:7" ht="16.5" thickTop="1" thickBot="1" x14ac:dyDescent="0.3">
      <c r="A670">
        <v>200002168</v>
      </c>
      <c r="B670" t="s">
        <v>281</v>
      </c>
      <c r="C670" t="s">
        <v>9</v>
      </c>
      <c r="D670" s="10" t="e">
        <f>VLOOKUP(Tabela8[[#This Row],[Cód.]],#REF!,7,0)</f>
        <v>#REF!</v>
      </c>
      <c r="E670" s="9"/>
      <c r="F670" s="10"/>
      <c r="G670" s="8" t="e">
        <f>VLOOKUP(Tabela8[[#This Row],[Cód.]],CENTRAL[#All],9,0)</f>
        <v>#REF!</v>
      </c>
    </row>
    <row r="671" spans="1:7" ht="16.5" thickTop="1" thickBot="1" x14ac:dyDescent="0.3">
      <c r="A671">
        <v>200000819</v>
      </c>
      <c r="B671" t="s">
        <v>282</v>
      </c>
      <c r="C671" t="s">
        <v>9</v>
      </c>
      <c r="D671" s="10" t="e">
        <f>VLOOKUP(Tabela8[[#This Row],[Cód.]],#REF!,7,0)</f>
        <v>#REF!</v>
      </c>
      <c r="E671" s="9"/>
      <c r="F671" s="10"/>
      <c r="G671" s="8" t="e">
        <f>VLOOKUP(Tabela8[[#This Row],[Cód.]],CENTRAL[#All],9,0)</f>
        <v>#REF!</v>
      </c>
    </row>
    <row r="672" spans="1:7" ht="16.5" thickTop="1" thickBot="1" x14ac:dyDescent="0.3">
      <c r="A672">
        <v>200000819</v>
      </c>
      <c r="B672" t="s">
        <v>282</v>
      </c>
      <c r="C672" t="s">
        <v>9</v>
      </c>
      <c r="D672" s="10" t="e">
        <f>VLOOKUP(Tabela8[[#This Row],[Cód.]],#REF!,7,0)</f>
        <v>#REF!</v>
      </c>
      <c r="E672" s="9"/>
      <c r="F672" s="10"/>
      <c r="G672" s="8" t="e">
        <f>VLOOKUP(Tabela8[[#This Row],[Cód.]],CENTRAL[#All],9,0)</f>
        <v>#REF!</v>
      </c>
    </row>
    <row r="673" spans="1:7" ht="16.5" thickTop="1" thickBot="1" x14ac:dyDescent="0.3">
      <c r="A673">
        <v>200004639</v>
      </c>
      <c r="B673" t="s">
        <v>283</v>
      </c>
      <c r="C673" t="s">
        <v>9</v>
      </c>
      <c r="D673" s="10" t="e">
        <f>VLOOKUP(Tabela8[[#This Row],[Cód.]],#REF!,7,0)</f>
        <v>#REF!</v>
      </c>
      <c r="E673" s="9"/>
      <c r="F673" s="10"/>
      <c r="G673" s="8" t="e">
        <f>VLOOKUP(Tabela8[[#This Row],[Cód.]],CENTRAL[#All],9,0)</f>
        <v>#REF!</v>
      </c>
    </row>
    <row r="674" spans="1:7" ht="16.5" thickTop="1" thickBot="1" x14ac:dyDescent="0.3">
      <c r="A674">
        <v>200000215</v>
      </c>
      <c r="B674" t="s">
        <v>284</v>
      </c>
      <c r="C674" t="s">
        <v>82</v>
      </c>
      <c r="D674" s="10" t="e">
        <f>VLOOKUP(Tabela8[[#This Row],[Cód.]],#REF!,7,0)</f>
        <v>#REF!</v>
      </c>
      <c r="E674" s="9"/>
      <c r="F674" s="10"/>
      <c r="G674" s="8" t="e">
        <f>VLOOKUP(Tabela8[[#This Row],[Cód.]],CENTRAL[#All],9,0)</f>
        <v>#REF!</v>
      </c>
    </row>
    <row r="675" spans="1:7" ht="16.5" thickTop="1" thickBot="1" x14ac:dyDescent="0.3">
      <c r="A675">
        <v>200001082</v>
      </c>
      <c r="B675" t="s">
        <v>286</v>
      </c>
      <c r="C675" t="s">
        <v>86</v>
      </c>
      <c r="D675" s="10" t="e">
        <f>VLOOKUP(Tabela8[[#This Row],[Cód.]],#REF!,7,0)</f>
        <v>#REF!</v>
      </c>
      <c r="E675" s="9"/>
      <c r="F675" s="10"/>
      <c r="G675" s="8" t="e">
        <f>VLOOKUP(Tabela8[[#This Row],[Cód.]],CENTRAL[#All],9,0)</f>
        <v>#REF!</v>
      </c>
    </row>
    <row r="676" spans="1:7" ht="16.5" thickTop="1" thickBot="1" x14ac:dyDescent="0.3">
      <c r="A676">
        <v>200001082</v>
      </c>
      <c r="B676" t="s">
        <v>286</v>
      </c>
      <c r="C676" t="s">
        <v>86</v>
      </c>
      <c r="D676" s="10" t="e">
        <f>VLOOKUP(Tabela8[[#This Row],[Cód.]],#REF!,7,0)</f>
        <v>#REF!</v>
      </c>
      <c r="E676" s="9"/>
      <c r="F676" s="10"/>
      <c r="G676" s="8" t="e">
        <f>VLOOKUP(Tabela8[[#This Row],[Cód.]],CENTRAL[#All],9,0)</f>
        <v>#REF!</v>
      </c>
    </row>
    <row r="677" spans="1:7" ht="16.5" thickTop="1" thickBot="1" x14ac:dyDescent="0.3">
      <c r="A677">
        <v>200002254</v>
      </c>
      <c r="B677" t="s">
        <v>288</v>
      </c>
      <c r="C677" t="s">
        <v>96</v>
      </c>
      <c r="D677" s="10" t="e">
        <f>VLOOKUP(Tabela8[[#This Row],[Cód.]],#REF!,7,0)</f>
        <v>#REF!</v>
      </c>
      <c r="E677" s="9"/>
      <c r="F677" s="10"/>
      <c r="G677" s="8" t="e">
        <f>VLOOKUP(Tabela8[[#This Row],[Cód.]],CENTRAL[#All],9,0)</f>
        <v>#REF!</v>
      </c>
    </row>
    <row r="678" spans="1:7" ht="16.5" thickTop="1" thickBot="1" x14ac:dyDescent="0.3">
      <c r="A678">
        <v>200002834</v>
      </c>
      <c r="B678" t="s">
        <v>290</v>
      </c>
      <c r="C678" t="s">
        <v>63</v>
      </c>
      <c r="D678" s="10" t="e">
        <f>VLOOKUP(Tabela8[[#This Row],[Cód.]],#REF!,7,0)</f>
        <v>#REF!</v>
      </c>
      <c r="E678" s="9"/>
      <c r="F678" s="10"/>
      <c r="G678" s="8" t="e">
        <f>VLOOKUP(Tabela8[[#This Row],[Cód.]],CENTRAL[#All],9,0)</f>
        <v>#REF!</v>
      </c>
    </row>
    <row r="679" spans="1:7" ht="16.5" thickTop="1" thickBot="1" x14ac:dyDescent="0.3">
      <c r="A679">
        <v>200004182</v>
      </c>
      <c r="B679" t="s">
        <v>291</v>
      </c>
      <c r="C679" t="s">
        <v>9</v>
      </c>
      <c r="D679" s="10" t="e">
        <f>VLOOKUP(Tabela8[[#This Row],[Cód.]],#REF!,7,0)</f>
        <v>#REF!</v>
      </c>
      <c r="E679" s="9"/>
      <c r="F679" s="10"/>
      <c r="G679" s="8" t="e">
        <f>VLOOKUP(Tabela8[[#This Row],[Cód.]],CENTRAL[#All],9,0)</f>
        <v>#REF!</v>
      </c>
    </row>
    <row r="680" spans="1:7" ht="15.75" thickTop="1" x14ac:dyDescent="0.25">
      <c r="A680">
        <v>200003819</v>
      </c>
      <c r="B680" t="s">
        <v>292</v>
      </c>
      <c r="C680" t="s">
        <v>63</v>
      </c>
      <c r="D680" s="10" t="e">
        <f>VLOOKUP(Tabela8[[#This Row],[Cód.]],#REF!,7,0)</f>
        <v>#REF!</v>
      </c>
      <c r="E680" s="9"/>
      <c r="F680" s="10"/>
      <c r="G680" s="8" t="e">
        <f>VLOOKUP(Tabela8[[#This Row],[Cód.]],CENTRAL[#All],9,0)</f>
        <v>#REF!</v>
      </c>
    </row>
    <row r="681" spans="1:7" ht="15.75" thickBot="1" x14ac:dyDescent="0.3">
      <c r="A681">
        <v>200005225</v>
      </c>
      <c r="B681" t="s">
        <v>293</v>
      </c>
      <c r="C681" t="s">
        <v>294</v>
      </c>
      <c r="D681" s="10" t="e">
        <f>VLOOKUP(Tabela8[[#This Row],[Cód.]],#REF!,7,0)</f>
        <v>#REF!</v>
      </c>
      <c r="E681" s="10"/>
      <c r="F681" s="10"/>
      <c r="G681" s="8" t="e">
        <f>VLOOKUP(Tabela8[[#This Row],[Cód.]],CENTRAL[#All],9,0)</f>
        <v>#REF!</v>
      </c>
    </row>
    <row r="682" spans="1:7" ht="16.5" thickTop="1" thickBot="1" x14ac:dyDescent="0.3">
      <c r="A682">
        <v>200003538</v>
      </c>
      <c r="B682" t="s">
        <v>295</v>
      </c>
      <c r="C682" t="s">
        <v>9</v>
      </c>
      <c r="D682" s="10" t="e">
        <f>VLOOKUP(Tabela8[[#This Row],[Cód.]],#REF!,7,0)</f>
        <v>#REF!</v>
      </c>
      <c r="E682" s="9"/>
      <c r="F682" s="10"/>
      <c r="G682" s="8" t="e">
        <f>VLOOKUP(Tabela8[[#This Row],[Cód.]],CENTRAL[#All],9,0)</f>
        <v>#REF!</v>
      </c>
    </row>
    <row r="683" spans="1:7" ht="16.5" thickTop="1" thickBot="1" x14ac:dyDescent="0.3">
      <c r="A683">
        <v>200003536</v>
      </c>
      <c r="B683" t="s">
        <v>296</v>
      </c>
      <c r="C683" t="s">
        <v>9</v>
      </c>
      <c r="D683" s="10" t="e">
        <f>VLOOKUP(Tabela8[[#This Row],[Cód.]],#REF!,7,0)</f>
        <v>#REF!</v>
      </c>
      <c r="E683" s="9"/>
      <c r="F683" s="10"/>
      <c r="G683" s="8" t="e">
        <f>VLOOKUP(Tabela8[[#This Row],[Cód.]],CENTRAL[#All],9,0)</f>
        <v>#REF!</v>
      </c>
    </row>
    <row r="684" spans="1:7" ht="16.5" thickTop="1" thickBot="1" x14ac:dyDescent="0.3">
      <c r="A684">
        <v>200003537</v>
      </c>
      <c r="B684" t="s">
        <v>297</v>
      </c>
      <c r="C684" t="s">
        <v>9</v>
      </c>
      <c r="D684" s="10" t="e">
        <f>VLOOKUP(Tabela8[[#This Row],[Cód.]],#REF!,7,0)</f>
        <v>#REF!</v>
      </c>
      <c r="E684" s="9"/>
      <c r="F684" s="10"/>
      <c r="G684" s="8" t="e">
        <f>VLOOKUP(Tabela8[[#This Row],[Cód.]],CENTRAL[#All],9,0)</f>
        <v>#REF!</v>
      </c>
    </row>
    <row r="685" spans="1:7" ht="16.5" thickTop="1" thickBot="1" x14ac:dyDescent="0.3">
      <c r="A685">
        <v>200004226</v>
      </c>
      <c r="B685" t="s">
        <v>298</v>
      </c>
      <c r="C685" t="s">
        <v>9</v>
      </c>
      <c r="D685" s="10" t="e">
        <f>VLOOKUP(Tabela8[[#This Row],[Cód.]],#REF!,7,0)</f>
        <v>#REF!</v>
      </c>
      <c r="E685" s="9"/>
      <c r="F685" s="10"/>
      <c r="G685" s="8" t="e">
        <f>VLOOKUP(Tabela8[[#This Row],[Cód.]],CENTRAL[#All],9,0)</f>
        <v>#REF!</v>
      </c>
    </row>
    <row r="686" spans="1:7" ht="16.5" thickTop="1" thickBot="1" x14ac:dyDescent="0.3">
      <c r="A686">
        <v>200004010</v>
      </c>
      <c r="B686" t="s">
        <v>299</v>
      </c>
      <c r="C686" t="s">
        <v>9</v>
      </c>
      <c r="D686" s="10" t="e">
        <f>VLOOKUP(Tabela8[[#This Row],[Cód.]],#REF!,7,0)</f>
        <v>#REF!</v>
      </c>
      <c r="E686" s="9"/>
      <c r="F686" s="10"/>
      <c r="G686" s="8" t="e">
        <f>VLOOKUP(Tabela8[[#This Row],[Cód.]],CENTRAL[#All],9,0)</f>
        <v>#REF!</v>
      </c>
    </row>
    <row r="687" spans="1:7" ht="16.5" thickTop="1" thickBot="1" x14ac:dyDescent="0.3">
      <c r="A687">
        <v>200004192</v>
      </c>
      <c r="B687" t="s">
        <v>300</v>
      </c>
      <c r="C687" t="s">
        <v>9</v>
      </c>
      <c r="D687" s="10" t="e">
        <f>VLOOKUP(Tabela8[[#This Row],[Cód.]],#REF!,7,0)</f>
        <v>#REF!</v>
      </c>
      <c r="E687" s="9"/>
      <c r="F687" s="10"/>
      <c r="G687" s="8" t="e">
        <f>VLOOKUP(Tabela8[[#This Row],[Cód.]],CENTRAL[#All],9,0)</f>
        <v>#REF!</v>
      </c>
    </row>
    <row r="688" spans="1:7" ht="16.5" thickTop="1" thickBot="1" x14ac:dyDescent="0.3">
      <c r="A688">
        <v>200005784</v>
      </c>
      <c r="B688" t="s">
        <v>301</v>
      </c>
      <c r="C688" t="s">
        <v>9</v>
      </c>
      <c r="D688" s="10" t="e">
        <f>VLOOKUP(Tabela8[[#This Row],[Cód.]],#REF!,7,0)</f>
        <v>#REF!</v>
      </c>
      <c r="E688" s="9"/>
      <c r="F688" s="10"/>
      <c r="G688" s="8" t="e">
        <f>VLOOKUP(Tabela8[[#This Row],[Cód.]],CENTRAL[#All],9,0)</f>
        <v>#REF!</v>
      </c>
    </row>
    <row r="689" spans="1:7" ht="16.5" thickTop="1" thickBot="1" x14ac:dyDescent="0.3">
      <c r="A689">
        <v>200006271</v>
      </c>
      <c r="B689" t="s">
        <v>302</v>
      </c>
      <c r="C689" t="s">
        <v>9</v>
      </c>
      <c r="D689" s="10" t="e">
        <f>VLOOKUP(Tabela8[[#This Row],[Cód.]],#REF!,7,0)</f>
        <v>#REF!</v>
      </c>
      <c r="E689" s="9"/>
      <c r="F689" s="10"/>
      <c r="G689" s="8" t="e">
        <f>VLOOKUP(Tabela8[[#This Row],[Cód.]],CENTRAL[#All],9,0)</f>
        <v>#REF!</v>
      </c>
    </row>
    <row r="690" spans="1:7" ht="16.5" thickTop="1" thickBot="1" x14ac:dyDescent="0.3">
      <c r="A690">
        <v>200003627</v>
      </c>
      <c r="B690" t="s">
        <v>303</v>
      </c>
      <c r="C690" t="s">
        <v>9</v>
      </c>
      <c r="D690" s="10" t="e">
        <f>VLOOKUP(Tabela8[[#This Row],[Cód.]],#REF!,7,0)</f>
        <v>#REF!</v>
      </c>
      <c r="E690" s="9"/>
      <c r="F690" s="10"/>
      <c r="G690" s="8" t="e">
        <f>VLOOKUP(Tabela8[[#This Row],[Cód.]],CENTRAL[#All],9,0)</f>
        <v>#REF!</v>
      </c>
    </row>
    <row r="691" spans="1:7" ht="16.5" thickTop="1" thickBot="1" x14ac:dyDescent="0.3">
      <c r="A691">
        <v>200003619</v>
      </c>
      <c r="B691" t="s">
        <v>304</v>
      </c>
      <c r="C691" t="s">
        <v>9</v>
      </c>
      <c r="D691" s="10" t="e">
        <f>VLOOKUP(Tabela8[[#This Row],[Cód.]],#REF!,7,0)</f>
        <v>#REF!</v>
      </c>
      <c r="E691" s="9"/>
      <c r="F691" s="10"/>
      <c r="G691" s="8" t="e">
        <f>VLOOKUP(Tabela8[[#This Row],[Cód.]],CENTRAL[#All],9,0)</f>
        <v>#REF!</v>
      </c>
    </row>
    <row r="692" spans="1:7" ht="16.5" thickTop="1" thickBot="1" x14ac:dyDescent="0.3">
      <c r="A692">
        <v>200002214</v>
      </c>
      <c r="B692" t="s">
        <v>305</v>
      </c>
      <c r="C692" t="s">
        <v>9</v>
      </c>
      <c r="D692" s="10" t="e">
        <f>VLOOKUP(Tabela8[[#This Row],[Cód.]],#REF!,7,0)</f>
        <v>#REF!</v>
      </c>
      <c r="E692" s="9"/>
      <c r="F692" s="10"/>
      <c r="G692" s="8" t="e">
        <f>VLOOKUP(Tabela8[[#This Row],[Cód.]],CENTRAL[#All],9,0)</f>
        <v>#REF!</v>
      </c>
    </row>
    <row r="693" spans="1:7" ht="16.5" thickTop="1" thickBot="1" x14ac:dyDescent="0.3">
      <c r="A693">
        <v>200001018</v>
      </c>
      <c r="B693" t="s">
        <v>308</v>
      </c>
      <c r="C693" t="s">
        <v>9</v>
      </c>
      <c r="D693" s="10" t="e">
        <f>VLOOKUP(Tabela8[[#This Row],[Cód.]],#REF!,7,0)</f>
        <v>#REF!</v>
      </c>
      <c r="E693" s="9"/>
      <c r="F693" s="10"/>
      <c r="G693" s="8" t="e">
        <f>VLOOKUP(Tabela8[[#This Row],[Cód.]],CENTRAL[#All],9,0)</f>
        <v>#REF!</v>
      </c>
    </row>
    <row r="694" spans="1:7" ht="16.5" thickTop="1" thickBot="1" x14ac:dyDescent="0.3">
      <c r="A694">
        <v>200002710</v>
      </c>
      <c r="B694" t="s">
        <v>309</v>
      </c>
      <c r="C694" t="s">
        <v>9</v>
      </c>
      <c r="D694" s="10" t="e">
        <f>VLOOKUP(Tabela8[[#This Row],[Cód.]],#REF!,7,0)</f>
        <v>#REF!</v>
      </c>
      <c r="E694" s="9"/>
      <c r="F694" s="10"/>
      <c r="G694" s="8" t="e">
        <f>VLOOKUP(Tabela8[[#This Row],[Cód.]],CENTRAL[#All],9,0)</f>
        <v>#REF!</v>
      </c>
    </row>
    <row r="695" spans="1:7" ht="16.5" thickTop="1" thickBot="1" x14ac:dyDescent="0.3">
      <c r="A695">
        <v>200003598</v>
      </c>
      <c r="B695" t="s">
        <v>310</v>
      </c>
      <c r="C695" t="s">
        <v>9</v>
      </c>
      <c r="D695" s="10" t="e">
        <f>VLOOKUP(Tabela8[[#This Row],[Cód.]],#REF!,7,0)</f>
        <v>#REF!</v>
      </c>
      <c r="E695" s="9"/>
      <c r="F695" s="10"/>
      <c r="G695" s="8" t="e">
        <f>VLOOKUP(Tabela8[[#This Row],[Cód.]],CENTRAL[#All],9,0)</f>
        <v>#REF!</v>
      </c>
    </row>
    <row r="696" spans="1:7" ht="16.5" thickTop="1" thickBot="1" x14ac:dyDescent="0.3">
      <c r="A696">
        <v>200003599</v>
      </c>
      <c r="B696" t="s">
        <v>311</v>
      </c>
      <c r="C696" t="s">
        <v>9</v>
      </c>
      <c r="D696" s="10" t="e">
        <f>VLOOKUP(Tabela8[[#This Row],[Cód.]],#REF!,7,0)</f>
        <v>#REF!</v>
      </c>
      <c r="E696" s="9"/>
      <c r="F696" s="10"/>
      <c r="G696" s="8" t="e">
        <f>VLOOKUP(Tabela8[[#This Row],[Cód.]],CENTRAL[#All],9,0)</f>
        <v>#REF!</v>
      </c>
    </row>
    <row r="697" spans="1:7" ht="16.5" thickTop="1" thickBot="1" x14ac:dyDescent="0.3">
      <c r="A697">
        <v>200002470</v>
      </c>
      <c r="B697" t="s">
        <v>312</v>
      </c>
      <c r="C697" t="s">
        <v>9</v>
      </c>
      <c r="D697" s="10" t="e">
        <f>VLOOKUP(Tabela8[[#This Row],[Cód.]],#REF!,7,0)</f>
        <v>#REF!</v>
      </c>
      <c r="E697" s="9"/>
      <c r="F697" s="10"/>
      <c r="G697" s="8" t="e">
        <f>VLOOKUP(Tabela8[[#This Row],[Cód.]],CENTRAL[#All],9,0)</f>
        <v>#REF!</v>
      </c>
    </row>
    <row r="698" spans="1:7" ht="16.5" thickTop="1" thickBot="1" x14ac:dyDescent="0.3">
      <c r="A698">
        <v>200002470</v>
      </c>
      <c r="B698" t="s">
        <v>312</v>
      </c>
      <c r="C698" t="s">
        <v>9</v>
      </c>
      <c r="D698" s="10" t="e">
        <f>VLOOKUP(Tabela8[[#This Row],[Cód.]],#REF!,7,0)</f>
        <v>#REF!</v>
      </c>
      <c r="E698" s="9"/>
      <c r="F698" s="10"/>
      <c r="G698" s="8" t="e">
        <f>VLOOKUP(Tabela8[[#This Row],[Cód.]],CENTRAL[#All],9,0)</f>
        <v>#REF!</v>
      </c>
    </row>
    <row r="699" spans="1:7" ht="16.5" thickTop="1" thickBot="1" x14ac:dyDescent="0.3">
      <c r="A699">
        <v>200003677</v>
      </c>
      <c r="B699" t="s">
        <v>318</v>
      </c>
      <c r="C699" t="s">
        <v>9</v>
      </c>
      <c r="D699" s="10" t="e">
        <f>VLOOKUP(Tabela8[[#This Row],[Cód.]],#REF!,7,0)</f>
        <v>#REF!</v>
      </c>
      <c r="E699" s="9"/>
      <c r="F699" s="10"/>
      <c r="G699" s="8" t="e">
        <f>VLOOKUP(Tabela8[[#This Row],[Cód.]],CENTRAL[#All],9,0)</f>
        <v>#REF!</v>
      </c>
    </row>
    <row r="700" spans="1:7" ht="16.5" thickTop="1" thickBot="1" x14ac:dyDescent="0.3">
      <c r="A700">
        <v>200003678</v>
      </c>
      <c r="B700" t="s">
        <v>319</v>
      </c>
      <c r="C700" t="s">
        <v>9</v>
      </c>
      <c r="D700" s="10" t="e">
        <f>VLOOKUP(Tabela8[[#This Row],[Cód.]],#REF!,7,0)</f>
        <v>#REF!</v>
      </c>
      <c r="E700" s="9"/>
      <c r="F700" s="10"/>
      <c r="G700" s="8" t="e">
        <f>VLOOKUP(Tabela8[[#This Row],[Cód.]],CENTRAL[#All],9,0)</f>
        <v>#REF!</v>
      </c>
    </row>
    <row r="701" spans="1:7" ht="16.5" thickTop="1" thickBot="1" x14ac:dyDescent="0.3">
      <c r="A701">
        <v>200003679</v>
      </c>
      <c r="B701" t="s">
        <v>320</v>
      </c>
      <c r="C701" t="s">
        <v>9</v>
      </c>
      <c r="D701" s="10" t="e">
        <f>VLOOKUP(Tabela8[[#This Row],[Cód.]],#REF!,7,0)</f>
        <v>#REF!</v>
      </c>
      <c r="E701" s="9"/>
      <c r="F701" s="10"/>
      <c r="G701" s="8" t="e">
        <f>VLOOKUP(Tabela8[[#This Row],[Cód.]],CENTRAL[#All],9,0)</f>
        <v>#REF!</v>
      </c>
    </row>
    <row r="702" spans="1:7" ht="15.75" thickTop="1" x14ac:dyDescent="0.25">
      <c r="A702">
        <v>200003680</v>
      </c>
      <c r="B702" t="s">
        <v>321</v>
      </c>
      <c r="C702" t="s">
        <v>9</v>
      </c>
      <c r="D702" s="10" t="e">
        <f>VLOOKUP(Tabela8[[#This Row],[Cód.]],#REF!,7,0)</f>
        <v>#REF!</v>
      </c>
      <c r="E702" s="9"/>
      <c r="F702" s="10"/>
      <c r="G702" s="8" t="e">
        <f>VLOOKUP(Tabela8[[#This Row],[Cód.]],CENTRAL[#All],9,0)</f>
        <v>#REF!</v>
      </c>
    </row>
    <row r="703" spans="1:7" ht="15.75" thickBot="1" x14ac:dyDescent="0.3">
      <c r="A703">
        <v>200002348</v>
      </c>
      <c r="B703" t="s">
        <v>322</v>
      </c>
      <c r="C703" t="s">
        <v>9</v>
      </c>
      <c r="D703" s="10" t="e">
        <f>VLOOKUP(Tabela8[[#This Row],[Cód.]],#REF!,7,0)</f>
        <v>#REF!</v>
      </c>
      <c r="E703" s="10"/>
      <c r="F703" s="10"/>
      <c r="G703" s="8" t="e">
        <f>VLOOKUP(Tabela8[[#This Row],[Cód.]],CENTRAL[#All],9,0)</f>
        <v>#REF!</v>
      </c>
    </row>
    <row r="704" spans="1:7" ht="16.5" thickTop="1" thickBot="1" x14ac:dyDescent="0.3">
      <c r="A704">
        <v>200001019</v>
      </c>
      <c r="B704" t="s">
        <v>330</v>
      </c>
      <c r="C704" t="s">
        <v>9</v>
      </c>
      <c r="D704" s="10" t="e">
        <f>VLOOKUP(Tabela8[[#This Row],[Cód.]],#REF!,7,0)</f>
        <v>#REF!</v>
      </c>
      <c r="E704" s="9"/>
      <c r="F704" s="10"/>
      <c r="G704" s="8" t="e">
        <f>VLOOKUP(Tabela8[[#This Row],[Cód.]],CENTRAL[#All],9,0)</f>
        <v>#REF!</v>
      </c>
    </row>
    <row r="705" spans="1:7" ht="16.5" thickTop="1" thickBot="1" x14ac:dyDescent="0.3">
      <c r="A705">
        <v>200005797</v>
      </c>
      <c r="B705" t="s">
        <v>334</v>
      </c>
      <c r="C705" t="s">
        <v>9</v>
      </c>
      <c r="D705" s="10" t="e">
        <f>VLOOKUP(Tabela8[[#This Row],[Cód.]],#REF!,7,0)</f>
        <v>#REF!</v>
      </c>
      <c r="E705" s="9"/>
      <c r="F705" s="10"/>
      <c r="G705" s="8" t="e">
        <f>VLOOKUP(Tabela8[[#This Row],[Cód.]],CENTRAL[#All],9,0)</f>
        <v>#REF!</v>
      </c>
    </row>
    <row r="706" spans="1:7" ht="16.5" thickTop="1" thickBot="1" x14ac:dyDescent="0.3">
      <c r="A706">
        <v>200004948</v>
      </c>
      <c r="B706" t="s">
        <v>335</v>
      </c>
      <c r="C706" t="s">
        <v>9</v>
      </c>
      <c r="D706" s="10" t="e">
        <f>VLOOKUP(Tabela8[[#This Row],[Cód.]],#REF!,7,0)</f>
        <v>#REF!</v>
      </c>
      <c r="E706" s="9"/>
      <c r="F706" s="10"/>
      <c r="G706" s="8" t="e">
        <f>VLOOKUP(Tabela8[[#This Row],[Cód.]],CENTRAL[#All],9,0)</f>
        <v>#REF!</v>
      </c>
    </row>
    <row r="707" spans="1:7" ht="16.5" thickTop="1" thickBot="1" x14ac:dyDescent="0.3">
      <c r="A707">
        <v>200004948</v>
      </c>
      <c r="B707" t="s">
        <v>335</v>
      </c>
      <c r="C707" t="s">
        <v>9</v>
      </c>
      <c r="D707" s="10" t="e">
        <f>VLOOKUP(Tabela8[[#This Row],[Cód.]],#REF!,7,0)</f>
        <v>#REF!</v>
      </c>
      <c r="E707" s="9"/>
      <c r="F707" s="10"/>
      <c r="G707" s="8" t="e">
        <f>VLOOKUP(Tabela8[[#This Row],[Cód.]],CENTRAL[#All],9,0)</f>
        <v>#REF!</v>
      </c>
    </row>
    <row r="708" spans="1:7" ht="16.5" thickTop="1" thickBot="1" x14ac:dyDescent="0.3">
      <c r="A708">
        <v>200005799</v>
      </c>
      <c r="B708" t="s">
        <v>338</v>
      </c>
      <c r="C708" t="s">
        <v>9</v>
      </c>
      <c r="D708" s="10" t="e">
        <f>VLOOKUP(Tabela8[[#This Row],[Cód.]],#REF!,7,0)</f>
        <v>#REF!</v>
      </c>
      <c r="E708" s="9"/>
      <c r="F708" s="10"/>
      <c r="G708" s="8" t="e">
        <f>VLOOKUP(Tabela8[[#This Row],[Cód.]],CENTRAL[#All],9,0)</f>
        <v>#REF!</v>
      </c>
    </row>
    <row r="709" spans="1:7" ht="16.5" thickTop="1" thickBot="1" x14ac:dyDescent="0.3">
      <c r="A709">
        <v>200002126</v>
      </c>
      <c r="B709" t="s">
        <v>340</v>
      </c>
      <c r="C709" t="s">
        <v>9</v>
      </c>
      <c r="D709" s="10" t="e">
        <f>VLOOKUP(Tabela8[[#This Row],[Cód.]],#REF!,7,0)</f>
        <v>#REF!</v>
      </c>
      <c r="E709" s="9"/>
      <c r="F709" s="10"/>
      <c r="G709" s="8" t="e">
        <f>VLOOKUP(Tabela8[[#This Row],[Cód.]],CENTRAL[#All],9,0)</f>
        <v>#REF!</v>
      </c>
    </row>
    <row r="710" spans="1:7" ht="16.5" thickTop="1" thickBot="1" x14ac:dyDescent="0.3">
      <c r="A710">
        <v>200004014</v>
      </c>
      <c r="B710" t="s">
        <v>341</v>
      </c>
      <c r="C710" t="s">
        <v>9</v>
      </c>
      <c r="D710" s="10" t="e">
        <f>VLOOKUP(Tabela8[[#This Row],[Cód.]],#REF!,7,0)</f>
        <v>#REF!</v>
      </c>
      <c r="E710" s="9"/>
      <c r="F710" s="10"/>
      <c r="G710" s="8" t="e">
        <f>VLOOKUP(Tabela8[[#This Row],[Cód.]],CENTRAL[#All],9,0)</f>
        <v>#REF!</v>
      </c>
    </row>
    <row r="711" spans="1:7" ht="16.5" thickTop="1" thickBot="1" x14ac:dyDescent="0.3">
      <c r="A711">
        <v>200004014</v>
      </c>
      <c r="B711" t="s">
        <v>341</v>
      </c>
      <c r="C711" t="s">
        <v>9</v>
      </c>
      <c r="D711" s="10" t="e">
        <f>VLOOKUP(Tabela8[[#This Row],[Cód.]],#REF!,7,0)</f>
        <v>#REF!</v>
      </c>
      <c r="E711" s="9"/>
      <c r="F711" s="10"/>
      <c r="G711" s="8" t="e">
        <f>VLOOKUP(Tabela8[[#This Row],[Cód.]],CENTRAL[#All],9,0)</f>
        <v>#REF!</v>
      </c>
    </row>
    <row r="712" spans="1:7" ht="16.5" thickTop="1" thickBot="1" x14ac:dyDescent="0.3">
      <c r="A712">
        <v>200004672</v>
      </c>
      <c r="B712" t="s">
        <v>342</v>
      </c>
      <c r="C712" t="s">
        <v>9</v>
      </c>
      <c r="D712" s="10" t="e">
        <f>VLOOKUP(Tabela8[[#This Row],[Cód.]],#REF!,7,0)</f>
        <v>#REF!</v>
      </c>
      <c r="E712" s="9"/>
      <c r="F712" s="10"/>
      <c r="G712" s="8" t="e">
        <f>VLOOKUP(Tabela8[[#This Row],[Cód.]],CENTRAL[#All],9,0)</f>
        <v>#REF!</v>
      </c>
    </row>
    <row r="713" spans="1:7" ht="16.5" thickTop="1" thickBot="1" x14ac:dyDescent="0.3">
      <c r="A713">
        <v>200004670</v>
      </c>
      <c r="B713" t="s">
        <v>343</v>
      </c>
      <c r="C713" t="s">
        <v>9</v>
      </c>
      <c r="D713" s="10" t="e">
        <f>VLOOKUP(Tabela8[[#This Row],[Cód.]],#REF!,7,0)</f>
        <v>#REF!</v>
      </c>
      <c r="E713" s="9"/>
      <c r="F713" s="10"/>
      <c r="G713" s="8" t="e">
        <f>VLOOKUP(Tabela8[[#This Row],[Cód.]],CENTRAL[#All],9,0)</f>
        <v>#REF!</v>
      </c>
    </row>
    <row r="714" spans="1:7" ht="16.5" thickTop="1" thickBot="1" x14ac:dyDescent="0.3">
      <c r="A714">
        <v>200000287</v>
      </c>
      <c r="B714" t="s">
        <v>345</v>
      </c>
      <c r="C714" t="s">
        <v>9</v>
      </c>
      <c r="D714" s="10" t="e">
        <f>VLOOKUP(Tabela8[[#This Row],[Cód.]],#REF!,7,0)</f>
        <v>#REF!</v>
      </c>
      <c r="E714" s="9"/>
      <c r="F714" s="10"/>
      <c r="G714" s="8" t="e">
        <f>VLOOKUP(Tabela8[[#This Row],[Cód.]],CENTRAL[#All],9,0)</f>
        <v>#REF!</v>
      </c>
    </row>
    <row r="715" spans="1:7" ht="16.5" thickTop="1" thickBot="1" x14ac:dyDescent="0.3">
      <c r="A715">
        <v>200000284</v>
      </c>
      <c r="B715" t="s">
        <v>346</v>
      </c>
      <c r="C715" t="s">
        <v>9</v>
      </c>
      <c r="D715" s="10" t="e">
        <f>VLOOKUP(Tabela8[[#This Row],[Cód.]],#REF!,7,0)</f>
        <v>#REF!</v>
      </c>
      <c r="E715" s="9"/>
      <c r="F715" s="10"/>
      <c r="G715" s="8" t="e">
        <f>VLOOKUP(Tabela8[[#This Row],[Cód.]],CENTRAL[#All],9,0)</f>
        <v>#REF!</v>
      </c>
    </row>
    <row r="716" spans="1:7" ht="16.5" thickTop="1" thickBot="1" x14ac:dyDescent="0.3">
      <c r="A716">
        <v>200006221</v>
      </c>
      <c r="B716" t="s">
        <v>348</v>
      </c>
      <c r="C716" t="s">
        <v>9</v>
      </c>
      <c r="D716" s="10" t="e">
        <f>VLOOKUP(Tabela8[[#This Row],[Cód.]],#REF!,7,0)</f>
        <v>#REF!</v>
      </c>
      <c r="E716" s="9"/>
      <c r="F716" s="10"/>
      <c r="G716" s="8" t="e">
        <f>VLOOKUP(Tabela8[[#This Row],[Cód.]],CENTRAL[#All],9,0)</f>
        <v>#REF!</v>
      </c>
    </row>
    <row r="717" spans="1:7" ht="16.5" thickTop="1" thickBot="1" x14ac:dyDescent="0.3">
      <c r="A717">
        <v>200006220</v>
      </c>
      <c r="B717" t="s">
        <v>351</v>
      </c>
      <c r="C717" t="s">
        <v>9</v>
      </c>
      <c r="D717" s="10" t="e">
        <f>VLOOKUP(Tabela8[[#This Row],[Cód.]],#REF!,7,0)</f>
        <v>#REF!</v>
      </c>
      <c r="E717" s="9"/>
      <c r="F717" s="10"/>
      <c r="G717" s="8" t="e">
        <f>VLOOKUP(Tabela8[[#This Row],[Cód.]],CENTRAL[#All],9,0)</f>
        <v>#REF!</v>
      </c>
    </row>
    <row r="718" spans="1:7" ht="14.25" customHeight="1" thickTop="1" thickBot="1" x14ac:dyDescent="0.3">
      <c r="A718">
        <v>200000289</v>
      </c>
      <c r="B718" t="s">
        <v>352</v>
      </c>
      <c r="C718" t="s">
        <v>9</v>
      </c>
      <c r="D718" s="10" t="e">
        <f>VLOOKUP(Tabela8[[#This Row],[Cód.]],#REF!,7,0)</f>
        <v>#REF!</v>
      </c>
      <c r="E718" s="9"/>
      <c r="F718" s="10"/>
      <c r="G718" s="8" t="e">
        <f>VLOOKUP(Tabela8[[#This Row],[Cód.]],CENTRAL[#All],9,0)</f>
        <v>#REF!</v>
      </c>
    </row>
    <row r="719" spans="1:7" ht="16.5" thickTop="1" thickBot="1" x14ac:dyDescent="0.3">
      <c r="A719">
        <v>200000290</v>
      </c>
      <c r="B719" t="s">
        <v>353</v>
      </c>
      <c r="C719" t="s">
        <v>9</v>
      </c>
      <c r="D719" s="10" t="e">
        <f>VLOOKUP(Tabela8[[#This Row],[Cód.]],#REF!,7,0)</f>
        <v>#REF!</v>
      </c>
      <c r="E719" s="9"/>
      <c r="F719" s="10"/>
      <c r="G719" s="8" t="e">
        <f>VLOOKUP(Tabela8[[#This Row],[Cód.]],CENTRAL[#All],9,0)</f>
        <v>#REF!</v>
      </c>
    </row>
    <row r="720" spans="1:7" ht="16.5" thickTop="1" thickBot="1" x14ac:dyDescent="0.3">
      <c r="A720">
        <v>200000890</v>
      </c>
      <c r="B720" t="s">
        <v>354</v>
      </c>
      <c r="C720" t="s">
        <v>9</v>
      </c>
      <c r="D720" s="10" t="e">
        <f>VLOOKUP(Tabela8[[#This Row],[Cód.]],#REF!,7,0)</f>
        <v>#REF!</v>
      </c>
      <c r="E720" s="9"/>
      <c r="F720" s="10"/>
      <c r="G720" s="8" t="e">
        <f>VLOOKUP(Tabela8[[#This Row],[Cód.]],CENTRAL[#All],9,0)</f>
        <v>#REF!</v>
      </c>
    </row>
    <row r="721" spans="1:7" ht="16.5" thickTop="1" thickBot="1" x14ac:dyDescent="0.3">
      <c r="A721">
        <v>200000292</v>
      </c>
      <c r="B721" t="s">
        <v>355</v>
      </c>
      <c r="C721" t="s">
        <v>9</v>
      </c>
      <c r="D721" s="10" t="e">
        <f>VLOOKUP(Tabela8[[#This Row],[Cód.]],#REF!,7,0)</f>
        <v>#REF!</v>
      </c>
      <c r="E721" s="9"/>
      <c r="F721" s="10"/>
      <c r="G721" s="8" t="e">
        <f>VLOOKUP(Tabela8[[#This Row],[Cód.]],CENTRAL[#All],9,0)</f>
        <v>#REF!</v>
      </c>
    </row>
    <row r="722" spans="1:7" ht="16.5" thickTop="1" thickBot="1" x14ac:dyDescent="0.3">
      <c r="A722">
        <v>200001021</v>
      </c>
      <c r="B722" t="s">
        <v>356</v>
      </c>
      <c r="C722" t="s">
        <v>9</v>
      </c>
      <c r="D722" s="10" t="e">
        <f>VLOOKUP(Tabela8[[#This Row],[Cód.]],#REF!,7,0)</f>
        <v>#REF!</v>
      </c>
      <c r="E722" s="9"/>
      <c r="F722" s="10"/>
      <c r="G722" s="8" t="e">
        <f>VLOOKUP(Tabela8[[#This Row],[Cód.]],CENTRAL[#All],9,0)</f>
        <v>#REF!</v>
      </c>
    </row>
    <row r="723" spans="1:7" ht="16.5" thickTop="1" thickBot="1" x14ac:dyDescent="0.3">
      <c r="A723">
        <v>200005798</v>
      </c>
      <c r="B723" t="s">
        <v>357</v>
      </c>
      <c r="C723" t="s">
        <v>82</v>
      </c>
      <c r="D723" s="10" t="e">
        <f>VLOOKUP(Tabela8[[#This Row],[Cód.]],#REF!,7,0)</f>
        <v>#REF!</v>
      </c>
      <c r="E723" s="9"/>
      <c r="F723" s="10"/>
      <c r="G723" s="8" t="e">
        <f>VLOOKUP(Tabela8[[#This Row],[Cód.]],CENTRAL[#All],9,0)</f>
        <v>#REF!</v>
      </c>
    </row>
    <row r="724" spans="1:7" ht="16.5" thickTop="1" thickBot="1" x14ac:dyDescent="0.3">
      <c r="A724">
        <v>200006352</v>
      </c>
      <c r="B724" t="s">
        <v>362</v>
      </c>
      <c r="C724" t="s">
        <v>9</v>
      </c>
      <c r="D724" s="10" t="e">
        <f>VLOOKUP(Tabela8[[#This Row],[Cód.]],#REF!,7,0)</f>
        <v>#REF!</v>
      </c>
      <c r="E724" s="9"/>
      <c r="F724" s="10"/>
      <c r="G724" s="8" t="e">
        <f>VLOOKUP(Tabela8[[#This Row],[Cód.]],CENTRAL[#All],9,0)</f>
        <v>#REF!</v>
      </c>
    </row>
    <row r="725" spans="1:7" ht="16.5" thickTop="1" thickBot="1" x14ac:dyDescent="0.3">
      <c r="A725">
        <v>200006343</v>
      </c>
      <c r="B725" t="s">
        <v>363</v>
      </c>
      <c r="C725" t="s">
        <v>9</v>
      </c>
      <c r="D725" s="10" t="e">
        <f>VLOOKUP(Tabela8[[#This Row],[Cód.]],#REF!,7,0)</f>
        <v>#REF!</v>
      </c>
      <c r="E725" s="9"/>
      <c r="F725" s="10"/>
      <c r="G725" s="8" t="e">
        <f>VLOOKUP(Tabela8[[#This Row],[Cód.]],CENTRAL[#All],9,0)</f>
        <v>#REF!</v>
      </c>
    </row>
    <row r="726" spans="1:7" ht="16.5" thickTop="1" thickBot="1" x14ac:dyDescent="0.3">
      <c r="A726">
        <v>200005789</v>
      </c>
      <c r="B726" t="s">
        <v>369</v>
      </c>
      <c r="C726" t="s">
        <v>9</v>
      </c>
      <c r="D726" s="10" t="e">
        <f>VLOOKUP(Tabela8[[#This Row],[Cód.]],#REF!,7,0)</f>
        <v>#REF!</v>
      </c>
      <c r="E726" s="9"/>
      <c r="F726" s="10"/>
      <c r="G726" s="8" t="e">
        <f>VLOOKUP(Tabela8[[#This Row],[Cód.]],CENTRAL[#All],9,0)</f>
        <v>#REF!</v>
      </c>
    </row>
    <row r="727" spans="1:7" ht="16.5" thickTop="1" thickBot="1" x14ac:dyDescent="0.3">
      <c r="A727">
        <v>200002421</v>
      </c>
      <c r="B727" t="s">
        <v>370</v>
      </c>
      <c r="C727" t="s">
        <v>9</v>
      </c>
      <c r="D727" s="10" t="e">
        <f>VLOOKUP(Tabela8[[#This Row],[Cód.]],#REF!,7,0)</f>
        <v>#REF!</v>
      </c>
      <c r="E727" s="9"/>
      <c r="F727" s="10"/>
      <c r="G727" s="8" t="e">
        <f>VLOOKUP(Tabela8[[#This Row],[Cód.]],CENTRAL[#All],9,0)</f>
        <v>#REF!</v>
      </c>
    </row>
    <row r="728" spans="1:7" ht="16.5" thickTop="1" thickBot="1" x14ac:dyDescent="0.3">
      <c r="A728">
        <v>200002170</v>
      </c>
      <c r="B728" t="s">
        <v>372</v>
      </c>
      <c r="C728" t="s">
        <v>86</v>
      </c>
      <c r="D728" s="10" t="e">
        <f>VLOOKUP(Tabela8[[#This Row],[Cód.]],#REF!,7,0)</f>
        <v>#REF!</v>
      </c>
      <c r="E728" s="9"/>
      <c r="F728" s="10"/>
      <c r="G728" s="8" t="e">
        <f>VLOOKUP(Tabela8[[#This Row],[Cód.]],CENTRAL[#All],9,0)</f>
        <v>#REF!</v>
      </c>
    </row>
    <row r="729" spans="1:7" ht="16.5" thickTop="1" thickBot="1" x14ac:dyDescent="0.3">
      <c r="A729">
        <v>200005782</v>
      </c>
      <c r="B729" t="s">
        <v>373</v>
      </c>
      <c r="C729" t="s">
        <v>9</v>
      </c>
      <c r="D729" s="10" t="e">
        <f>VLOOKUP(Tabela8[[#This Row],[Cód.]],#REF!,7,0)</f>
        <v>#REF!</v>
      </c>
      <c r="E729" s="9"/>
      <c r="F729" s="10"/>
      <c r="G729" s="8" t="e">
        <f>VLOOKUP(Tabela8[[#This Row],[Cód.]],CENTRAL[#All],9,0)</f>
        <v>#REF!</v>
      </c>
    </row>
    <row r="730" spans="1:7" ht="16.5" thickTop="1" thickBot="1" x14ac:dyDescent="0.3">
      <c r="A730">
        <v>200002127</v>
      </c>
      <c r="B730" t="s">
        <v>375</v>
      </c>
      <c r="C730" t="s">
        <v>9</v>
      </c>
      <c r="D730" s="10" t="e">
        <f>VLOOKUP(Tabela8[[#This Row],[Cód.]],#REF!,7,0)</f>
        <v>#REF!</v>
      </c>
      <c r="E730" s="9"/>
      <c r="F730" s="10"/>
      <c r="G730" s="8" t="e">
        <f>VLOOKUP(Tabela8[[#This Row],[Cód.]],CENTRAL[#All],9,0)</f>
        <v>#REF!</v>
      </c>
    </row>
    <row r="731" spans="1:7" ht="16.5" thickTop="1" thickBot="1" x14ac:dyDescent="0.3">
      <c r="A731">
        <v>200000346</v>
      </c>
      <c r="B731" t="s">
        <v>376</v>
      </c>
      <c r="C731" t="s">
        <v>9</v>
      </c>
      <c r="D731" s="10" t="e">
        <f>VLOOKUP(Tabela8[[#This Row],[Cód.]],#REF!,7,0)</f>
        <v>#REF!</v>
      </c>
      <c r="E731" s="9"/>
      <c r="F731" s="10"/>
      <c r="G731" s="8" t="e">
        <f>VLOOKUP(Tabela8[[#This Row],[Cód.]],CENTRAL[#All],9,0)</f>
        <v>#REF!</v>
      </c>
    </row>
    <row r="732" spans="1:7" ht="16.5" thickTop="1" thickBot="1" x14ac:dyDescent="0.3">
      <c r="A732">
        <v>200002128</v>
      </c>
      <c r="B732" t="s">
        <v>377</v>
      </c>
      <c r="C732" t="s">
        <v>9</v>
      </c>
      <c r="D732" s="10" t="e">
        <f>VLOOKUP(Tabela8[[#This Row],[Cód.]],#REF!,7,0)</f>
        <v>#REF!</v>
      </c>
      <c r="E732" s="9"/>
      <c r="F732" s="10"/>
      <c r="G732" s="8" t="e">
        <f>VLOOKUP(Tabela8[[#This Row],[Cód.]],CENTRAL[#All],9,0)</f>
        <v>#REF!</v>
      </c>
    </row>
    <row r="733" spans="1:7" ht="16.5" thickTop="1" thickBot="1" x14ac:dyDescent="0.3">
      <c r="A733">
        <v>200003393</v>
      </c>
      <c r="B733" t="s">
        <v>378</v>
      </c>
      <c r="C733" t="s">
        <v>9</v>
      </c>
      <c r="D733" s="10" t="e">
        <f>VLOOKUP(Tabela8[[#This Row],[Cód.]],#REF!,7,0)</f>
        <v>#REF!</v>
      </c>
      <c r="E733" s="9"/>
      <c r="F733" s="10"/>
      <c r="G733" s="8" t="e">
        <f>VLOOKUP(Tabela8[[#This Row],[Cód.]],CENTRAL[#All],9,0)</f>
        <v>#REF!</v>
      </c>
    </row>
    <row r="734" spans="1:7" ht="15.75" thickTop="1" x14ac:dyDescent="0.25">
      <c r="A734">
        <v>200003394</v>
      </c>
      <c r="B734" t="s">
        <v>379</v>
      </c>
      <c r="C734" t="s">
        <v>9</v>
      </c>
      <c r="D734" s="10" t="e">
        <f>VLOOKUP(Tabela8[[#This Row],[Cód.]],#REF!,7,0)</f>
        <v>#REF!</v>
      </c>
      <c r="E734" s="9"/>
      <c r="F734" s="10"/>
      <c r="G734" s="8" t="e">
        <f>VLOOKUP(Tabela8[[#This Row],[Cód.]],CENTRAL[#All],9,0)</f>
        <v>#REF!</v>
      </c>
    </row>
    <row r="735" spans="1:7" ht="15.75" thickBot="1" x14ac:dyDescent="0.3">
      <c r="A735">
        <v>200003395</v>
      </c>
      <c r="B735" t="s">
        <v>380</v>
      </c>
      <c r="C735" t="s">
        <v>9</v>
      </c>
      <c r="D735" s="10" t="e">
        <f>VLOOKUP(Tabela8[[#This Row],[Cód.]],#REF!,7,0)</f>
        <v>#REF!</v>
      </c>
      <c r="E735" s="10"/>
      <c r="F735" s="10"/>
      <c r="G735" s="8" t="e">
        <f>VLOOKUP(Tabela8[[#This Row],[Cód.]],CENTRAL[#All],9,0)</f>
        <v>#REF!</v>
      </c>
    </row>
    <row r="736" spans="1:7" ht="16.5" thickTop="1" thickBot="1" x14ac:dyDescent="0.3">
      <c r="A736">
        <v>200003396</v>
      </c>
      <c r="B736" t="s">
        <v>381</v>
      </c>
      <c r="C736" t="s">
        <v>9</v>
      </c>
      <c r="D736" s="10" t="e">
        <f>VLOOKUP(Tabela8[[#This Row],[Cód.]],#REF!,7,0)</f>
        <v>#REF!</v>
      </c>
      <c r="E736" s="9"/>
      <c r="F736" s="10"/>
      <c r="G736" s="8" t="e">
        <f>VLOOKUP(Tabela8[[#This Row],[Cód.]],CENTRAL[#All],9,0)</f>
        <v>#REF!</v>
      </c>
    </row>
    <row r="737" spans="1:7" ht="16.5" thickTop="1" thickBot="1" x14ac:dyDescent="0.3">
      <c r="A737">
        <v>200001206</v>
      </c>
      <c r="B737" t="s">
        <v>383</v>
      </c>
      <c r="C737" t="s">
        <v>9</v>
      </c>
      <c r="D737" s="10" t="e">
        <f>VLOOKUP(Tabela8[[#This Row],[Cód.]],#REF!,7,0)</f>
        <v>#REF!</v>
      </c>
      <c r="E737" s="9"/>
      <c r="F737" s="10"/>
      <c r="G737" s="8" t="e">
        <f>VLOOKUP(Tabela8[[#This Row],[Cód.]],CENTRAL[#All],9,0)</f>
        <v>#REF!</v>
      </c>
    </row>
    <row r="738" spans="1:7" ht="16.5" thickTop="1" thickBot="1" x14ac:dyDescent="0.3">
      <c r="A738">
        <v>200000347</v>
      </c>
      <c r="B738" t="s">
        <v>384</v>
      </c>
      <c r="C738" t="s">
        <v>9</v>
      </c>
      <c r="D738" s="10" t="e">
        <f>VLOOKUP(Tabela8[[#This Row],[Cód.]],#REF!,7,0)</f>
        <v>#REF!</v>
      </c>
      <c r="E738" s="9"/>
      <c r="F738" s="10"/>
      <c r="G738" s="8" t="e">
        <f>VLOOKUP(Tabela8[[#This Row],[Cód.]],CENTRAL[#All],9,0)</f>
        <v>#REF!</v>
      </c>
    </row>
    <row r="739" spans="1:7" ht="16.5" thickTop="1" thickBot="1" x14ac:dyDescent="0.3">
      <c r="A739">
        <v>200001205</v>
      </c>
      <c r="B739" t="s">
        <v>385</v>
      </c>
      <c r="C739" t="s">
        <v>9</v>
      </c>
      <c r="D739" s="10" t="e">
        <f>VLOOKUP(Tabela8[[#This Row],[Cód.]],#REF!,7,0)</f>
        <v>#REF!</v>
      </c>
      <c r="E739" s="9"/>
      <c r="F739" s="10"/>
      <c r="G739" s="8" t="e">
        <f>VLOOKUP(Tabela8[[#This Row],[Cód.]],CENTRAL[#All],9,0)</f>
        <v>#REF!</v>
      </c>
    </row>
    <row r="740" spans="1:7" ht="16.5" thickTop="1" thickBot="1" x14ac:dyDescent="0.3">
      <c r="A740">
        <v>200001205</v>
      </c>
      <c r="B740" t="s">
        <v>385</v>
      </c>
      <c r="C740" t="s">
        <v>9</v>
      </c>
      <c r="D740" s="10" t="e">
        <f>VLOOKUP(Tabela8[[#This Row],[Cód.]],#REF!,7,0)</f>
        <v>#REF!</v>
      </c>
      <c r="E740" s="9"/>
      <c r="F740" s="10"/>
      <c r="G740" s="8" t="e">
        <f>VLOOKUP(Tabela8[[#This Row],[Cód.]],CENTRAL[#All],9,0)</f>
        <v>#REF!</v>
      </c>
    </row>
    <row r="741" spans="1:7" ht="16.5" thickTop="1" thickBot="1" x14ac:dyDescent="0.3">
      <c r="A741">
        <v>200005988</v>
      </c>
      <c r="B741" t="s">
        <v>386</v>
      </c>
      <c r="C741" t="s">
        <v>9</v>
      </c>
      <c r="D741" s="10" t="e">
        <f>VLOOKUP(Tabela8[[#This Row],[Cód.]],#REF!,7,0)</f>
        <v>#REF!</v>
      </c>
      <c r="E741" s="9"/>
      <c r="F741" s="10"/>
      <c r="G741" s="8" t="e">
        <f>VLOOKUP(Tabela8[[#This Row],[Cód.]],CENTRAL[#All],9,0)</f>
        <v>#REF!</v>
      </c>
    </row>
    <row r="742" spans="1:7" ht="15.75" thickTop="1" x14ac:dyDescent="0.25">
      <c r="A742">
        <v>200005989</v>
      </c>
      <c r="B742" t="s">
        <v>388</v>
      </c>
      <c r="C742" t="s">
        <v>9</v>
      </c>
      <c r="D742" s="10" t="e">
        <f>VLOOKUP(Tabela8[[#This Row],[Cód.]],#REF!,7,0)</f>
        <v>#REF!</v>
      </c>
      <c r="E742" s="9"/>
      <c r="F742" s="10"/>
      <c r="G742" s="8" t="e">
        <f>VLOOKUP(Tabela8[[#This Row],[Cód.]],CENTRAL[#All],9,0)</f>
        <v>#REF!</v>
      </c>
    </row>
    <row r="743" spans="1:7" ht="15.75" thickBot="1" x14ac:dyDescent="0.3">
      <c r="A743">
        <v>200004986</v>
      </c>
      <c r="B743" t="s">
        <v>389</v>
      </c>
      <c r="C743" t="s">
        <v>9</v>
      </c>
      <c r="D743" s="10" t="e">
        <f>VLOOKUP(Tabela8[[#This Row],[Cód.]],#REF!,7,0)</f>
        <v>#REF!</v>
      </c>
      <c r="E743" s="10"/>
      <c r="F743" s="10"/>
      <c r="G743" s="8" t="e">
        <f>VLOOKUP(Tabela8[[#This Row],[Cód.]],CENTRAL[#All],9,0)</f>
        <v>#REF!</v>
      </c>
    </row>
    <row r="744" spans="1:7" ht="16.5" thickTop="1" thickBot="1" x14ac:dyDescent="0.3">
      <c r="A744">
        <v>200006183</v>
      </c>
      <c r="B744" t="s">
        <v>393</v>
      </c>
      <c r="C744" t="s">
        <v>9</v>
      </c>
      <c r="D744" s="10" t="e">
        <f>VLOOKUP(Tabela8[[#This Row],[Cód.]],#REF!,7,0)</f>
        <v>#REF!</v>
      </c>
      <c r="E744" s="9"/>
      <c r="F744" s="10"/>
      <c r="G744" s="8" t="e">
        <f>VLOOKUP(Tabela8[[#This Row],[Cód.]],CENTRAL[#All],9,0)</f>
        <v>#REF!</v>
      </c>
    </row>
    <row r="745" spans="1:7" ht="16.5" thickTop="1" thickBot="1" x14ac:dyDescent="0.3">
      <c r="A745">
        <v>200002712</v>
      </c>
      <c r="B745" t="s">
        <v>394</v>
      </c>
      <c r="C745" t="s">
        <v>9</v>
      </c>
      <c r="D745" s="10" t="e">
        <f>VLOOKUP(Tabela8[[#This Row],[Cód.]],#REF!,7,0)</f>
        <v>#REF!</v>
      </c>
      <c r="E745" s="9"/>
      <c r="F745" s="10"/>
      <c r="G745" s="8" t="e">
        <f>VLOOKUP(Tabela8[[#This Row],[Cód.]],CENTRAL[#All],9,0)</f>
        <v>#REF!</v>
      </c>
    </row>
    <row r="746" spans="1:7" ht="16.5" thickTop="1" thickBot="1" x14ac:dyDescent="0.3">
      <c r="A746">
        <v>200005990</v>
      </c>
      <c r="B746" t="s">
        <v>395</v>
      </c>
      <c r="C746" t="s">
        <v>9</v>
      </c>
      <c r="D746" s="10" t="e">
        <f>VLOOKUP(Tabela8[[#This Row],[Cód.]],#REF!,7,0)</f>
        <v>#REF!</v>
      </c>
      <c r="E746" s="9"/>
      <c r="F746" s="10"/>
      <c r="G746" s="8" t="e">
        <f>VLOOKUP(Tabela8[[#This Row],[Cód.]],CENTRAL[#All],9,0)</f>
        <v>#REF!</v>
      </c>
    </row>
    <row r="747" spans="1:7" ht="16.5" thickTop="1" thickBot="1" x14ac:dyDescent="0.3">
      <c r="A747">
        <v>200000349</v>
      </c>
      <c r="B747" t="s">
        <v>396</v>
      </c>
      <c r="C747" t="s">
        <v>9</v>
      </c>
      <c r="D747" s="10" t="e">
        <f>VLOOKUP(Tabela8[[#This Row],[Cód.]],#REF!,7,0)</f>
        <v>#REF!</v>
      </c>
      <c r="E747" s="9"/>
      <c r="F747" s="10"/>
      <c r="G747" s="8" t="e">
        <f>VLOOKUP(Tabela8[[#This Row],[Cód.]],CENTRAL[#All],9,0)</f>
        <v>#REF!</v>
      </c>
    </row>
    <row r="748" spans="1:7" ht="16.5" thickTop="1" thickBot="1" x14ac:dyDescent="0.3">
      <c r="A748">
        <v>200000349</v>
      </c>
      <c r="B748" t="s">
        <v>396</v>
      </c>
      <c r="C748" t="s">
        <v>9</v>
      </c>
      <c r="D748" s="10" t="e">
        <f>VLOOKUP(Tabela8[[#This Row],[Cód.]],#REF!,7,0)</f>
        <v>#REF!</v>
      </c>
      <c r="E748" s="9"/>
      <c r="F748" s="10"/>
      <c r="G748" s="8" t="e">
        <f>VLOOKUP(Tabela8[[#This Row],[Cód.]],CENTRAL[#All],9,0)</f>
        <v>#REF!</v>
      </c>
    </row>
    <row r="749" spans="1:7" ht="16.5" thickTop="1" thickBot="1" x14ac:dyDescent="0.3">
      <c r="A749">
        <v>200006397</v>
      </c>
      <c r="B749" t="s">
        <v>397</v>
      </c>
      <c r="C749" t="s">
        <v>9</v>
      </c>
      <c r="D749" s="10" t="e">
        <f>VLOOKUP(Tabela8[[#This Row],[Cód.]],#REF!,7,0)</f>
        <v>#REF!</v>
      </c>
      <c r="E749" s="9"/>
      <c r="F749" s="10"/>
      <c r="G749" s="8" t="e">
        <f>VLOOKUP(Tabela8[[#This Row],[Cód.]],CENTRAL[#All],9,0)</f>
        <v>#REF!</v>
      </c>
    </row>
    <row r="750" spans="1:7" ht="16.5" thickTop="1" thickBot="1" x14ac:dyDescent="0.3">
      <c r="A750">
        <v>200006398</v>
      </c>
      <c r="B750" t="s">
        <v>398</v>
      </c>
      <c r="C750" t="s">
        <v>9</v>
      </c>
      <c r="D750" s="10" t="e">
        <f>VLOOKUP(Tabela8[[#This Row],[Cód.]],#REF!,7,0)</f>
        <v>#REF!</v>
      </c>
      <c r="E750" s="9"/>
      <c r="F750" s="10"/>
      <c r="G750" s="8" t="e">
        <f>VLOOKUP(Tabela8[[#This Row],[Cód.]],CENTRAL[#All],9,0)</f>
        <v>#REF!</v>
      </c>
    </row>
    <row r="751" spans="1:7" ht="15.75" thickTop="1" x14ac:dyDescent="0.25">
      <c r="A751">
        <v>200003400</v>
      </c>
      <c r="B751" t="s">
        <v>399</v>
      </c>
      <c r="C751" t="s">
        <v>9</v>
      </c>
      <c r="D751" s="10" t="e">
        <f>VLOOKUP(Tabela8[[#This Row],[Cód.]],#REF!,7,0)</f>
        <v>#REF!</v>
      </c>
      <c r="E751" s="9"/>
      <c r="F751" s="10"/>
      <c r="G751" s="8" t="e">
        <f>VLOOKUP(Tabela8[[#This Row],[Cód.]],CENTRAL[#All],9,0)</f>
        <v>#REF!</v>
      </c>
    </row>
    <row r="752" spans="1:7" ht="15.75" thickBot="1" x14ac:dyDescent="0.3">
      <c r="A752">
        <v>200003079</v>
      </c>
      <c r="B752" t="s">
        <v>400</v>
      </c>
      <c r="C752" t="s">
        <v>9</v>
      </c>
      <c r="D752" s="10" t="e">
        <f>VLOOKUP(Tabela8[[#This Row],[Cód.]],#REF!,7,0)</f>
        <v>#REF!</v>
      </c>
      <c r="E752" s="10"/>
      <c r="F752" s="10"/>
      <c r="G752" s="8" t="e">
        <f>VLOOKUP(Tabela8[[#This Row],[Cód.]],CENTRAL[#All],9,0)</f>
        <v>#REF!</v>
      </c>
    </row>
    <row r="753" spans="1:7" ht="15.75" thickTop="1" x14ac:dyDescent="0.25">
      <c r="A753">
        <v>200001006</v>
      </c>
      <c r="B753" t="s">
        <v>401</v>
      </c>
      <c r="C753" t="s">
        <v>9</v>
      </c>
      <c r="D753" s="10" t="e">
        <f>VLOOKUP(Tabela8[[#This Row],[Cód.]],#REF!,7,0)</f>
        <v>#REF!</v>
      </c>
      <c r="E753" s="9"/>
      <c r="F753" s="10"/>
      <c r="G753" s="8" t="e">
        <f>VLOOKUP(Tabela8[[#This Row],[Cód.]],CENTRAL[#All],9,0)</f>
        <v>#REF!</v>
      </c>
    </row>
    <row r="754" spans="1:7" ht="15.75" thickBot="1" x14ac:dyDescent="0.3">
      <c r="A754">
        <v>200004106</v>
      </c>
      <c r="B754" t="s">
        <v>405</v>
      </c>
      <c r="C754" t="s">
        <v>9</v>
      </c>
      <c r="D754" s="10" t="e">
        <f>VLOOKUP(Tabela8[[#This Row],[Cód.]],#REF!,7,0)</f>
        <v>#REF!</v>
      </c>
      <c r="E754" s="10"/>
      <c r="F754" s="10"/>
      <c r="G754" s="8" t="e">
        <f>VLOOKUP(Tabela8[[#This Row],[Cód.]],CENTRAL[#All],9,0)</f>
        <v>#REF!</v>
      </c>
    </row>
    <row r="755" spans="1:7" ht="16.5" thickTop="1" thickBot="1" x14ac:dyDescent="0.3">
      <c r="A755">
        <v>200001084</v>
      </c>
      <c r="B755" t="s">
        <v>407</v>
      </c>
      <c r="C755" t="s">
        <v>9</v>
      </c>
      <c r="D755" s="10" t="e">
        <f>VLOOKUP(Tabela8[[#This Row],[Cód.]],#REF!,7,0)</f>
        <v>#REF!</v>
      </c>
      <c r="E755" s="9"/>
      <c r="F755" s="10"/>
      <c r="G755" s="8" t="e">
        <f>VLOOKUP(Tabela8[[#This Row],[Cód.]],CENTRAL[#All],9,0)</f>
        <v>#REF!</v>
      </c>
    </row>
    <row r="756" spans="1:7" ht="16.5" thickTop="1" thickBot="1" x14ac:dyDescent="0.3">
      <c r="A756">
        <v>200004105</v>
      </c>
      <c r="B756" t="s">
        <v>408</v>
      </c>
      <c r="C756" t="s">
        <v>9</v>
      </c>
      <c r="D756" s="10" t="e">
        <f>VLOOKUP(Tabela8[[#This Row],[Cód.]],#REF!,7,0)</f>
        <v>#REF!</v>
      </c>
      <c r="E756" s="9"/>
      <c r="F756" s="10"/>
      <c r="G756" s="8" t="e">
        <f>VLOOKUP(Tabela8[[#This Row],[Cód.]],CENTRAL[#All],9,0)</f>
        <v>#REF!</v>
      </c>
    </row>
    <row r="757" spans="1:7" ht="16.5" thickTop="1" thickBot="1" x14ac:dyDescent="0.3">
      <c r="A757">
        <v>200004018</v>
      </c>
      <c r="B757" t="s">
        <v>412</v>
      </c>
      <c r="C757" t="s">
        <v>294</v>
      </c>
      <c r="D757" s="10" t="e">
        <f>VLOOKUP(Tabela8[[#This Row],[Cód.]],#REF!,7,0)</f>
        <v>#REF!</v>
      </c>
      <c r="E757" s="9"/>
      <c r="F757" s="10"/>
      <c r="G757" s="8" t="e">
        <f>VLOOKUP(Tabela8[[#This Row],[Cód.]],CENTRAL[#All],9,0)</f>
        <v>#REF!</v>
      </c>
    </row>
    <row r="758" spans="1:7" ht="16.5" thickTop="1" thickBot="1" x14ac:dyDescent="0.3">
      <c r="A758">
        <v>200000365</v>
      </c>
      <c r="B758" t="s">
        <v>413</v>
      </c>
      <c r="C758" t="s">
        <v>294</v>
      </c>
      <c r="D758" s="10" t="e">
        <f>VLOOKUP(Tabela8[[#This Row],[Cód.]],#REF!,7,0)</f>
        <v>#REF!</v>
      </c>
      <c r="E758" s="9"/>
      <c r="F758" s="10"/>
      <c r="G758" s="8" t="e">
        <f>VLOOKUP(Tabela8[[#This Row],[Cód.]],CENTRAL[#All],9,0)</f>
        <v>#REF!</v>
      </c>
    </row>
    <row r="759" spans="1:7" ht="16.5" thickTop="1" thickBot="1" x14ac:dyDescent="0.3">
      <c r="A759">
        <v>200002110</v>
      </c>
      <c r="B759" t="s">
        <v>414</v>
      </c>
      <c r="C759" t="s">
        <v>294</v>
      </c>
      <c r="D759" s="10" t="e">
        <f>VLOOKUP(Tabela8[[#This Row],[Cód.]],#REF!,7,0)</f>
        <v>#REF!</v>
      </c>
      <c r="E759" s="9"/>
      <c r="F759" s="10"/>
      <c r="G759" s="8" t="e">
        <f>VLOOKUP(Tabela8[[#This Row],[Cód.]],CENTRAL[#All],9,0)</f>
        <v>#REF!</v>
      </c>
    </row>
    <row r="760" spans="1:7" ht="16.5" thickTop="1" thickBot="1" x14ac:dyDescent="0.3">
      <c r="A760">
        <v>200002110</v>
      </c>
      <c r="B760" t="s">
        <v>414</v>
      </c>
      <c r="C760" t="s">
        <v>294</v>
      </c>
      <c r="D760" s="10" t="e">
        <f>VLOOKUP(Tabela8[[#This Row],[Cód.]],#REF!,7,0)</f>
        <v>#REF!</v>
      </c>
      <c r="E760" s="9"/>
      <c r="F760" s="10"/>
      <c r="G760" s="8" t="e">
        <f>VLOOKUP(Tabela8[[#This Row],[Cód.]],CENTRAL[#All],9,0)</f>
        <v>#REF!</v>
      </c>
    </row>
    <row r="761" spans="1:7" ht="16.5" thickTop="1" thickBot="1" x14ac:dyDescent="0.3">
      <c r="A761">
        <v>200002111</v>
      </c>
      <c r="B761" t="s">
        <v>416</v>
      </c>
      <c r="C761" t="s">
        <v>294</v>
      </c>
      <c r="D761" s="10" t="e">
        <f>VLOOKUP(Tabela8[[#This Row],[Cód.]],#REF!,7,0)</f>
        <v>#REF!</v>
      </c>
      <c r="E761" s="9"/>
      <c r="F761" s="10"/>
      <c r="G761" s="8" t="e">
        <f>VLOOKUP(Tabela8[[#This Row],[Cód.]],CENTRAL[#All],9,0)</f>
        <v>#REF!</v>
      </c>
    </row>
    <row r="762" spans="1:7" ht="16.5" thickTop="1" thickBot="1" x14ac:dyDescent="0.3">
      <c r="A762">
        <v>200003085</v>
      </c>
      <c r="B762" t="s">
        <v>417</v>
      </c>
      <c r="C762" t="s">
        <v>294</v>
      </c>
      <c r="D762" s="10" t="e">
        <f>VLOOKUP(Tabela8[[#This Row],[Cód.]],#REF!,7,0)</f>
        <v>#REF!</v>
      </c>
      <c r="E762" s="9"/>
      <c r="F762" s="10"/>
      <c r="G762" s="8" t="e">
        <f>VLOOKUP(Tabela8[[#This Row],[Cód.]],CENTRAL[#All],9,0)</f>
        <v>#REF!</v>
      </c>
    </row>
    <row r="763" spans="1:7" ht="16.5" thickTop="1" thickBot="1" x14ac:dyDescent="0.3">
      <c r="A763">
        <v>200003085</v>
      </c>
      <c r="B763" t="s">
        <v>417</v>
      </c>
      <c r="C763" t="s">
        <v>294</v>
      </c>
      <c r="D763" s="10" t="e">
        <f>VLOOKUP(Tabela8[[#This Row],[Cód.]],#REF!,7,0)</f>
        <v>#REF!</v>
      </c>
      <c r="E763" s="9"/>
      <c r="F763" s="10"/>
      <c r="G763" s="8" t="e">
        <f>VLOOKUP(Tabela8[[#This Row],[Cód.]],CENTRAL[#All],9,0)</f>
        <v>#REF!</v>
      </c>
    </row>
    <row r="764" spans="1:7" ht="16.5" thickTop="1" thickBot="1" x14ac:dyDescent="0.3">
      <c r="A764">
        <v>200006159</v>
      </c>
      <c r="B764" t="s">
        <v>422</v>
      </c>
      <c r="C764" t="s">
        <v>9</v>
      </c>
      <c r="D764" s="10" t="e">
        <f>VLOOKUP(Tabela8[[#This Row],[Cód.]],#REF!,7,0)</f>
        <v>#REF!</v>
      </c>
      <c r="E764" s="9"/>
      <c r="F764" s="10"/>
      <c r="G764" s="8" t="e">
        <f>VLOOKUP(Tabela8[[#This Row],[Cód.]],CENTRAL[#All],9,0)</f>
        <v>#REF!</v>
      </c>
    </row>
    <row r="765" spans="1:7" ht="16.5" thickTop="1" thickBot="1" x14ac:dyDescent="0.3">
      <c r="A765">
        <v>200002113</v>
      </c>
      <c r="B765" t="s">
        <v>424</v>
      </c>
      <c r="C765" t="s">
        <v>96</v>
      </c>
      <c r="D765" s="10" t="e">
        <f>VLOOKUP(Tabela8[[#This Row],[Cód.]],#REF!,7,0)</f>
        <v>#REF!</v>
      </c>
      <c r="E765" s="9"/>
      <c r="F765" s="10"/>
      <c r="G765" s="8" t="e">
        <f>VLOOKUP(Tabela8[[#This Row],[Cód.]],CENTRAL[#All],9,0)</f>
        <v>#REF!</v>
      </c>
    </row>
    <row r="766" spans="1:7" ht="16.5" thickTop="1" thickBot="1" x14ac:dyDescent="0.3">
      <c r="A766">
        <v>200002113</v>
      </c>
      <c r="B766" t="s">
        <v>424</v>
      </c>
      <c r="C766" t="s">
        <v>96</v>
      </c>
      <c r="D766" s="10" t="e">
        <f>VLOOKUP(Tabela8[[#This Row],[Cód.]],#REF!,7,0)</f>
        <v>#REF!</v>
      </c>
      <c r="E766" s="9"/>
      <c r="F766" s="10"/>
      <c r="G766" s="8" t="e">
        <f>VLOOKUP(Tabela8[[#This Row],[Cód.]],CENTRAL[#All],9,0)</f>
        <v>#REF!</v>
      </c>
    </row>
    <row r="767" spans="1:7" ht="16.5" thickTop="1" thickBot="1" x14ac:dyDescent="0.3">
      <c r="A767">
        <v>200006001</v>
      </c>
      <c r="B767" t="s">
        <v>426</v>
      </c>
      <c r="C767" t="s">
        <v>9</v>
      </c>
      <c r="D767" s="10" t="e">
        <f>VLOOKUP(Tabela8[[#This Row],[Cód.]],#REF!,7,0)</f>
        <v>#REF!</v>
      </c>
      <c r="E767" s="9"/>
      <c r="F767" s="10"/>
      <c r="G767" s="8" t="e">
        <f>VLOOKUP(Tabela8[[#This Row],[Cód.]],CENTRAL[#All],9,0)</f>
        <v>#REF!</v>
      </c>
    </row>
    <row r="768" spans="1:7" ht="16.5" thickTop="1" thickBot="1" x14ac:dyDescent="0.3">
      <c r="A768">
        <v>200005802</v>
      </c>
      <c r="B768" t="s">
        <v>432</v>
      </c>
      <c r="C768" t="s">
        <v>9</v>
      </c>
      <c r="D768" s="10" t="e">
        <f>VLOOKUP(Tabela8[[#This Row],[Cód.]],#REF!,7,0)</f>
        <v>#REF!</v>
      </c>
      <c r="E768" s="9"/>
      <c r="F768" s="10"/>
      <c r="G768" s="8" t="e">
        <f>VLOOKUP(Tabela8[[#This Row],[Cód.]],CENTRAL[#All],9,0)</f>
        <v>#REF!</v>
      </c>
    </row>
    <row r="769" spans="1:7" ht="16.5" thickTop="1" thickBot="1" x14ac:dyDescent="0.3">
      <c r="A769">
        <v>200000399</v>
      </c>
      <c r="B769" t="s">
        <v>433</v>
      </c>
      <c r="C769" t="s">
        <v>82</v>
      </c>
      <c r="D769" s="10" t="e">
        <f>VLOOKUP(Tabela8[[#This Row],[Cód.]],#REF!,7,0)</f>
        <v>#REF!</v>
      </c>
      <c r="E769" s="9"/>
      <c r="F769" s="10"/>
      <c r="G769" s="8" t="e">
        <f>VLOOKUP(Tabela8[[#This Row],[Cód.]],CENTRAL[#All],9,0)</f>
        <v>#REF!</v>
      </c>
    </row>
    <row r="770" spans="1:7" ht="16.5" thickTop="1" thickBot="1" x14ac:dyDescent="0.3">
      <c r="A770">
        <v>200003733</v>
      </c>
      <c r="B770" t="s">
        <v>435</v>
      </c>
      <c r="C770" t="s">
        <v>9</v>
      </c>
      <c r="D770" s="10" t="e">
        <f>VLOOKUP(Tabela8[[#This Row],[Cód.]],#REF!,7,0)</f>
        <v>#REF!</v>
      </c>
      <c r="E770" s="9"/>
      <c r="F770" s="10"/>
      <c r="G770" s="8" t="e">
        <f>VLOOKUP(Tabela8[[#This Row],[Cód.]],CENTRAL[#All],9,0)</f>
        <v>#REF!</v>
      </c>
    </row>
    <row r="771" spans="1:7" ht="16.5" thickTop="1" thickBot="1" x14ac:dyDescent="0.3">
      <c r="A771">
        <v>200002210</v>
      </c>
      <c r="B771" t="s">
        <v>438</v>
      </c>
      <c r="C771" t="s">
        <v>9</v>
      </c>
      <c r="D771" s="10" t="e">
        <f>VLOOKUP(Tabela8[[#This Row],[Cód.]],#REF!,7,0)</f>
        <v>#REF!</v>
      </c>
      <c r="E771" s="9"/>
      <c r="F771" s="10"/>
      <c r="G771" s="8" t="e">
        <f>VLOOKUP(Tabela8[[#This Row],[Cód.]],CENTRAL[#All],9,0)</f>
        <v>#REF!</v>
      </c>
    </row>
    <row r="772" spans="1:7" ht="15.75" thickTop="1" x14ac:dyDescent="0.25">
      <c r="A772">
        <v>200002211</v>
      </c>
      <c r="B772" t="s">
        <v>439</v>
      </c>
      <c r="C772" t="s">
        <v>9</v>
      </c>
      <c r="D772" s="10" t="e">
        <f>VLOOKUP(Tabela8[[#This Row],[Cód.]],#REF!,7,0)</f>
        <v>#REF!</v>
      </c>
      <c r="E772" s="9"/>
      <c r="F772" s="10"/>
      <c r="G772" s="8" t="e">
        <f>VLOOKUP(Tabela8[[#This Row],[Cód.]],CENTRAL[#All],9,0)</f>
        <v>#REF!</v>
      </c>
    </row>
    <row r="773" spans="1:7" ht="15.75" thickBot="1" x14ac:dyDescent="0.3">
      <c r="A773">
        <v>200004061</v>
      </c>
      <c r="B773" t="s">
        <v>440</v>
      </c>
      <c r="C773" t="s">
        <v>9</v>
      </c>
      <c r="D773" s="10" t="e">
        <f>VLOOKUP(Tabela8[[#This Row],[Cód.]],#REF!,7,0)</f>
        <v>#REF!</v>
      </c>
      <c r="E773" s="10"/>
      <c r="F773" s="10"/>
      <c r="G773" s="8" t="e">
        <f>VLOOKUP(Tabela8[[#This Row],[Cód.]],CENTRAL[#All],9,0)</f>
        <v>#REF!</v>
      </c>
    </row>
    <row r="774" spans="1:7" ht="16.5" thickTop="1" thickBot="1" x14ac:dyDescent="0.3">
      <c r="A774">
        <v>200004089</v>
      </c>
      <c r="B774" t="s">
        <v>441</v>
      </c>
      <c r="C774" t="s">
        <v>442</v>
      </c>
      <c r="D774" s="10" t="e">
        <f>VLOOKUP(Tabela8[[#This Row],[Cód.]],#REF!,7,0)</f>
        <v>#REF!</v>
      </c>
      <c r="E774" s="9"/>
      <c r="F774" s="10"/>
      <c r="G774" s="8" t="e">
        <f>VLOOKUP(Tabela8[[#This Row],[Cód.]],CENTRAL[#All],9,0)</f>
        <v>#REF!</v>
      </c>
    </row>
    <row r="775" spans="1:7" ht="16.5" thickTop="1" thickBot="1" x14ac:dyDescent="0.3">
      <c r="A775">
        <v>200001614</v>
      </c>
      <c r="B775" t="s">
        <v>443</v>
      </c>
      <c r="C775" t="s">
        <v>67</v>
      </c>
      <c r="D775" s="10" t="e">
        <f>VLOOKUP(Tabela8[[#This Row],[Cód.]],#REF!,7,0)</f>
        <v>#REF!</v>
      </c>
      <c r="E775" s="9"/>
      <c r="F775" s="10"/>
      <c r="G775" s="8" t="e">
        <f>VLOOKUP(Tabela8[[#This Row],[Cód.]],CENTRAL[#All],9,0)</f>
        <v>#REF!</v>
      </c>
    </row>
    <row r="776" spans="1:7" ht="16.5" thickTop="1" thickBot="1" x14ac:dyDescent="0.3">
      <c r="A776">
        <v>200003160</v>
      </c>
      <c r="B776" t="s">
        <v>445</v>
      </c>
      <c r="C776" t="s">
        <v>67</v>
      </c>
      <c r="D776" s="10" t="e">
        <f>VLOOKUP(Tabela8[[#This Row],[Cód.]],#REF!,7,0)</f>
        <v>#REF!</v>
      </c>
      <c r="E776" s="9"/>
      <c r="F776" s="10"/>
      <c r="G776" s="8" t="e">
        <f>VLOOKUP(Tabela8[[#This Row],[Cód.]],CENTRAL[#All],9,0)</f>
        <v>#REF!</v>
      </c>
    </row>
    <row r="777" spans="1:7" ht="15.75" thickTop="1" x14ac:dyDescent="0.25">
      <c r="A777" s="11">
        <v>200003003</v>
      </c>
      <c r="B777" t="s">
        <v>446</v>
      </c>
      <c r="C777" s="11" t="s">
        <v>67</v>
      </c>
      <c r="D777" s="10" t="e">
        <f>VLOOKUP(Tabela8[[#This Row],[Cód.]],#REF!,7,0)</f>
        <v>#REF!</v>
      </c>
      <c r="E777" s="9"/>
      <c r="F777" s="10"/>
      <c r="G777" s="8" t="e">
        <f>VLOOKUP(Tabela8[[#This Row],[Cód.]],CENTRAL[#All],9,0)</f>
        <v>#REF!</v>
      </c>
    </row>
    <row r="778" spans="1:7" ht="15.75" thickBot="1" x14ac:dyDescent="0.3">
      <c r="A778">
        <v>200002114</v>
      </c>
      <c r="B778" t="s">
        <v>447</v>
      </c>
      <c r="C778" t="s">
        <v>9</v>
      </c>
      <c r="D778" s="10" t="e">
        <f>VLOOKUP(Tabela8[[#This Row],[Cód.]],#REF!,7,0)</f>
        <v>#REF!</v>
      </c>
      <c r="E778" s="10"/>
      <c r="F778" s="10"/>
      <c r="G778" s="8" t="e">
        <f>VLOOKUP(Tabela8[[#This Row],[Cód.]],CENTRAL[#All],9,0)</f>
        <v>#REF!</v>
      </c>
    </row>
    <row r="779" spans="1:7" ht="16.5" thickTop="1" thickBot="1" x14ac:dyDescent="0.3">
      <c r="A779">
        <v>200001086</v>
      </c>
      <c r="B779" t="s">
        <v>448</v>
      </c>
      <c r="C779" t="s">
        <v>9</v>
      </c>
      <c r="D779" s="10" t="e">
        <f>VLOOKUP(Tabela8[[#This Row],[Cód.]],#REF!,7,0)</f>
        <v>#REF!</v>
      </c>
      <c r="E779" s="9"/>
      <c r="F779" s="10"/>
      <c r="G779" s="8" t="e">
        <f>VLOOKUP(Tabela8[[#This Row],[Cód.]],CENTRAL[#All],9,0)</f>
        <v>#REF!</v>
      </c>
    </row>
    <row r="780" spans="1:7" ht="16.5" thickTop="1" thickBot="1" x14ac:dyDescent="0.3">
      <c r="A780">
        <v>200001950</v>
      </c>
      <c r="B780" t="s">
        <v>453</v>
      </c>
      <c r="C780" t="s">
        <v>9</v>
      </c>
      <c r="D780" s="10" t="e">
        <f>VLOOKUP(Tabela8[[#This Row],[Cód.]],#REF!,7,0)</f>
        <v>#REF!</v>
      </c>
      <c r="E780" s="9"/>
      <c r="F780" s="10"/>
      <c r="G780" s="8" t="e">
        <f>VLOOKUP(Tabela8[[#This Row],[Cód.]],CENTRAL[#All],9,0)</f>
        <v>#REF!</v>
      </c>
    </row>
    <row r="781" spans="1:7" ht="16.5" thickTop="1" thickBot="1" x14ac:dyDescent="0.3">
      <c r="A781">
        <v>200003634</v>
      </c>
      <c r="B781" t="s">
        <v>454</v>
      </c>
      <c r="C781" t="s">
        <v>9</v>
      </c>
      <c r="D781" s="10" t="e">
        <f>VLOOKUP(Tabela8[[#This Row],[Cód.]],#REF!,7,0)</f>
        <v>#REF!</v>
      </c>
      <c r="E781" s="9"/>
      <c r="F781" s="10"/>
      <c r="G781" s="8" t="e">
        <f>VLOOKUP(Tabela8[[#This Row],[Cód.]],CENTRAL[#All],9,0)</f>
        <v>#REF!</v>
      </c>
    </row>
    <row r="782" spans="1:7" ht="16.5" thickTop="1" thickBot="1" x14ac:dyDescent="0.3">
      <c r="A782">
        <v>200003635</v>
      </c>
      <c r="B782" t="s">
        <v>455</v>
      </c>
      <c r="C782" t="s">
        <v>9</v>
      </c>
      <c r="D782" s="10" t="e">
        <f>VLOOKUP(Tabela8[[#This Row],[Cód.]],#REF!,7,0)</f>
        <v>#REF!</v>
      </c>
      <c r="E782" s="9"/>
      <c r="F782" s="10"/>
      <c r="G782" s="8" t="e">
        <f>VLOOKUP(Tabela8[[#This Row],[Cód.]],CENTRAL[#All],9,0)</f>
        <v>#REF!</v>
      </c>
    </row>
    <row r="783" spans="1:7" ht="16.5" thickTop="1" thickBot="1" x14ac:dyDescent="0.3">
      <c r="A783">
        <v>200003636</v>
      </c>
      <c r="B783" t="s">
        <v>457</v>
      </c>
      <c r="C783" t="s">
        <v>9</v>
      </c>
      <c r="D783" s="10" t="e">
        <f>VLOOKUP(Tabela8[[#This Row],[Cód.]],#REF!,7,0)</f>
        <v>#REF!</v>
      </c>
      <c r="E783" s="9"/>
      <c r="F783" s="10"/>
      <c r="G783" s="8" t="e">
        <f>VLOOKUP(Tabela8[[#This Row],[Cód.]],CENTRAL[#All],9,0)</f>
        <v>#REF!</v>
      </c>
    </row>
    <row r="784" spans="1:7" ht="16.5" thickTop="1" thickBot="1" x14ac:dyDescent="0.3">
      <c r="A784">
        <v>200001949</v>
      </c>
      <c r="B784" t="s">
        <v>458</v>
      </c>
      <c r="C784" t="s">
        <v>9</v>
      </c>
      <c r="D784" s="10" t="e">
        <f>VLOOKUP(Tabela8[[#This Row],[Cód.]],#REF!,7,0)</f>
        <v>#REF!</v>
      </c>
      <c r="E784" s="9"/>
      <c r="F784" s="10"/>
      <c r="G784" s="8" t="e">
        <f>VLOOKUP(Tabela8[[#This Row],[Cód.]],CENTRAL[#All],9,0)</f>
        <v>#REF!</v>
      </c>
    </row>
    <row r="785" spans="1:14" ht="16.5" thickTop="1" thickBot="1" x14ac:dyDescent="0.3">
      <c r="A785">
        <v>200001955</v>
      </c>
      <c r="B785" t="s">
        <v>465</v>
      </c>
      <c r="C785" t="s">
        <v>9</v>
      </c>
      <c r="D785" s="10" t="e">
        <f>VLOOKUP(Tabela8[[#This Row],[Cód.]],#REF!,7,0)</f>
        <v>#REF!</v>
      </c>
      <c r="E785" s="9"/>
      <c r="F785" s="10"/>
      <c r="G785" s="8" t="e">
        <f>VLOOKUP(Tabela8[[#This Row],[Cód.]],CENTRAL[#All],9,0)</f>
        <v>#REF!</v>
      </c>
    </row>
    <row r="786" spans="1:14" ht="16.5" thickTop="1" thickBot="1" x14ac:dyDescent="0.3">
      <c r="A786">
        <v>200003637</v>
      </c>
      <c r="B786" t="s">
        <v>466</v>
      </c>
      <c r="C786" t="s">
        <v>9</v>
      </c>
      <c r="D786" s="10" t="e">
        <f>VLOOKUP(Tabela8[[#This Row],[Cód.]],#REF!,7,0)</f>
        <v>#REF!</v>
      </c>
      <c r="E786" s="9"/>
      <c r="F786" s="10"/>
      <c r="G786" s="8" t="e">
        <f>VLOOKUP(Tabela8[[#This Row],[Cód.]],CENTRAL[#All],9,0)</f>
        <v>#REF!</v>
      </c>
    </row>
    <row r="787" spans="1:14" ht="16.5" thickTop="1" thickBot="1" x14ac:dyDescent="0.3">
      <c r="A787">
        <v>200003638</v>
      </c>
      <c r="B787" t="s">
        <v>467</v>
      </c>
      <c r="C787" t="s">
        <v>9</v>
      </c>
      <c r="D787" s="10" t="e">
        <f>VLOOKUP(Tabela8[[#This Row],[Cód.]],#REF!,7,0)</f>
        <v>#REF!</v>
      </c>
      <c r="E787" s="9"/>
      <c r="F787" s="10"/>
      <c r="G787" s="8" t="e">
        <f>VLOOKUP(Tabela8[[#This Row],[Cód.]],CENTRAL[#All],9,0)</f>
        <v>#REF!</v>
      </c>
    </row>
    <row r="788" spans="1:14" ht="16.5" thickTop="1" thickBot="1" x14ac:dyDescent="0.3">
      <c r="A788">
        <v>200001573</v>
      </c>
      <c r="B788" t="s">
        <v>468</v>
      </c>
      <c r="C788" t="s">
        <v>9</v>
      </c>
      <c r="D788" s="10" t="e">
        <f>VLOOKUP(Tabela8[[#This Row],[Cód.]],#REF!,7,0)</f>
        <v>#REF!</v>
      </c>
      <c r="E788" s="9"/>
      <c r="F788" s="10"/>
      <c r="G788" s="8" t="e">
        <f>VLOOKUP(Tabela8[[#This Row],[Cód.]],CENTRAL[#All],9,0)</f>
        <v>#REF!</v>
      </c>
      <c r="N788" t="s">
        <v>2307</v>
      </c>
    </row>
    <row r="789" spans="1:14" ht="16.5" thickTop="1" thickBot="1" x14ac:dyDescent="0.3">
      <c r="A789">
        <v>200001573</v>
      </c>
      <c r="B789" t="s">
        <v>468</v>
      </c>
      <c r="C789" t="s">
        <v>9</v>
      </c>
      <c r="D789" s="10" t="e">
        <f>VLOOKUP(Tabela8[[#This Row],[Cód.]],#REF!,7,0)</f>
        <v>#REF!</v>
      </c>
      <c r="E789" s="9"/>
      <c r="F789" s="10"/>
      <c r="G789" s="8" t="e">
        <f>VLOOKUP(Tabela8[[#This Row],[Cód.]],CENTRAL[#All],9,0)</f>
        <v>#REF!</v>
      </c>
    </row>
    <row r="790" spans="1:14" ht="16.5" thickTop="1" thickBot="1" x14ac:dyDescent="0.3">
      <c r="A790">
        <v>200002238</v>
      </c>
      <c r="B790" t="s">
        <v>469</v>
      </c>
      <c r="C790" t="s">
        <v>9</v>
      </c>
      <c r="D790" s="10" t="e">
        <f>VLOOKUP(Tabela8[[#This Row],[Cód.]],#REF!,7,0)</f>
        <v>#REF!</v>
      </c>
      <c r="E790" s="9"/>
      <c r="F790" s="10"/>
      <c r="G790" s="8" t="e">
        <f>VLOOKUP(Tabela8[[#This Row],[Cód.]],CENTRAL[#All],9,0)</f>
        <v>#REF!</v>
      </c>
    </row>
    <row r="791" spans="1:14" ht="16.5" thickTop="1" thickBot="1" x14ac:dyDescent="0.3">
      <c r="A791">
        <v>200001023</v>
      </c>
      <c r="B791" t="s">
        <v>470</v>
      </c>
      <c r="C791" t="s">
        <v>9</v>
      </c>
      <c r="D791" s="10" t="e">
        <f>VLOOKUP(Tabela8[[#This Row],[Cód.]],#REF!,7,0)</f>
        <v>#REF!</v>
      </c>
      <c r="E791" s="9"/>
      <c r="F791" s="10"/>
      <c r="G791" s="8" t="e">
        <f>VLOOKUP(Tabela8[[#This Row],[Cód.]],CENTRAL[#All],9,0)</f>
        <v>#REF!</v>
      </c>
    </row>
    <row r="792" spans="1:14" ht="16.5" thickTop="1" thickBot="1" x14ac:dyDescent="0.3">
      <c r="A792">
        <v>200003639</v>
      </c>
      <c r="B792" t="s">
        <v>471</v>
      </c>
      <c r="C792" t="s">
        <v>9</v>
      </c>
      <c r="D792" s="10" t="e">
        <f>VLOOKUP(Tabela8[[#This Row],[Cód.]],#REF!,7,0)</f>
        <v>#REF!</v>
      </c>
      <c r="E792" s="9"/>
      <c r="F792" s="10"/>
      <c r="G792" s="8" t="e">
        <f>VLOOKUP(Tabela8[[#This Row],[Cód.]],CENTRAL[#All],9,0)</f>
        <v>#REF!</v>
      </c>
    </row>
    <row r="793" spans="1:14" ht="16.5" thickTop="1" thickBot="1" x14ac:dyDescent="0.3">
      <c r="A793">
        <v>200001954</v>
      </c>
      <c r="B793" t="s">
        <v>472</v>
      </c>
      <c r="C793" t="s">
        <v>9</v>
      </c>
      <c r="D793" s="10" t="e">
        <f>VLOOKUP(Tabela8[[#This Row],[Cód.]],#REF!,7,0)</f>
        <v>#REF!</v>
      </c>
      <c r="E793" s="9"/>
      <c r="F793" s="10"/>
      <c r="G793" s="8" t="e">
        <f>VLOOKUP(Tabela8[[#This Row],[Cód.]],CENTRAL[#All],9,0)</f>
        <v>#REF!</v>
      </c>
    </row>
    <row r="794" spans="1:14" ht="16.5" thickTop="1" thickBot="1" x14ac:dyDescent="0.3">
      <c r="A794">
        <v>200001957</v>
      </c>
      <c r="B794" t="s">
        <v>475</v>
      </c>
      <c r="C794" t="s">
        <v>9</v>
      </c>
      <c r="D794" s="10" t="e">
        <f>VLOOKUP(Tabela8[[#This Row],[Cód.]],#REF!,7,0)</f>
        <v>#REF!</v>
      </c>
      <c r="E794" s="9"/>
      <c r="F794" s="10"/>
      <c r="G794" s="8" t="e">
        <f>VLOOKUP(Tabela8[[#This Row],[Cód.]],CENTRAL[#All],9,0)</f>
        <v>#REF!</v>
      </c>
    </row>
    <row r="795" spans="1:14" ht="16.5" thickTop="1" thickBot="1" x14ac:dyDescent="0.3">
      <c r="A795">
        <v>200001958</v>
      </c>
      <c r="B795" t="s">
        <v>477</v>
      </c>
      <c r="C795" t="s">
        <v>9</v>
      </c>
      <c r="D795" s="10" t="e">
        <f>VLOOKUP(Tabela8[[#This Row],[Cód.]],#REF!,7,0)</f>
        <v>#REF!</v>
      </c>
      <c r="E795" s="9"/>
      <c r="F795" s="10"/>
      <c r="G795" s="8" t="e">
        <f>VLOOKUP(Tabela8[[#This Row],[Cód.]],CENTRAL[#All],9,0)</f>
        <v>#REF!</v>
      </c>
    </row>
    <row r="796" spans="1:14" ht="16.5" thickTop="1" thickBot="1" x14ac:dyDescent="0.3">
      <c r="A796">
        <v>200001966</v>
      </c>
      <c r="B796" t="s">
        <v>481</v>
      </c>
      <c r="C796" t="s">
        <v>9</v>
      </c>
      <c r="D796" s="10" t="e">
        <f>VLOOKUP(Tabela8[[#This Row],[Cód.]],#REF!,7,0)</f>
        <v>#REF!</v>
      </c>
      <c r="E796" s="9"/>
      <c r="F796" s="10"/>
      <c r="G796" s="8" t="e">
        <f>VLOOKUP(Tabela8[[#This Row],[Cód.]],CENTRAL[#All],9,0)</f>
        <v>#REF!</v>
      </c>
    </row>
    <row r="797" spans="1:14" ht="16.5" thickTop="1" thickBot="1" x14ac:dyDescent="0.3">
      <c r="A797">
        <v>200001962</v>
      </c>
      <c r="B797" t="s">
        <v>484</v>
      </c>
      <c r="C797" t="s">
        <v>9</v>
      </c>
      <c r="D797" s="10" t="e">
        <f>VLOOKUP(Tabela8[[#This Row],[Cód.]],#REF!,7,0)</f>
        <v>#REF!</v>
      </c>
      <c r="E797" s="9"/>
      <c r="F797" s="10"/>
      <c r="G797" s="8" t="e">
        <f>VLOOKUP(Tabela8[[#This Row],[Cód.]],CENTRAL[#All],9,0)</f>
        <v>#REF!</v>
      </c>
    </row>
    <row r="798" spans="1:14" ht="16.5" thickTop="1" thickBot="1" x14ac:dyDescent="0.3">
      <c r="A798">
        <v>200000414</v>
      </c>
      <c r="B798" t="s">
        <v>484</v>
      </c>
      <c r="C798" t="s">
        <v>9</v>
      </c>
      <c r="D798" s="10" t="e">
        <f>VLOOKUP(Tabela8[[#This Row],[Cód.]],#REF!,7,0)</f>
        <v>#REF!</v>
      </c>
      <c r="E798" s="9"/>
      <c r="F798" s="10"/>
      <c r="G798" s="8" t="e">
        <f>VLOOKUP(Tabela8[[#This Row],[Cód.]],CENTRAL[#All],9,0)</f>
        <v>#REF!</v>
      </c>
    </row>
    <row r="799" spans="1:14" ht="16.5" thickTop="1" thickBot="1" x14ac:dyDescent="0.3">
      <c r="A799">
        <v>200000419</v>
      </c>
      <c r="B799" t="s">
        <v>487</v>
      </c>
      <c r="C799" t="s">
        <v>9</v>
      </c>
      <c r="D799" s="10" t="e">
        <f>VLOOKUP(Tabela8[[#This Row],[Cód.]],#REF!,7,0)</f>
        <v>#REF!</v>
      </c>
      <c r="E799" s="9"/>
      <c r="F799" s="10"/>
      <c r="G799" s="8" t="e">
        <f>VLOOKUP(Tabela8[[#This Row],[Cód.]],CENTRAL[#All],9,0)</f>
        <v>#REF!</v>
      </c>
    </row>
    <row r="800" spans="1:14" ht="16.5" thickTop="1" thickBot="1" x14ac:dyDescent="0.3">
      <c r="A800">
        <v>200000420</v>
      </c>
      <c r="B800" t="s">
        <v>488</v>
      </c>
      <c r="C800" t="s">
        <v>9</v>
      </c>
      <c r="D800" s="10" t="e">
        <f>VLOOKUP(Tabela8[[#This Row],[Cód.]],#REF!,7,0)</f>
        <v>#REF!</v>
      </c>
      <c r="E800" s="9"/>
      <c r="F800" s="10"/>
      <c r="G800" s="8" t="e">
        <f>VLOOKUP(Tabela8[[#This Row],[Cód.]],CENTRAL[#All],9,0)</f>
        <v>#REF!</v>
      </c>
    </row>
    <row r="801" spans="1:7" ht="16.5" thickTop="1" thickBot="1" x14ac:dyDescent="0.3">
      <c r="A801">
        <v>200001969</v>
      </c>
      <c r="B801" t="s">
        <v>489</v>
      </c>
      <c r="C801" t="s">
        <v>9</v>
      </c>
      <c r="D801" s="10" t="e">
        <f>VLOOKUP(Tabela8[[#This Row],[Cód.]],#REF!,7,0)</f>
        <v>#REF!</v>
      </c>
      <c r="E801" s="9"/>
      <c r="F801" s="10"/>
      <c r="G801" s="8" t="e">
        <f>VLOOKUP(Tabela8[[#This Row],[Cód.]],CENTRAL[#All],9,0)</f>
        <v>#REF!</v>
      </c>
    </row>
    <row r="802" spans="1:7" ht="16.5" thickTop="1" thickBot="1" x14ac:dyDescent="0.3">
      <c r="A802">
        <v>200001964</v>
      </c>
      <c r="B802" t="s">
        <v>494</v>
      </c>
      <c r="C802" t="s">
        <v>9</v>
      </c>
      <c r="D802" s="10" t="e">
        <f>VLOOKUP(Tabela8[[#This Row],[Cód.]],#REF!,7,0)</f>
        <v>#REF!</v>
      </c>
      <c r="E802" s="9"/>
      <c r="F802" s="10"/>
      <c r="G802" s="8" t="e">
        <f>VLOOKUP(Tabela8[[#This Row],[Cód.]],CENTRAL[#All],9,0)</f>
        <v>#REF!</v>
      </c>
    </row>
    <row r="803" spans="1:7" ht="16.5" thickTop="1" thickBot="1" x14ac:dyDescent="0.3">
      <c r="A803">
        <v>200007175</v>
      </c>
      <c r="B803" t="s">
        <v>495</v>
      </c>
      <c r="C803" t="s">
        <v>9</v>
      </c>
      <c r="D803" s="10" t="e">
        <f>VLOOKUP(Tabela8[[#This Row],[Cód.]],#REF!,7,0)</f>
        <v>#REF!</v>
      </c>
      <c r="E803" s="9"/>
      <c r="F803" s="10"/>
      <c r="G803" s="8" t="e">
        <f>VLOOKUP(Tabela8[[#This Row],[Cód.]],CENTRAL[#All],9,0)</f>
        <v>#REF!</v>
      </c>
    </row>
    <row r="804" spans="1:7" ht="16.5" thickTop="1" thickBot="1" x14ac:dyDescent="0.3">
      <c r="A804">
        <v>200001960</v>
      </c>
      <c r="B804" t="s">
        <v>496</v>
      </c>
      <c r="C804" t="s">
        <v>9</v>
      </c>
      <c r="D804" s="10" t="e">
        <f>VLOOKUP(Tabela8[[#This Row],[Cód.]],#REF!,7,0)</f>
        <v>#REF!</v>
      </c>
      <c r="E804" s="9"/>
      <c r="F804" s="10"/>
      <c r="G804" s="8" t="e">
        <f>VLOOKUP(Tabela8[[#This Row],[Cód.]],CENTRAL[#All],9,0)</f>
        <v>#REF!</v>
      </c>
    </row>
    <row r="805" spans="1:7" ht="16.5" thickTop="1" thickBot="1" x14ac:dyDescent="0.3">
      <c r="A805">
        <v>200001959</v>
      </c>
      <c r="B805" t="s">
        <v>497</v>
      </c>
      <c r="C805" t="s">
        <v>9</v>
      </c>
      <c r="D805" s="10" t="e">
        <f>VLOOKUP(Tabela8[[#This Row],[Cód.]],#REF!,7,0)</f>
        <v>#REF!</v>
      </c>
      <c r="E805" s="9"/>
      <c r="F805" s="10"/>
      <c r="G805" s="8" t="e">
        <f>VLOOKUP(Tabela8[[#This Row],[Cód.]],CENTRAL[#All],9,0)</f>
        <v>#REF!</v>
      </c>
    </row>
    <row r="806" spans="1:7" ht="16.5" thickTop="1" thickBot="1" x14ac:dyDescent="0.3">
      <c r="A806">
        <v>200001970</v>
      </c>
      <c r="B806" t="s">
        <v>498</v>
      </c>
      <c r="C806" t="s">
        <v>9</v>
      </c>
      <c r="D806" s="10" t="e">
        <f>VLOOKUP(Tabela8[[#This Row],[Cód.]],#REF!,7,0)</f>
        <v>#REF!</v>
      </c>
      <c r="E806" s="9"/>
      <c r="F806" s="10"/>
      <c r="G806" s="8" t="e">
        <f>VLOOKUP(Tabela8[[#This Row],[Cód.]],CENTRAL[#All],9,0)</f>
        <v>#REF!</v>
      </c>
    </row>
    <row r="807" spans="1:7" ht="16.5" thickTop="1" thickBot="1" x14ac:dyDescent="0.3">
      <c r="A807">
        <v>200001971</v>
      </c>
      <c r="B807" t="s">
        <v>499</v>
      </c>
      <c r="C807" t="s">
        <v>9</v>
      </c>
      <c r="D807" s="10" t="e">
        <f>VLOOKUP(Tabela8[[#This Row],[Cód.]],#REF!,7,0)</f>
        <v>#REF!</v>
      </c>
      <c r="E807" s="9"/>
      <c r="F807" s="10"/>
      <c r="G807" s="8" t="e">
        <f>VLOOKUP(Tabela8[[#This Row],[Cód.]],CENTRAL[#All],9,0)</f>
        <v>#REF!</v>
      </c>
    </row>
    <row r="808" spans="1:7" ht="16.5" thickTop="1" thickBot="1" x14ac:dyDescent="0.3">
      <c r="A808">
        <v>200000229</v>
      </c>
      <c r="B808" t="s">
        <v>500</v>
      </c>
      <c r="C808" t="s">
        <v>9</v>
      </c>
      <c r="D808" s="10" t="e">
        <f>VLOOKUP(Tabela8[[#This Row],[Cód.]],#REF!,7,0)</f>
        <v>#REF!</v>
      </c>
      <c r="E808" s="9"/>
      <c r="F808" s="10"/>
      <c r="G808" s="8" t="e">
        <f>VLOOKUP(Tabela8[[#This Row],[Cód.]],CENTRAL[#All],9,0)</f>
        <v>#REF!</v>
      </c>
    </row>
    <row r="809" spans="1:7" ht="16.5" thickTop="1" thickBot="1" x14ac:dyDescent="0.3">
      <c r="A809">
        <v>200000718</v>
      </c>
      <c r="B809" t="s">
        <v>501</v>
      </c>
      <c r="C809" t="s">
        <v>9</v>
      </c>
      <c r="D809" s="10" t="e">
        <f>VLOOKUP(Tabela8[[#This Row],[Cód.]],#REF!,7,0)</f>
        <v>#REF!</v>
      </c>
      <c r="E809" s="9"/>
      <c r="F809" s="10"/>
      <c r="G809" s="8" t="e">
        <f>VLOOKUP(Tabela8[[#This Row],[Cód.]],CENTRAL[#All],9,0)</f>
        <v>#REF!</v>
      </c>
    </row>
    <row r="810" spans="1:7" ht="16.5" thickTop="1" thickBot="1" x14ac:dyDescent="0.3">
      <c r="A810">
        <v>200000718</v>
      </c>
      <c r="B810" t="s">
        <v>501</v>
      </c>
      <c r="C810" t="s">
        <v>9</v>
      </c>
      <c r="D810" s="10" t="e">
        <f>VLOOKUP(Tabela8[[#This Row],[Cód.]],#REF!,7,0)</f>
        <v>#REF!</v>
      </c>
      <c r="E810" s="9"/>
      <c r="F810" s="10"/>
      <c r="G810" s="8" t="e">
        <f>VLOOKUP(Tabela8[[#This Row],[Cód.]],CENTRAL[#All],9,0)</f>
        <v>#REF!</v>
      </c>
    </row>
    <row r="811" spans="1:7" ht="16.5" thickTop="1" thickBot="1" x14ac:dyDescent="0.3">
      <c r="A811">
        <v>200000227</v>
      </c>
      <c r="B811" t="s">
        <v>502</v>
      </c>
      <c r="C811" t="s">
        <v>9</v>
      </c>
      <c r="D811" s="10" t="e">
        <f>VLOOKUP(Tabela8[[#This Row],[Cód.]],#REF!,7,0)</f>
        <v>#REF!</v>
      </c>
      <c r="E811" s="9"/>
      <c r="F811" s="10"/>
      <c r="G811" s="8" t="e">
        <f>VLOOKUP(Tabela8[[#This Row],[Cód.]],CENTRAL[#All],9,0)</f>
        <v>#REF!</v>
      </c>
    </row>
    <row r="812" spans="1:7" ht="16.5" thickTop="1" thickBot="1" x14ac:dyDescent="0.3">
      <c r="A812">
        <v>200000605</v>
      </c>
      <c r="B812" t="s">
        <v>505</v>
      </c>
      <c r="C812" t="s">
        <v>9</v>
      </c>
      <c r="D812" s="10" t="e">
        <f>VLOOKUP(Tabela8[[#This Row],[Cód.]],#REF!,7,0)</f>
        <v>#REF!</v>
      </c>
      <c r="E812" s="9"/>
      <c r="F812" s="10"/>
      <c r="G812" s="8" t="e">
        <f>VLOOKUP(Tabela8[[#This Row],[Cód.]],CENTRAL[#All],9,0)</f>
        <v>#REF!</v>
      </c>
    </row>
    <row r="813" spans="1:7" ht="16.5" thickTop="1" thickBot="1" x14ac:dyDescent="0.3">
      <c r="A813">
        <v>200000172</v>
      </c>
      <c r="B813" t="s">
        <v>506</v>
      </c>
      <c r="C813" t="s">
        <v>9</v>
      </c>
      <c r="D813" s="10" t="e">
        <f>VLOOKUP(Tabela8[[#This Row],[Cód.]],#REF!,7,0)</f>
        <v>#REF!</v>
      </c>
      <c r="E813" s="9"/>
      <c r="F813" s="10"/>
      <c r="G813" s="8" t="e">
        <f>VLOOKUP(Tabela8[[#This Row],[Cód.]],CENTRAL[#All],9,0)</f>
        <v>#REF!</v>
      </c>
    </row>
    <row r="814" spans="1:7" ht="16.5" thickTop="1" thickBot="1" x14ac:dyDescent="0.3">
      <c r="A814">
        <v>200001593</v>
      </c>
      <c r="B814" t="s">
        <v>507</v>
      </c>
      <c r="C814" t="s">
        <v>9</v>
      </c>
      <c r="D814" s="10" t="e">
        <f>VLOOKUP(Tabela8[[#This Row],[Cód.]],#REF!,7,0)</f>
        <v>#REF!</v>
      </c>
      <c r="E814" s="9"/>
      <c r="F814" s="10"/>
      <c r="G814" s="8" t="e">
        <f>VLOOKUP(Tabela8[[#This Row],[Cód.]],CENTRAL[#All],9,0)</f>
        <v>#REF!</v>
      </c>
    </row>
    <row r="815" spans="1:7" ht="16.5" thickTop="1" thickBot="1" x14ac:dyDescent="0.3">
      <c r="A815">
        <v>200001312</v>
      </c>
      <c r="B815" t="s">
        <v>508</v>
      </c>
      <c r="C815" t="s">
        <v>9</v>
      </c>
      <c r="D815" s="10" t="e">
        <f>VLOOKUP(Tabela8[[#This Row],[Cód.]],#REF!,7,0)</f>
        <v>#REF!</v>
      </c>
      <c r="E815" s="9"/>
      <c r="F815" s="10"/>
      <c r="G815" s="8" t="e">
        <f>VLOOKUP(Tabela8[[#This Row],[Cód.]],CENTRAL[#All],9,0)</f>
        <v>#REF!</v>
      </c>
    </row>
    <row r="816" spans="1:7" ht="16.5" thickTop="1" thickBot="1" x14ac:dyDescent="0.3">
      <c r="A816">
        <v>200001312</v>
      </c>
      <c r="B816" t="s">
        <v>508</v>
      </c>
      <c r="C816" t="s">
        <v>9</v>
      </c>
      <c r="D816" s="10" t="e">
        <f>VLOOKUP(Tabela8[[#This Row],[Cód.]],#REF!,7,0)</f>
        <v>#REF!</v>
      </c>
      <c r="E816" s="9"/>
      <c r="F816" s="10"/>
      <c r="G816" s="8" t="e">
        <f>VLOOKUP(Tabela8[[#This Row],[Cód.]],CENTRAL[#All],9,0)</f>
        <v>#REF!</v>
      </c>
    </row>
    <row r="817" spans="1:7" ht="16.5" thickTop="1" thickBot="1" x14ac:dyDescent="0.3">
      <c r="A817">
        <v>200007012</v>
      </c>
      <c r="B817" t="s">
        <v>509</v>
      </c>
      <c r="C817" t="s">
        <v>9</v>
      </c>
      <c r="D817" s="10" t="e">
        <f>VLOOKUP(Tabela8[[#This Row],[Cód.]],#REF!,7,0)</f>
        <v>#REF!</v>
      </c>
      <c r="E817" s="9"/>
      <c r="F817" s="10"/>
      <c r="G817" s="8" t="e">
        <f>VLOOKUP(Tabela8[[#This Row],[Cód.]],CENTRAL[#All],9,0)</f>
        <v>#REF!</v>
      </c>
    </row>
    <row r="818" spans="1:7" ht="16.5" thickTop="1" thickBot="1" x14ac:dyDescent="0.3">
      <c r="A818">
        <v>200007120</v>
      </c>
      <c r="B818" t="s">
        <v>510</v>
      </c>
      <c r="C818" t="s">
        <v>9</v>
      </c>
      <c r="D818" s="10" t="e">
        <f>VLOOKUP(Tabela8[[#This Row],[Cód.]],#REF!,7,0)</f>
        <v>#REF!</v>
      </c>
      <c r="E818" s="9"/>
      <c r="F818" s="10"/>
      <c r="G818" s="8" t="e">
        <f>VLOOKUP(Tabela8[[#This Row],[Cód.]],CENTRAL[#All],9,0)</f>
        <v>#REF!</v>
      </c>
    </row>
    <row r="819" spans="1:7" ht="16.5" thickTop="1" thickBot="1" x14ac:dyDescent="0.3">
      <c r="A819">
        <v>200006195</v>
      </c>
      <c r="B819" t="s">
        <v>515</v>
      </c>
      <c r="C819" t="s">
        <v>9</v>
      </c>
      <c r="D819" s="10" t="e">
        <f>VLOOKUP(Tabela8[[#This Row],[Cód.]],#REF!,7,0)</f>
        <v>#REF!</v>
      </c>
      <c r="E819" s="9"/>
      <c r="F819" s="10"/>
      <c r="G819" s="8" t="e">
        <f>VLOOKUP(Tabela8[[#This Row],[Cód.]],CENTRAL[#All],9,0)</f>
        <v>#REF!</v>
      </c>
    </row>
    <row r="820" spans="1:7" ht="16.5" thickTop="1" thickBot="1" x14ac:dyDescent="0.3">
      <c r="A820">
        <v>200001030</v>
      </c>
      <c r="B820" t="s">
        <v>518</v>
      </c>
      <c r="C820" t="s">
        <v>9</v>
      </c>
      <c r="D820" s="10" t="e">
        <f>VLOOKUP(Tabela8[[#This Row],[Cód.]],#REF!,7,0)</f>
        <v>#REF!</v>
      </c>
      <c r="E820" s="9"/>
      <c r="F820" s="10"/>
      <c r="G820" s="8" t="e">
        <f>VLOOKUP(Tabela8[[#This Row],[Cód.]],CENTRAL[#All],9,0)</f>
        <v>#REF!</v>
      </c>
    </row>
    <row r="821" spans="1:7" ht="16.5" thickTop="1" thickBot="1" x14ac:dyDescent="0.3">
      <c r="A821">
        <v>200006272</v>
      </c>
      <c r="B821" t="s">
        <v>519</v>
      </c>
      <c r="C821" t="s">
        <v>9</v>
      </c>
      <c r="D821" s="10" t="e">
        <f>VLOOKUP(Tabela8[[#This Row],[Cód.]],#REF!,7,0)</f>
        <v>#REF!</v>
      </c>
      <c r="E821" s="9"/>
      <c r="F821" s="10"/>
      <c r="G821" s="8" t="e">
        <f>VLOOKUP(Tabela8[[#This Row],[Cód.]],CENTRAL[#All],9,0)</f>
        <v>#REF!</v>
      </c>
    </row>
    <row r="822" spans="1:7" ht="16.5" thickTop="1" thickBot="1" x14ac:dyDescent="0.3">
      <c r="A822">
        <v>200006873</v>
      </c>
      <c r="B822" t="s">
        <v>2308</v>
      </c>
      <c r="C822" t="s">
        <v>9</v>
      </c>
      <c r="D822" s="10" t="e">
        <f>VLOOKUP(Tabela8[[#This Row],[Cód.]],#REF!,7,0)</f>
        <v>#REF!</v>
      </c>
      <c r="E822" s="9"/>
      <c r="F822" s="10"/>
      <c r="G822" s="8" t="e">
        <f>VLOOKUP(Tabela8[[#This Row],[Cód.]],CENTRAL[#All],9,0)</f>
        <v>#REF!</v>
      </c>
    </row>
    <row r="823" spans="1:7" ht="16.5" thickTop="1" thickBot="1" x14ac:dyDescent="0.3">
      <c r="A823">
        <v>200002212</v>
      </c>
      <c r="B823" t="s">
        <v>521</v>
      </c>
      <c r="C823" t="s">
        <v>9</v>
      </c>
      <c r="D823" s="10" t="e">
        <f>VLOOKUP(Tabela8[[#This Row],[Cód.]],#REF!,7,0)</f>
        <v>#REF!</v>
      </c>
      <c r="E823" s="9"/>
      <c r="F823" s="10"/>
      <c r="G823" s="8" t="e">
        <f>VLOOKUP(Tabela8[[#This Row],[Cód.]],CENTRAL[#All],9,0)</f>
        <v>#REF!</v>
      </c>
    </row>
    <row r="824" spans="1:7" ht="16.5" thickTop="1" thickBot="1" x14ac:dyDescent="0.3">
      <c r="A824">
        <v>200006196</v>
      </c>
      <c r="B824" t="s">
        <v>525</v>
      </c>
      <c r="C824" t="s">
        <v>9</v>
      </c>
      <c r="D824" s="10" t="e">
        <f>VLOOKUP(Tabela8[[#This Row],[Cód.]],#REF!,7,0)</f>
        <v>#REF!</v>
      </c>
      <c r="E824" s="9"/>
      <c r="F824" s="10"/>
      <c r="G824" s="8" t="e">
        <f>VLOOKUP(Tabela8[[#This Row],[Cód.]],CENTRAL[#All],9,0)</f>
        <v>#REF!</v>
      </c>
    </row>
    <row r="825" spans="1:7" ht="16.5" thickTop="1" thickBot="1" x14ac:dyDescent="0.3">
      <c r="A825">
        <v>200000426</v>
      </c>
      <c r="B825" t="s">
        <v>527</v>
      </c>
      <c r="C825" t="s">
        <v>9</v>
      </c>
      <c r="D825" s="10" t="e">
        <f>VLOOKUP(Tabela8[[#This Row],[Cód.]],#REF!,7,0)</f>
        <v>#REF!</v>
      </c>
      <c r="E825" s="9"/>
      <c r="F825" s="10"/>
      <c r="G825" s="8" t="e">
        <f>VLOOKUP(Tabela8[[#This Row],[Cód.]],CENTRAL[#All],9,0)</f>
        <v>#REF!</v>
      </c>
    </row>
    <row r="826" spans="1:7" ht="16.5" thickTop="1" thickBot="1" x14ac:dyDescent="0.3">
      <c r="A826">
        <v>200000427</v>
      </c>
      <c r="B826" t="s">
        <v>528</v>
      </c>
      <c r="C826" t="s">
        <v>9</v>
      </c>
      <c r="D826" s="10" t="e">
        <f>VLOOKUP(Tabela8[[#This Row],[Cód.]],#REF!,7,0)</f>
        <v>#REF!</v>
      </c>
      <c r="E826" s="9"/>
      <c r="F826" s="10"/>
      <c r="G826" s="8" t="e">
        <f>VLOOKUP(Tabela8[[#This Row],[Cód.]],CENTRAL[#All],9,0)</f>
        <v>#REF!</v>
      </c>
    </row>
    <row r="827" spans="1:7" ht="16.5" thickTop="1" thickBot="1" x14ac:dyDescent="0.3">
      <c r="A827">
        <v>200004995</v>
      </c>
      <c r="B827" t="s">
        <v>529</v>
      </c>
      <c r="C827" t="s">
        <v>9</v>
      </c>
      <c r="D827" s="10" t="e">
        <f>VLOOKUP(Tabela8[[#This Row],[Cód.]],#REF!,7,0)</f>
        <v>#REF!</v>
      </c>
      <c r="E827" s="9"/>
      <c r="F827" s="10"/>
      <c r="G827" s="8" t="e">
        <f>VLOOKUP(Tabela8[[#This Row],[Cód.]],CENTRAL[#All],9,0)</f>
        <v>#REF!</v>
      </c>
    </row>
    <row r="828" spans="1:7" ht="16.5" thickTop="1" thickBot="1" x14ac:dyDescent="0.3">
      <c r="A828">
        <v>200006422</v>
      </c>
      <c r="B828" t="s">
        <v>530</v>
      </c>
      <c r="C828" t="s">
        <v>9</v>
      </c>
      <c r="D828" s="10" t="e">
        <f>VLOOKUP(Tabela8[[#This Row],[Cód.]],#REF!,7,0)</f>
        <v>#REF!</v>
      </c>
      <c r="E828" s="9"/>
      <c r="F828" s="10"/>
      <c r="G828" s="8" t="e">
        <f>VLOOKUP(Tabela8[[#This Row],[Cód.]],CENTRAL[#All],9,0)</f>
        <v>#REF!</v>
      </c>
    </row>
    <row r="829" spans="1:7" ht="16.5" thickTop="1" thickBot="1" x14ac:dyDescent="0.3">
      <c r="A829">
        <v>200004289</v>
      </c>
      <c r="B829" t="s">
        <v>535</v>
      </c>
      <c r="C829" t="s">
        <v>9</v>
      </c>
      <c r="D829" s="10" t="e">
        <f>VLOOKUP(Tabela8[[#This Row],[Cód.]],#REF!,7,0)</f>
        <v>#REF!</v>
      </c>
      <c r="E829" s="9"/>
      <c r="F829" s="10"/>
      <c r="G829" s="8" t="e">
        <f>VLOOKUP(Tabela8[[#This Row],[Cód.]],CENTRAL[#All],9,0)</f>
        <v>#REF!</v>
      </c>
    </row>
    <row r="830" spans="1:7" ht="16.5" thickTop="1" thickBot="1" x14ac:dyDescent="0.3">
      <c r="A830">
        <v>200004291</v>
      </c>
      <c r="B830" t="s">
        <v>536</v>
      </c>
      <c r="C830" t="s">
        <v>9</v>
      </c>
      <c r="D830" s="10" t="e">
        <f>VLOOKUP(Tabela8[[#This Row],[Cód.]],#REF!,7,0)</f>
        <v>#REF!</v>
      </c>
      <c r="E830" s="9"/>
      <c r="F830" s="10"/>
      <c r="G830" s="8" t="e">
        <f>VLOOKUP(Tabela8[[#This Row],[Cód.]],CENTRAL[#All],9,0)</f>
        <v>#REF!</v>
      </c>
    </row>
    <row r="831" spans="1:7" ht="16.5" thickTop="1" thickBot="1" x14ac:dyDescent="0.3">
      <c r="A831">
        <v>200004286</v>
      </c>
      <c r="B831" t="s">
        <v>537</v>
      </c>
      <c r="C831" t="s">
        <v>9</v>
      </c>
      <c r="D831" s="10" t="e">
        <f>VLOOKUP(Tabela8[[#This Row],[Cód.]],#REF!,7,0)</f>
        <v>#REF!</v>
      </c>
      <c r="E831" s="9"/>
      <c r="F831" s="10"/>
      <c r="G831" s="8" t="e">
        <f>VLOOKUP(Tabela8[[#This Row],[Cód.]],CENTRAL[#All],9,0)</f>
        <v>#REF!</v>
      </c>
    </row>
    <row r="832" spans="1:7" ht="16.5" thickTop="1" thickBot="1" x14ac:dyDescent="0.3">
      <c r="A832">
        <v>200007178</v>
      </c>
      <c r="B832" t="s">
        <v>539</v>
      </c>
      <c r="C832" t="s">
        <v>9</v>
      </c>
      <c r="D832" s="10" t="e">
        <f>VLOOKUP(Tabela8[[#This Row],[Cód.]],#REF!,7,0)</f>
        <v>#REF!</v>
      </c>
      <c r="E832" s="9"/>
      <c r="F832" s="10"/>
      <c r="G832" s="8" t="e">
        <f>VLOOKUP(Tabela8[[#This Row],[Cód.]],CENTRAL[#All],9,0)</f>
        <v>#REF!</v>
      </c>
    </row>
    <row r="833" spans="1:7" ht="16.5" thickTop="1" thickBot="1" x14ac:dyDescent="0.3">
      <c r="A833">
        <v>200001616</v>
      </c>
      <c r="B833" t="s">
        <v>540</v>
      </c>
      <c r="C833" t="s">
        <v>9</v>
      </c>
      <c r="D833" s="10" t="e">
        <f>VLOOKUP(Tabela8[[#This Row],[Cód.]],#REF!,7,0)</f>
        <v>#REF!</v>
      </c>
      <c r="E833" s="9"/>
      <c r="F833" s="10"/>
      <c r="G833" s="8" t="e">
        <f>VLOOKUP(Tabela8[[#This Row],[Cód.]],CENTRAL[#All],9,0)</f>
        <v>#REF!</v>
      </c>
    </row>
    <row r="834" spans="1:7" ht="16.5" thickTop="1" thickBot="1" x14ac:dyDescent="0.3">
      <c r="A834">
        <v>200000457</v>
      </c>
      <c r="B834" t="s">
        <v>541</v>
      </c>
      <c r="C834" t="s">
        <v>9</v>
      </c>
      <c r="D834" s="10" t="e">
        <f>VLOOKUP(Tabela8[[#This Row],[Cód.]],#REF!,7,0)</f>
        <v>#REF!</v>
      </c>
      <c r="E834" s="9"/>
      <c r="F834" s="10"/>
      <c r="G834" s="8" t="e">
        <f>VLOOKUP(Tabela8[[#This Row],[Cód.]],CENTRAL[#All],9,0)</f>
        <v>#REF!</v>
      </c>
    </row>
    <row r="835" spans="1:7" ht="16.5" thickTop="1" thickBot="1" x14ac:dyDescent="0.3">
      <c r="A835">
        <v>200000459</v>
      </c>
      <c r="B835" t="s">
        <v>542</v>
      </c>
      <c r="C835" t="s">
        <v>9</v>
      </c>
      <c r="D835" s="10" t="e">
        <f>VLOOKUP(Tabela8[[#This Row],[Cód.]],#REF!,7,0)</f>
        <v>#REF!</v>
      </c>
      <c r="E835" s="9"/>
      <c r="F835" s="10"/>
      <c r="G835" s="8" t="e">
        <f>VLOOKUP(Tabela8[[#This Row],[Cód.]],CENTRAL[#All],9,0)</f>
        <v>#REF!</v>
      </c>
    </row>
    <row r="836" spans="1:7" ht="16.5" thickTop="1" thickBot="1" x14ac:dyDescent="0.3">
      <c r="A836">
        <v>200000458</v>
      </c>
      <c r="B836" t="s">
        <v>543</v>
      </c>
      <c r="C836" t="s">
        <v>9</v>
      </c>
      <c r="D836" s="10" t="e">
        <f>VLOOKUP(Tabela8[[#This Row],[Cód.]],#REF!,7,0)</f>
        <v>#REF!</v>
      </c>
      <c r="E836" s="9"/>
      <c r="F836" s="10"/>
      <c r="G836" s="8" t="e">
        <f>VLOOKUP(Tabela8[[#This Row],[Cód.]],CENTRAL[#All],9,0)</f>
        <v>#REF!</v>
      </c>
    </row>
    <row r="837" spans="1:7" ht="16.5" thickTop="1" thickBot="1" x14ac:dyDescent="0.3">
      <c r="A837">
        <v>200000463</v>
      </c>
      <c r="B837" t="s">
        <v>545</v>
      </c>
      <c r="C837" t="s">
        <v>546</v>
      </c>
      <c r="D837" s="10" t="e">
        <f>VLOOKUP(Tabela8[[#This Row],[Cód.]],#REF!,7,0)</f>
        <v>#REF!</v>
      </c>
      <c r="E837" s="9"/>
      <c r="F837" s="10"/>
      <c r="G837" s="8" t="e">
        <f>VLOOKUP(Tabela8[[#This Row],[Cód.]],CENTRAL[#All],9,0)</f>
        <v>#REF!</v>
      </c>
    </row>
    <row r="838" spans="1:7" ht="16.5" thickTop="1" thickBot="1" x14ac:dyDescent="0.3">
      <c r="A838">
        <v>200000463</v>
      </c>
      <c r="B838" t="s">
        <v>545</v>
      </c>
      <c r="C838" t="s">
        <v>546</v>
      </c>
      <c r="D838" s="10" t="e">
        <f>VLOOKUP(Tabela8[[#This Row],[Cód.]],#REF!,7,0)</f>
        <v>#REF!</v>
      </c>
      <c r="E838" s="9"/>
      <c r="F838" s="10"/>
      <c r="G838" s="8" t="e">
        <f>VLOOKUP(Tabela8[[#This Row],[Cód.]],CENTRAL[#All],9,0)</f>
        <v>#REF!</v>
      </c>
    </row>
    <row r="839" spans="1:7" ht="16.5" thickTop="1" thickBot="1" x14ac:dyDescent="0.3">
      <c r="A839">
        <v>200000462</v>
      </c>
      <c r="B839" t="s">
        <v>548</v>
      </c>
      <c r="C839" t="s">
        <v>546</v>
      </c>
      <c r="D839" s="10" t="e">
        <f>VLOOKUP(Tabela8[[#This Row],[Cód.]],#REF!,7,0)</f>
        <v>#REF!</v>
      </c>
      <c r="E839" s="9"/>
      <c r="F839" s="10"/>
      <c r="G839" s="8" t="e">
        <f>VLOOKUP(Tabela8[[#This Row],[Cód.]],CENTRAL[#All],9,0)</f>
        <v>#REF!</v>
      </c>
    </row>
    <row r="840" spans="1:7" ht="16.5" thickTop="1" thickBot="1" x14ac:dyDescent="0.3">
      <c r="A840">
        <v>200000526</v>
      </c>
      <c r="B840" t="s">
        <v>549</v>
      </c>
      <c r="C840" t="s">
        <v>550</v>
      </c>
      <c r="D840" s="10" t="e">
        <f>VLOOKUP(Tabela8[[#This Row],[Cód.]],#REF!,7,0)</f>
        <v>#REF!</v>
      </c>
      <c r="E840" s="9"/>
      <c r="F840" s="10"/>
      <c r="G840" s="8" t="e">
        <f>VLOOKUP(Tabela8[[#This Row],[Cód.]],CENTRAL[#All],9,0)</f>
        <v>#REF!</v>
      </c>
    </row>
    <row r="841" spans="1:7" ht="16.5" thickTop="1" thickBot="1" x14ac:dyDescent="0.3">
      <c r="A841">
        <v>200001972</v>
      </c>
      <c r="B841" t="s">
        <v>552</v>
      </c>
      <c r="C841" t="s">
        <v>9</v>
      </c>
      <c r="D841" s="10" t="e">
        <f>VLOOKUP(Tabela8[[#This Row],[Cód.]],#REF!,7,0)</f>
        <v>#REF!</v>
      </c>
      <c r="E841" s="9"/>
      <c r="F841" s="10"/>
      <c r="G841" s="8" t="e">
        <f>VLOOKUP(Tabela8[[#This Row],[Cód.]],CENTRAL[#All],9,0)</f>
        <v>#REF!</v>
      </c>
    </row>
    <row r="842" spans="1:7" ht="15.75" thickTop="1" x14ac:dyDescent="0.25">
      <c r="A842">
        <v>200000467</v>
      </c>
      <c r="B842" t="s">
        <v>552</v>
      </c>
      <c r="C842" t="s">
        <v>9</v>
      </c>
      <c r="D842" s="10" t="e">
        <f>VLOOKUP(Tabela8[[#This Row],[Cód.]],#REF!,7,0)</f>
        <v>#REF!</v>
      </c>
      <c r="E842" s="9"/>
      <c r="F842" s="10"/>
      <c r="G842" s="8" t="e">
        <f>VLOOKUP(Tabela8[[#This Row],[Cód.]],CENTRAL[#All],9,0)</f>
        <v>#REF!</v>
      </c>
    </row>
    <row r="843" spans="1:7" ht="15.75" thickBot="1" x14ac:dyDescent="0.3">
      <c r="A843">
        <v>200003644</v>
      </c>
      <c r="B843" t="s">
        <v>556</v>
      </c>
      <c r="C843" t="s">
        <v>9</v>
      </c>
      <c r="D843" s="10" t="e">
        <f>VLOOKUP(Tabela8[[#This Row],[Cód.]],#REF!,7,0)</f>
        <v>#REF!</v>
      </c>
      <c r="E843" s="10"/>
      <c r="F843" s="10"/>
      <c r="G843" s="8" t="e">
        <f>VLOOKUP(Tabela8[[#This Row],[Cód.]],CENTRAL[#All],9,0)</f>
        <v>#REF!</v>
      </c>
    </row>
    <row r="844" spans="1:7" ht="16.5" thickTop="1" thickBot="1" x14ac:dyDescent="0.3">
      <c r="A844">
        <v>200003645</v>
      </c>
      <c r="B844" t="s">
        <v>557</v>
      </c>
      <c r="C844" t="s">
        <v>9</v>
      </c>
      <c r="D844" s="10" t="e">
        <f>VLOOKUP(Tabela8[[#This Row],[Cód.]],#REF!,7,0)</f>
        <v>#REF!</v>
      </c>
      <c r="E844" s="9"/>
      <c r="F844" s="10"/>
      <c r="G844" s="8" t="e">
        <f>VLOOKUP(Tabela8[[#This Row],[Cód.]],CENTRAL[#All],9,0)</f>
        <v>#REF!</v>
      </c>
    </row>
    <row r="845" spans="1:7" ht="16.5" thickTop="1" thickBot="1" x14ac:dyDescent="0.3">
      <c r="A845">
        <v>200001991</v>
      </c>
      <c r="B845" t="s">
        <v>566</v>
      </c>
      <c r="C845" t="s">
        <v>9</v>
      </c>
      <c r="D845" s="10" t="e">
        <f>VLOOKUP(Tabela8[[#This Row],[Cód.]],#REF!,7,0)</f>
        <v>#REF!</v>
      </c>
      <c r="E845" s="9"/>
      <c r="F845" s="10"/>
      <c r="G845" s="8" t="e">
        <f>VLOOKUP(Tabela8[[#This Row],[Cód.]],CENTRAL[#All],9,0)</f>
        <v>#REF!</v>
      </c>
    </row>
    <row r="846" spans="1:7" ht="16.5" thickTop="1" thickBot="1" x14ac:dyDescent="0.3">
      <c r="A846">
        <v>200002002</v>
      </c>
      <c r="B846" t="s">
        <v>567</v>
      </c>
      <c r="C846" t="s">
        <v>9</v>
      </c>
      <c r="D846" s="10" t="e">
        <f>VLOOKUP(Tabela8[[#This Row],[Cód.]],#REF!,7,0)</f>
        <v>#REF!</v>
      </c>
      <c r="E846" s="9"/>
      <c r="F846" s="10"/>
      <c r="G846" s="8" t="e">
        <f>VLOOKUP(Tabela8[[#This Row],[Cód.]],CENTRAL[#All],9,0)</f>
        <v>#REF!</v>
      </c>
    </row>
    <row r="847" spans="1:7" ht="16.5" thickTop="1" thickBot="1" x14ac:dyDescent="0.3">
      <c r="A847">
        <v>200001993</v>
      </c>
      <c r="B847" t="s">
        <v>570</v>
      </c>
      <c r="C847" t="s">
        <v>9</v>
      </c>
      <c r="D847" s="10" t="e">
        <f>VLOOKUP(Tabela8[[#This Row],[Cód.]],#REF!,7,0)</f>
        <v>#REF!</v>
      </c>
      <c r="E847" s="9"/>
      <c r="F847" s="10"/>
      <c r="G847" s="8" t="e">
        <f>VLOOKUP(Tabela8[[#This Row],[Cód.]],CENTRAL[#All],9,0)</f>
        <v>#REF!</v>
      </c>
    </row>
    <row r="848" spans="1:7" ht="16.5" thickTop="1" thickBot="1" x14ac:dyDescent="0.3">
      <c r="A848">
        <v>200001032</v>
      </c>
      <c r="B848" t="s">
        <v>570</v>
      </c>
      <c r="C848" t="s">
        <v>9</v>
      </c>
      <c r="D848" s="10" t="e">
        <f>VLOOKUP(Tabela8[[#This Row],[Cód.]],#REF!,7,0)</f>
        <v>#REF!</v>
      </c>
      <c r="E848" s="9"/>
      <c r="F848" s="10"/>
      <c r="G848" s="8" t="e">
        <f>VLOOKUP(Tabela8[[#This Row],[Cód.]],CENTRAL[#All],9,0)</f>
        <v>#REF!</v>
      </c>
    </row>
    <row r="849" spans="1:7" ht="16.5" thickTop="1" thickBot="1" x14ac:dyDescent="0.3">
      <c r="A849">
        <v>200001994</v>
      </c>
      <c r="B849" t="s">
        <v>571</v>
      </c>
      <c r="C849" t="s">
        <v>9</v>
      </c>
      <c r="D849" s="10" t="e">
        <f>VLOOKUP(Tabela8[[#This Row],[Cód.]],#REF!,7,0)</f>
        <v>#REF!</v>
      </c>
      <c r="E849" s="9"/>
      <c r="F849" s="10"/>
      <c r="G849" s="8" t="e">
        <f>VLOOKUP(Tabela8[[#This Row],[Cód.]],CENTRAL[#All],9,0)</f>
        <v>#REF!</v>
      </c>
    </row>
    <row r="850" spans="1:7" ht="16.5" thickTop="1" thickBot="1" x14ac:dyDescent="0.3">
      <c r="A850">
        <v>200003603</v>
      </c>
      <c r="B850" t="s">
        <v>572</v>
      </c>
      <c r="C850" t="s">
        <v>9</v>
      </c>
      <c r="D850" s="10" t="e">
        <f>VLOOKUP(Tabela8[[#This Row],[Cód.]],#REF!,7,0)</f>
        <v>#REF!</v>
      </c>
      <c r="E850" s="9"/>
      <c r="F850" s="10"/>
      <c r="G850" s="8" t="e">
        <f>VLOOKUP(Tabela8[[#This Row],[Cód.]],CENTRAL[#All],9,0)</f>
        <v>#REF!</v>
      </c>
    </row>
    <row r="851" spans="1:7" ht="16.5" thickTop="1" thickBot="1" x14ac:dyDescent="0.3">
      <c r="A851">
        <v>200001995</v>
      </c>
      <c r="B851" t="s">
        <v>573</v>
      </c>
      <c r="C851" t="s">
        <v>9</v>
      </c>
      <c r="D851" s="10" t="e">
        <f>VLOOKUP(Tabela8[[#This Row],[Cód.]],#REF!,7,0)</f>
        <v>#REF!</v>
      </c>
      <c r="E851" s="9"/>
      <c r="F851" s="10"/>
      <c r="G851" s="8" t="e">
        <f>VLOOKUP(Tabela8[[#This Row],[Cód.]],CENTRAL[#All],9,0)</f>
        <v>#REF!</v>
      </c>
    </row>
    <row r="852" spans="1:7" ht="16.5" thickTop="1" thickBot="1" x14ac:dyDescent="0.3">
      <c r="A852">
        <v>200001998</v>
      </c>
      <c r="B852" t="s">
        <v>574</v>
      </c>
      <c r="C852" t="s">
        <v>9</v>
      </c>
      <c r="D852" s="10" t="e">
        <f>VLOOKUP(Tabela8[[#This Row],[Cód.]],#REF!,7,0)</f>
        <v>#REF!</v>
      </c>
      <c r="E852" s="9"/>
      <c r="F852" s="10"/>
      <c r="G852" s="8" t="e">
        <f>VLOOKUP(Tabela8[[#This Row],[Cód.]],CENTRAL[#All],9,0)</f>
        <v>#REF!</v>
      </c>
    </row>
    <row r="853" spans="1:7" ht="16.5" thickTop="1" thickBot="1" x14ac:dyDescent="0.3">
      <c r="A853">
        <v>200003648</v>
      </c>
      <c r="B853" t="s">
        <v>576</v>
      </c>
      <c r="C853" t="s">
        <v>9</v>
      </c>
      <c r="D853" s="10" t="e">
        <f>VLOOKUP(Tabela8[[#This Row],[Cód.]],#REF!,7,0)</f>
        <v>#REF!</v>
      </c>
      <c r="E853" s="9"/>
      <c r="F853" s="10"/>
      <c r="G853" s="8" t="e">
        <f>VLOOKUP(Tabela8[[#This Row],[Cód.]],CENTRAL[#All],9,0)</f>
        <v>#REF!</v>
      </c>
    </row>
    <row r="854" spans="1:7" ht="16.5" thickTop="1" thickBot="1" x14ac:dyDescent="0.3">
      <c r="A854">
        <v>200001031</v>
      </c>
      <c r="B854" t="s">
        <v>578</v>
      </c>
      <c r="C854" t="s">
        <v>9</v>
      </c>
      <c r="D854" s="10" t="e">
        <f>VLOOKUP(Tabela8[[#This Row],[Cód.]],#REF!,7,0)</f>
        <v>#REF!</v>
      </c>
      <c r="E854" s="9"/>
      <c r="F854" s="10"/>
      <c r="G854" s="8" t="e">
        <f>VLOOKUP(Tabela8[[#This Row],[Cód.]],CENTRAL[#All],9,0)</f>
        <v>#REF!</v>
      </c>
    </row>
    <row r="855" spans="1:7" ht="16.5" thickTop="1" thickBot="1" x14ac:dyDescent="0.3">
      <c r="A855">
        <v>200003649</v>
      </c>
      <c r="B855" t="s">
        <v>579</v>
      </c>
      <c r="C855" t="s">
        <v>9</v>
      </c>
      <c r="D855" s="10" t="e">
        <f>VLOOKUP(Tabela8[[#This Row],[Cód.]],#REF!,7,0)</f>
        <v>#REF!</v>
      </c>
      <c r="E855" s="9"/>
      <c r="F855" s="10"/>
      <c r="G855" s="8" t="e">
        <f>VLOOKUP(Tabela8[[#This Row],[Cód.]],CENTRAL[#All],9,0)</f>
        <v>#REF!</v>
      </c>
    </row>
    <row r="856" spans="1:7" ht="16.5" thickTop="1" thickBot="1" x14ac:dyDescent="0.3">
      <c r="A856">
        <v>200000469</v>
      </c>
      <c r="B856" t="s">
        <v>580</v>
      </c>
      <c r="C856" t="s">
        <v>9</v>
      </c>
      <c r="D856" s="10" t="e">
        <f>VLOOKUP(Tabela8[[#This Row],[Cód.]],#REF!,7,0)</f>
        <v>#REF!</v>
      </c>
      <c r="E856" s="9"/>
      <c r="F856" s="10"/>
      <c r="G856" s="8" t="e">
        <f>VLOOKUP(Tabela8[[#This Row],[Cód.]],CENTRAL[#All],9,0)</f>
        <v>#REF!</v>
      </c>
    </row>
    <row r="857" spans="1:7" ht="16.5" thickTop="1" thickBot="1" x14ac:dyDescent="0.3">
      <c r="A857">
        <v>200000470</v>
      </c>
      <c r="B857" t="s">
        <v>581</v>
      </c>
      <c r="C857" t="s">
        <v>9</v>
      </c>
      <c r="D857" s="10" t="e">
        <f>VLOOKUP(Tabela8[[#This Row],[Cód.]],#REF!,7,0)</f>
        <v>#REF!</v>
      </c>
      <c r="E857" s="9"/>
      <c r="F857" s="10"/>
      <c r="G857" s="8" t="e">
        <f>VLOOKUP(Tabela8[[#This Row],[Cód.]],CENTRAL[#All],9,0)</f>
        <v>#REF!</v>
      </c>
    </row>
    <row r="858" spans="1:7" ht="16.5" thickTop="1" thickBot="1" x14ac:dyDescent="0.3">
      <c r="A858">
        <v>200000472</v>
      </c>
      <c r="B858" t="s">
        <v>595</v>
      </c>
      <c r="C858" t="s">
        <v>9</v>
      </c>
      <c r="D858" s="10" t="e">
        <f>VLOOKUP(Tabela8[[#This Row],[Cód.]],#REF!,7,0)</f>
        <v>#REF!</v>
      </c>
      <c r="E858" s="9"/>
      <c r="F858" s="10"/>
      <c r="G858" s="8" t="e">
        <f>VLOOKUP(Tabela8[[#This Row],[Cód.]],CENTRAL[#All],9,0)</f>
        <v>#REF!</v>
      </c>
    </row>
    <row r="859" spans="1:7" ht="16.5" thickTop="1" thickBot="1" x14ac:dyDescent="0.3">
      <c r="A859">
        <v>200000473</v>
      </c>
      <c r="B859" t="s">
        <v>596</v>
      </c>
      <c r="C859" t="s">
        <v>9</v>
      </c>
      <c r="D859" s="10" t="e">
        <f>VLOOKUP(Tabela8[[#This Row],[Cód.]],#REF!,7,0)</f>
        <v>#REF!</v>
      </c>
      <c r="E859" s="9"/>
      <c r="F859" s="10"/>
      <c r="G859" s="8" t="e">
        <f>VLOOKUP(Tabela8[[#This Row],[Cód.]],CENTRAL[#All],9,0)</f>
        <v>#REF!</v>
      </c>
    </row>
    <row r="860" spans="1:7" ht="16.5" thickTop="1" thickBot="1" x14ac:dyDescent="0.3">
      <c r="A860">
        <v>200002820</v>
      </c>
      <c r="B860" t="s">
        <v>598</v>
      </c>
      <c r="C860" t="s">
        <v>9</v>
      </c>
      <c r="D860" s="10" t="e">
        <f>VLOOKUP(Tabela8[[#This Row],[Cód.]],#REF!,7,0)</f>
        <v>#REF!</v>
      </c>
      <c r="E860" s="9"/>
      <c r="F860" s="10"/>
      <c r="G860" s="8" t="e">
        <f>VLOOKUP(Tabela8[[#This Row],[Cód.]],CENTRAL[#All],9,0)</f>
        <v>#REF!</v>
      </c>
    </row>
    <row r="861" spans="1:7" ht="14.25" customHeight="1" thickTop="1" thickBot="1" x14ac:dyDescent="0.3">
      <c r="A861">
        <v>200007085</v>
      </c>
      <c r="B861" t="s">
        <v>602</v>
      </c>
      <c r="C861" t="s">
        <v>9</v>
      </c>
      <c r="D861" s="10" t="e">
        <f>VLOOKUP(Tabela8[[#This Row],[Cód.]],#REF!,7,0)</f>
        <v>#REF!</v>
      </c>
      <c r="E861" s="9"/>
      <c r="F861" s="10"/>
      <c r="G861" s="8" t="e">
        <f>VLOOKUP(Tabela8[[#This Row],[Cód.]],CENTRAL[#All],9,0)</f>
        <v>#REF!</v>
      </c>
    </row>
    <row r="862" spans="1:7" ht="16.5" thickTop="1" thickBot="1" x14ac:dyDescent="0.3">
      <c r="A862">
        <v>200000488</v>
      </c>
      <c r="B862" t="s">
        <v>603</v>
      </c>
      <c r="C862" t="s">
        <v>63</v>
      </c>
      <c r="D862" s="10" t="e">
        <f>VLOOKUP(Tabela8[[#This Row],[Cód.]],#REF!,7,0)</f>
        <v>#REF!</v>
      </c>
      <c r="E862" s="9"/>
      <c r="F862" s="10"/>
      <c r="G862" s="8" t="e">
        <f>VLOOKUP(Tabela8[[#This Row],[Cód.]],CENTRAL[#All],9,0)</f>
        <v>#REF!</v>
      </c>
    </row>
    <row r="863" spans="1:7" ht="16.5" thickTop="1" thickBot="1" x14ac:dyDescent="0.3">
      <c r="A863">
        <v>200003458</v>
      </c>
      <c r="B863" t="s">
        <v>606</v>
      </c>
      <c r="C863" t="s">
        <v>9</v>
      </c>
      <c r="D863" s="10" t="e">
        <f>VLOOKUP(Tabela8[[#This Row],[Cód.]],#REF!,7,0)</f>
        <v>#REF!</v>
      </c>
      <c r="E863" s="9"/>
      <c r="F863" s="10"/>
      <c r="G863" s="8" t="e">
        <f>VLOOKUP(Tabela8[[#This Row],[Cód.]],CENTRAL[#All],9,0)</f>
        <v>#REF!</v>
      </c>
    </row>
    <row r="864" spans="1:7" ht="16.5" thickTop="1" thickBot="1" x14ac:dyDescent="0.3">
      <c r="A864">
        <v>200002117</v>
      </c>
      <c r="B864" t="s">
        <v>611</v>
      </c>
      <c r="C864" t="s">
        <v>550</v>
      </c>
      <c r="D864" s="10" t="e">
        <f>VLOOKUP(Tabela8[[#This Row],[Cód.]],#REF!,7,0)</f>
        <v>#REF!</v>
      </c>
      <c r="E864" s="9"/>
      <c r="F864" s="10"/>
      <c r="G864" s="8" t="e">
        <f>VLOOKUP(Tabela8[[#This Row],[Cód.]],CENTRAL[#All],9,0)</f>
        <v>#REF!</v>
      </c>
    </row>
    <row r="865" spans="1:7" ht="16.5" thickTop="1" thickBot="1" x14ac:dyDescent="0.3">
      <c r="A865">
        <v>200000494</v>
      </c>
      <c r="B865" t="s">
        <v>613</v>
      </c>
      <c r="C865" t="s">
        <v>9</v>
      </c>
      <c r="D865" s="10" t="e">
        <f>VLOOKUP(Tabela8[[#This Row],[Cód.]],#REF!,7,0)</f>
        <v>#REF!</v>
      </c>
      <c r="E865" s="9"/>
      <c r="F865" s="10"/>
      <c r="G865" s="8" t="e">
        <f>VLOOKUP(Tabela8[[#This Row],[Cód.]],CENTRAL[#All],9,0)</f>
        <v>#REF!</v>
      </c>
    </row>
    <row r="866" spans="1:7" ht="16.5" thickTop="1" thickBot="1" x14ac:dyDescent="0.3">
      <c r="A866">
        <v>200006089</v>
      </c>
      <c r="B866" t="s">
        <v>617</v>
      </c>
      <c r="C866" t="s">
        <v>9</v>
      </c>
      <c r="D866" s="10" t="e">
        <f>VLOOKUP(Tabela8[[#This Row],[Cód.]],#REF!,7,0)</f>
        <v>#REF!</v>
      </c>
      <c r="E866" s="9"/>
      <c r="F866" s="10"/>
      <c r="G866" s="8" t="e">
        <f>VLOOKUP(Tabela8[[#This Row],[Cód.]],CENTRAL[#All],9,0)</f>
        <v>#REF!</v>
      </c>
    </row>
    <row r="867" spans="1:7" ht="16.5" thickTop="1" thickBot="1" x14ac:dyDescent="0.3">
      <c r="A867">
        <v>200002118</v>
      </c>
      <c r="B867" t="s">
        <v>618</v>
      </c>
      <c r="C867" t="s">
        <v>9</v>
      </c>
      <c r="D867" s="10" t="e">
        <f>VLOOKUP(Tabela8[[#This Row],[Cód.]],#REF!,7,0)</f>
        <v>#REF!</v>
      </c>
      <c r="E867" s="9"/>
      <c r="F867" s="10"/>
      <c r="G867" s="8" t="e">
        <f>VLOOKUP(Tabela8[[#This Row],[Cód.]],CENTRAL[#All],9,0)</f>
        <v>#REF!</v>
      </c>
    </row>
    <row r="868" spans="1:7" ht="15.75" thickTop="1" x14ac:dyDescent="0.25">
      <c r="A868">
        <v>200006718</v>
      </c>
      <c r="B868" t="s">
        <v>619</v>
      </c>
      <c r="C868" t="s">
        <v>9</v>
      </c>
      <c r="D868" s="10" t="e">
        <f>VLOOKUP(Tabela8[[#This Row],[Cód.]],#REF!,7,0)</f>
        <v>#REF!</v>
      </c>
      <c r="E868" s="9"/>
      <c r="F868" s="10"/>
      <c r="G868" s="8" t="e">
        <f>VLOOKUP(Tabela8[[#This Row],[Cód.]],CENTRAL[#All],9,0)</f>
        <v>#REF!</v>
      </c>
    </row>
    <row r="869" spans="1:7" ht="15.75" thickBot="1" x14ac:dyDescent="0.3">
      <c r="A869">
        <v>200002438</v>
      </c>
      <c r="B869" t="s">
        <v>620</v>
      </c>
      <c r="C869" t="s">
        <v>9</v>
      </c>
      <c r="D869" s="10" t="e">
        <f>VLOOKUP(Tabela8[[#This Row],[Cód.]],#REF!,7,0)</f>
        <v>#REF!</v>
      </c>
      <c r="E869" s="10"/>
      <c r="F869" s="10"/>
      <c r="G869" s="8" t="e">
        <f>VLOOKUP(Tabela8[[#This Row],[Cód.]],CENTRAL[#All],9,0)</f>
        <v>#REF!</v>
      </c>
    </row>
    <row r="870" spans="1:7" ht="16.5" thickTop="1" thickBot="1" x14ac:dyDescent="0.3">
      <c r="A870">
        <v>200003706</v>
      </c>
      <c r="B870" t="s">
        <v>622</v>
      </c>
      <c r="C870" t="s">
        <v>9</v>
      </c>
      <c r="D870" s="10" t="e">
        <f>VLOOKUP(Tabela8[[#This Row],[Cód.]],#REF!,7,0)</f>
        <v>#REF!</v>
      </c>
      <c r="E870" s="9"/>
      <c r="F870" s="10"/>
      <c r="G870" s="8" t="e">
        <f>VLOOKUP(Tabela8[[#This Row],[Cód.]],CENTRAL[#All],9,0)</f>
        <v>#REF!</v>
      </c>
    </row>
    <row r="871" spans="1:7" ht="16.5" thickTop="1" thickBot="1" x14ac:dyDescent="0.3">
      <c r="A871">
        <v>200003650</v>
      </c>
      <c r="B871" t="s">
        <v>625</v>
      </c>
      <c r="C871" t="s">
        <v>9</v>
      </c>
      <c r="D871" s="10" t="e">
        <f>VLOOKUP(Tabela8[[#This Row],[Cód.]],#REF!,7,0)</f>
        <v>#REF!</v>
      </c>
      <c r="E871" s="9"/>
      <c r="F871" s="10"/>
      <c r="G871" s="8" t="e">
        <f>VLOOKUP(Tabela8[[#This Row],[Cód.]],CENTRAL[#All],9,0)</f>
        <v>#REF!</v>
      </c>
    </row>
    <row r="872" spans="1:7" ht="16.5" thickTop="1" thickBot="1" x14ac:dyDescent="0.3">
      <c r="A872">
        <v>200003651</v>
      </c>
      <c r="B872" t="s">
        <v>626</v>
      </c>
      <c r="C872" t="s">
        <v>9</v>
      </c>
      <c r="D872" s="10" t="e">
        <f>VLOOKUP(Tabela8[[#This Row],[Cód.]],#REF!,7,0)</f>
        <v>#REF!</v>
      </c>
      <c r="E872" s="9"/>
      <c r="F872" s="10"/>
      <c r="G872" s="8" t="e">
        <f>VLOOKUP(Tabela8[[#This Row],[Cód.]],CENTRAL[#All],9,0)</f>
        <v>#REF!</v>
      </c>
    </row>
    <row r="873" spans="1:7" ht="16.5" thickTop="1" thickBot="1" x14ac:dyDescent="0.3">
      <c r="A873">
        <v>200003652</v>
      </c>
      <c r="B873" t="s">
        <v>628</v>
      </c>
      <c r="C873" t="s">
        <v>9</v>
      </c>
      <c r="D873" s="10" t="e">
        <f>VLOOKUP(Tabela8[[#This Row],[Cód.]],#REF!,7,0)</f>
        <v>#REF!</v>
      </c>
      <c r="E873" s="9"/>
      <c r="F873" s="10"/>
      <c r="G873" s="8" t="e">
        <f>VLOOKUP(Tabela8[[#This Row],[Cód.]],CENTRAL[#All],9,0)</f>
        <v>#REF!</v>
      </c>
    </row>
    <row r="874" spans="1:7" ht="16.5" thickTop="1" thickBot="1" x14ac:dyDescent="0.3">
      <c r="A874">
        <v>200003534</v>
      </c>
      <c r="B874" t="s">
        <v>630</v>
      </c>
      <c r="C874" t="s">
        <v>9</v>
      </c>
      <c r="D874" s="10" t="e">
        <f>VLOOKUP(Tabela8[[#This Row],[Cód.]],#REF!,7,0)</f>
        <v>#REF!</v>
      </c>
      <c r="E874" s="9"/>
      <c r="F874" s="10"/>
      <c r="G874" s="8" t="e">
        <f>VLOOKUP(Tabela8[[#This Row],[Cód.]],CENTRAL[#All],9,0)</f>
        <v>#REF!</v>
      </c>
    </row>
    <row r="875" spans="1:7" ht="16.5" thickTop="1" thickBot="1" x14ac:dyDescent="0.3">
      <c r="A875">
        <v>200000505</v>
      </c>
      <c r="B875" t="s">
        <v>631</v>
      </c>
      <c r="C875" t="s">
        <v>9</v>
      </c>
      <c r="D875" s="10" t="e">
        <f>VLOOKUP(Tabela8[[#This Row],[Cód.]],#REF!,7,0)</f>
        <v>#REF!</v>
      </c>
      <c r="E875" s="9"/>
      <c r="F875" s="10"/>
      <c r="G875" s="8" t="e">
        <f>VLOOKUP(Tabela8[[#This Row],[Cód.]],CENTRAL[#All],9,0)</f>
        <v>#REF!</v>
      </c>
    </row>
    <row r="876" spans="1:7" ht="16.5" thickTop="1" thickBot="1" x14ac:dyDescent="0.3">
      <c r="A876">
        <v>200003309</v>
      </c>
      <c r="B876" t="s">
        <v>632</v>
      </c>
      <c r="C876" t="s">
        <v>9</v>
      </c>
      <c r="D876" s="10" t="e">
        <f>VLOOKUP(Tabela8[[#This Row],[Cód.]],#REF!,7,0)</f>
        <v>#REF!</v>
      </c>
      <c r="E876" s="9"/>
      <c r="F876" s="10"/>
      <c r="G876" s="8" t="e">
        <f>VLOOKUP(Tabela8[[#This Row],[Cód.]],CENTRAL[#All],9,0)</f>
        <v>#REF!</v>
      </c>
    </row>
    <row r="877" spans="1:7" ht="16.5" thickTop="1" thickBot="1" x14ac:dyDescent="0.3">
      <c r="A877">
        <v>200000885</v>
      </c>
      <c r="B877" t="s">
        <v>635</v>
      </c>
      <c r="C877" t="s">
        <v>9</v>
      </c>
      <c r="D877" s="10" t="e">
        <f>VLOOKUP(Tabela8[[#This Row],[Cód.]],#REF!,7,0)</f>
        <v>#REF!</v>
      </c>
      <c r="E877" s="9"/>
      <c r="F877" s="10"/>
      <c r="G877" s="8" t="e">
        <f>VLOOKUP(Tabela8[[#This Row],[Cód.]],CENTRAL[#All],9,0)</f>
        <v>#REF!</v>
      </c>
    </row>
    <row r="878" spans="1:7" ht="16.5" thickTop="1" thickBot="1" x14ac:dyDescent="0.3">
      <c r="A878">
        <v>200000885</v>
      </c>
      <c r="B878" t="s">
        <v>635</v>
      </c>
      <c r="C878" t="s">
        <v>9</v>
      </c>
      <c r="D878" s="10" t="e">
        <f>VLOOKUP(Tabela8[[#This Row],[Cód.]],#REF!,7,0)</f>
        <v>#REF!</v>
      </c>
      <c r="E878" s="9"/>
      <c r="F878" s="10"/>
      <c r="G878" s="8" t="e">
        <f>VLOOKUP(Tabela8[[#This Row],[Cód.]],CENTRAL[#All],9,0)</f>
        <v>#REF!</v>
      </c>
    </row>
    <row r="879" spans="1:7" ht="16.5" thickTop="1" thickBot="1" x14ac:dyDescent="0.3">
      <c r="A879">
        <v>200006983</v>
      </c>
      <c r="B879" t="s">
        <v>636</v>
      </c>
      <c r="C879" t="s">
        <v>442</v>
      </c>
      <c r="D879" s="10" t="e">
        <f>VLOOKUP(Tabela8[[#This Row],[Cód.]],#REF!,7,0)</f>
        <v>#REF!</v>
      </c>
      <c r="E879" s="9"/>
      <c r="F879" s="10"/>
      <c r="G879" s="8" t="e">
        <f>VLOOKUP(Tabela8[[#This Row],[Cód.]],CENTRAL[#All],9,0)</f>
        <v>#REF!</v>
      </c>
    </row>
    <row r="880" spans="1:7" ht="16.5" thickTop="1" thickBot="1" x14ac:dyDescent="0.3">
      <c r="A880">
        <v>200002144</v>
      </c>
      <c r="B880" t="s">
        <v>637</v>
      </c>
      <c r="C880" t="s">
        <v>9</v>
      </c>
      <c r="D880" s="10" t="e">
        <f>VLOOKUP(Tabela8[[#This Row],[Cód.]],#REF!,7,0)</f>
        <v>#REF!</v>
      </c>
      <c r="E880" s="9"/>
      <c r="F880" s="10"/>
      <c r="G880" s="8" t="e">
        <f>VLOOKUP(Tabela8[[#This Row],[Cód.]],CENTRAL[#All],9,0)</f>
        <v>#REF!</v>
      </c>
    </row>
    <row r="881" spans="1:7" ht="16.5" thickTop="1" thickBot="1" x14ac:dyDescent="0.3">
      <c r="A881">
        <v>200002134</v>
      </c>
      <c r="B881" t="s">
        <v>638</v>
      </c>
      <c r="C881" t="s">
        <v>9</v>
      </c>
      <c r="D881" s="10" t="e">
        <f>VLOOKUP(Tabela8[[#This Row],[Cód.]],#REF!,7,0)</f>
        <v>#REF!</v>
      </c>
      <c r="E881" s="9"/>
      <c r="F881" s="10"/>
      <c r="G881" s="8" t="e">
        <f>VLOOKUP(Tabela8[[#This Row],[Cód.]],CENTRAL[#All],9,0)</f>
        <v>#REF!</v>
      </c>
    </row>
    <row r="882" spans="1:7" ht="16.5" thickTop="1" thickBot="1" x14ac:dyDescent="0.3">
      <c r="A882">
        <v>200002132</v>
      </c>
      <c r="B882" t="s">
        <v>639</v>
      </c>
      <c r="C882" t="s">
        <v>9</v>
      </c>
      <c r="D882" s="10" t="e">
        <f>VLOOKUP(Tabela8[[#This Row],[Cód.]],#REF!,7,0)</f>
        <v>#REF!</v>
      </c>
      <c r="E882" s="9"/>
      <c r="F882" s="10"/>
      <c r="G882" s="8" t="e">
        <f>VLOOKUP(Tabela8[[#This Row],[Cód.]],CENTRAL[#All],9,0)</f>
        <v>#REF!</v>
      </c>
    </row>
    <row r="883" spans="1:7" ht="15.75" thickTop="1" x14ac:dyDescent="0.25">
      <c r="A883">
        <v>200002133</v>
      </c>
      <c r="B883" t="s">
        <v>640</v>
      </c>
      <c r="C883" t="s">
        <v>9</v>
      </c>
      <c r="D883" s="10" t="e">
        <f>VLOOKUP(Tabela8[[#This Row],[Cód.]],#REF!,7,0)</f>
        <v>#REF!</v>
      </c>
      <c r="E883" s="9"/>
      <c r="F883" s="10"/>
      <c r="G883" s="8" t="e">
        <f>VLOOKUP(Tabela8[[#This Row],[Cód.]],CENTRAL[#All],9,0)</f>
        <v>#REF!</v>
      </c>
    </row>
    <row r="884" spans="1:7" ht="15.75" thickBot="1" x14ac:dyDescent="0.3">
      <c r="A884">
        <v>200000522</v>
      </c>
      <c r="B884" t="s">
        <v>641</v>
      </c>
      <c r="C884" t="s">
        <v>9</v>
      </c>
      <c r="D884" s="10" t="e">
        <f>VLOOKUP(Tabela8[[#This Row],[Cód.]],#REF!,7,0)</f>
        <v>#REF!</v>
      </c>
      <c r="E884" s="10"/>
      <c r="F884" s="10"/>
      <c r="G884" s="8" t="e">
        <f>VLOOKUP(Tabela8[[#This Row],[Cód.]],CENTRAL[#All],9,0)</f>
        <v>#REF!</v>
      </c>
    </row>
    <row r="885" spans="1:7" ht="16.5" thickTop="1" thickBot="1" x14ac:dyDescent="0.3">
      <c r="A885">
        <v>200002143</v>
      </c>
      <c r="B885" t="s">
        <v>642</v>
      </c>
      <c r="C885" t="s">
        <v>9</v>
      </c>
      <c r="D885" s="10" t="e">
        <f>VLOOKUP(Tabela8[[#This Row],[Cód.]],#REF!,7,0)</f>
        <v>#REF!</v>
      </c>
      <c r="E885" s="9"/>
      <c r="F885" s="10"/>
      <c r="G885" s="8" t="e">
        <f>VLOOKUP(Tabela8[[#This Row],[Cód.]],CENTRAL[#All],9,0)</f>
        <v>#REF!</v>
      </c>
    </row>
    <row r="886" spans="1:7" ht="16.5" thickTop="1" thickBot="1" x14ac:dyDescent="0.3">
      <c r="A886">
        <v>200006560</v>
      </c>
      <c r="B886" t="s">
        <v>645</v>
      </c>
      <c r="C886" t="s">
        <v>96</v>
      </c>
      <c r="D886" s="10" t="e">
        <f>VLOOKUP(Tabela8[[#This Row],[Cód.]],#REF!,7,0)</f>
        <v>#REF!</v>
      </c>
      <c r="E886" s="9"/>
      <c r="F886" s="10"/>
      <c r="G886" s="8" t="e">
        <f>VLOOKUP(Tabela8[[#This Row],[Cód.]],CENTRAL[#All],9,0)</f>
        <v>#REF!</v>
      </c>
    </row>
    <row r="887" spans="1:7" ht="16.5" thickTop="1" thickBot="1" x14ac:dyDescent="0.3">
      <c r="A887">
        <v>200005773</v>
      </c>
      <c r="B887" t="s">
        <v>648</v>
      </c>
      <c r="C887" t="s">
        <v>9</v>
      </c>
      <c r="D887" s="10" t="e">
        <f>VLOOKUP(Tabela8[[#This Row],[Cód.]],#REF!,7,0)</f>
        <v>#REF!</v>
      </c>
      <c r="E887" s="9"/>
      <c r="F887" s="10"/>
      <c r="G887" s="8" t="e">
        <f>VLOOKUP(Tabela8[[#This Row],[Cód.]],CENTRAL[#All],9,0)</f>
        <v>#REF!</v>
      </c>
    </row>
    <row r="888" spans="1:7" ht="16.5" thickTop="1" thickBot="1" x14ac:dyDescent="0.3">
      <c r="A888">
        <v>200002142</v>
      </c>
      <c r="B888" t="s">
        <v>649</v>
      </c>
      <c r="C888" t="s">
        <v>9</v>
      </c>
      <c r="D888" s="10" t="e">
        <f>VLOOKUP(Tabela8[[#This Row],[Cód.]],#REF!,7,0)</f>
        <v>#REF!</v>
      </c>
      <c r="E888" s="9"/>
      <c r="F888" s="10"/>
      <c r="G888" s="8" t="e">
        <f>VLOOKUP(Tabela8[[#This Row],[Cód.]],CENTRAL[#All],9,0)</f>
        <v>#REF!</v>
      </c>
    </row>
    <row r="889" spans="1:7" ht="16.5" thickTop="1" thickBot="1" x14ac:dyDescent="0.3">
      <c r="A889">
        <v>200002147</v>
      </c>
      <c r="B889" t="s">
        <v>650</v>
      </c>
      <c r="C889" t="s">
        <v>9</v>
      </c>
      <c r="D889" s="10" t="e">
        <f>VLOOKUP(Tabela8[[#This Row],[Cód.]],#REF!,7,0)</f>
        <v>#REF!</v>
      </c>
      <c r="E889" s="9"/>
      <c r="F889" s="10"/>
      <c r="G889" s="8" t="e">
        <f>VLOOKUP(Tabela8[[#This Row],[Cód.]],CENTRAL[#All],9,0)</f>
        <v>#REF!</v>
      </c>
    </row>
    <row r="890" spans="1:7" ht="16.5" thickTop="1" thickBot="1" x14ac:dyDescent="0.3">
      <c r="A890">
        <v>200002151</v>
      </c>
      <c r="B890" t="s">
        <v>651</v>
      </c>
      <c r="C890" t="s">
        <v>9</v>
      </c>
      <c r="D890" s="10" t="e">
        <f>VLOOKUP(Tabela8[[#This Row],[Cód.]],#REF!,7,0)</f>
        <v>#REF!</v>
      </c>
      <c r="E890" s="9"/>
      <c r="F890" s="10"/>
      <c r="G890" s="8" t="e">
        <f>VLOOKUP(Tabela8[[#This Row],[Cód.]],CENTRAL[#All],9,0)</f>
        <v>#REF!</v>
      </c>
    </row>
    <row r="891" spans="1:7" ht="16.5" thickTop="1" thickBot="1" x14ac:dyDescent="0.3">
      <c r="A891">
        <v>200006063</v>
      </c>
      <c r="B891" t="s">
        <v>652</v>
      </c>
      <c r="C891" t="s">
        <v>96</v>
      </c>
      <c r="D891" s="10" t="e">
        <f>VLOOKUP(Tabela8[[#This Row],[Cód.]],#REF!,7,0)</f>
        <v>#REF!</v>
      </c>
      <c r="E891" s="9"/>
      <c r="F891" s="10"/>
      <c r="G891" s="8" t="e">
        <f>VLOOKUP(Tabela8[[#This Row],[Cód.]],CENTRAL[#All],9,0)</f>
        <v>#REF!</v>
      </c>
    </row>
    <row r="892" spans="1:7" ht="16.5" thickTop="1" thickBot="1" x14ac:dyDescent="0.3">
      <c r="A892">
        <v>200002146</v>
      </c>
      <c r="B892" t="s">
        <v>653</v>
      </c>
      <c r="C892" t="s">
        <v>9</v>
      </c>
      <c r="D892" s="10" t="e">
        <f>VLOOKUP(Tabela8[[#This Row],[Cód.]],#REF!,7,0)</f>
        <v>#REF!</v>
      </c>
      <c r="E892" s="9"/>
      <c r="F892" s="10"/>
      <c r="G892" s="8" t="e">
        <f>VLOOKUP(Tabela8[[#This Row],[Cód.]],CENTRAL[#All],9,0)</f>
        <v>#REF!</v>
      </c>
    </row>
    <row r="893" spans="1:7" ht="16.5" thickTop="1" thickBot="1" x14ac:dyDescent="0.3">
      <c r="A893">
        <v>200002149</v>
      </c>
      <c r="B893" t="s">
        <v>655</v>
      </c>
      <c r="C893" t="s">
        <v>9</v>
      </c>
      <c r="D893" s="10" t="e">
        <f>VLOOKUP(Tabela8[[#This Row],[Cód.]],#REF!,7,0)</f>
        <v>#REF!</v>
      </c>
      <c r="E893" s="9"/>
      <c r="F893" s="10"/>
      <c r="G893" s="8" t="e">
        <f>VLOOKUP(Tabela8[[#This Row],[Cód.]],CENTRAL[#All],9,0)</f>
        <v>#REF!</v>
      </c>
    </row>
    <row r="894" spans="1:7" ht="16.5" thickTop="1" thickBot="1" x14ac:dyDescent="0.3">
      <c r="A894">
        <v>200002150</v>
      </c>
      <c r="B894" t="s">
        <v>656</v>
      </c>
      <c r="C894" t="s">
        <v>9</v>
      </c>
      <c r="D894" s="10" t="e">
        <f>VLOOKUP(Tabela8[[#This Row],[Cód.]],#REF!,7,0)</f>
        <v>#REF!</v>
      </c>
      <c r="E894" s="9"/>
      <c r="F894" s="10"/>
      <c r="G894" s="8" t="e">
        <f>VLOOKUP(Tabela8[[#This Row],[Cód.]],CENTRAL[#All],9,0)</f>
        <v>#REF!</v>
      </c>
    </row>
    <row r="895" spans="1:7" ht="16.5" thickTop="1" thickBot="1" x14ac:dyDescent="0.3">
      <c r="A895">
        <v>200005822</v>
      </c>
      <c r="B895" t="s">
        <v>657</v>
      </c>
      <c r="C895" t="s">
        <v>96</v>
      </c>
      <c r="D895" s="10" t="e">
        <f>VLOOKUP(Tabela8[[#This Row],[Cód.]],#REF!,7,0)</f>
        <v>#REF!</v>
      </c>
      <c r="E895" s="9"/>
      <c r="F895" s="10"/>
      <c r="G895" s="8" t="e">
        <f>VLOOKUP(Tabela8[[#This Row],[Cód.]],CENTRAL[#All],9,0)</f>
        <v>#REF!</v>
      </c>
    </row>
    <row r="896" spans="1:7" ht="16.5" thickTop="1" thickBot="1" x14ac:dyDescent="0.3">
      <c r="A896">
        <v>200002135</v>
      </c>
      <c r="B896" t="s">
        <v>658</v>
      </c>
      <c r="C896" t="s">
        <v>9</v>
      </c>
      <c r="D896" s="10" t="e">
        <f>VLOOKUP(Tabela8[[#This Row],[Cód.]],#REF!,7,0)</f>
        <v>#REF!</v>
      </c>
      <c r="E896" s="9"/>
      <c r="F896" s="10"/>
      <c r="G896" s="8" t="e">
        <f>VLOOKUP(Tabela8[[#This Row],[Cód.]],CENTRAL[#All],9,0)</f>
        <v>#REF!</v>
      </c>
    </row>
    <row r="897" spans="1:7" ht="16.5" thickTop="1" thickBot="1" x14ac:dyDescent="0.3">
      <c r="A897">
        <v>200002155</v>
      </c>
      <c r="B897" t="s">
        <v>659</v>
      </c>
      <c r="C897" t="s">
        <v>9</v>
      </c>
      <c r="D897" s="10" t="e">
        <f>VLOOKUP(Tabela8[[#This Row],[Cód.]],#REF!,7,0)</f>
        <v>#REF!</v>
      </c>
      <c r="E897" s="9"/>
      <c r="F897" s="10"/>
      <c r="G897" s="8" t="e">
        <f>VLOOKUP(Tabela8[[#This Row],[Cód.]],CENTRAL[#All],9,0)</f>
        <v>#REF!</v>
      </c>
    </row>
    <row r="898" spans="1:7" ht="16.5" thickTop="1" thickBot="1" x14ac:dyDescent="0.3">
      <c r="A898">
        <v>200001069</v>
      </c>
      <c r="B898" t="s">
        <v>661</v>
      </c>
      <c r="C898" t="s">
        <v>9</v>
      </c>
      <c r="D898" s="10" t="e">
        <f>VLOOKUP(Tabela8[[#This Row],[Cód.]],#REF!,7,0)</f>
        <v>#REF!</v>
      </c>
      <c r="E898" s="9"/>
      <c r="F898" s="10"/>
      <c r="G898" s="8" t="e">
        <f>VLOOKUP(Tabela8[[#This Row],[Cód.]],CENTRAL[#All],9,0)</f>
        <v>#REF!</v>
      </c>
    </row>
    <row r="899" spans="1:7" ht="16.5" thickTop="1" thickBot="1" x14ac:dyDescent="0.3">
      <c r="A899">
        <v>200005823</v>
      </c>
      <c r="B899" t="s">
        <v>662</v>
      </c>
      <c r="C899" t="s">
        <v>96</v>
      </c>
      <c r="D899" s="10" t="e">
        <f>VLOOKUP(Tabela8[[#This Row],[Cód.]],#REF!,7,0)</f>
        <v>#REF!</v>
      </c>
      <c r="E899" s="9"/>
      <c r="F899" s="10"/>
      <c r="G899" s="8" t="e">
        <f>VLOOKUP(Tabela8[[#This Row],[Cód.]],CENTRAL[#All],9,0)</f>
        <v>#REF!</v>
      </c>
    </row>
    <row r="900" spans="1:7" ht="16.5" thickTop="1" thickBot="1" x14ac:dyDescent="0.3">
      <c r="A900">
        <v>200007036</v>
      </c>
      <c r="B900" t="s">
        <v>663</v>
      </c>
      <c r="C900" t="s">
        <v>9</v>
      </c>
      <c r="D900" s="10" t="e">
        <f>VLOOKUP(Tabela8[[#This Row],[Cód.]],#REF!,7,0)</f>
        <v>#REF!</v>
      </c>
      <c r="E900" s="9"/>
      <c r="F900" s="10"/>
      <c r="G900" s="8" t="e">
        <f>VLOOKUP(Tabela8[[#This Row],[Cód.]],CENTRAL[#All],9,0)</f>
        <v>#REF!</v>
      </c>
    </row>
    <row r="901" spans="1:7" ht="16.5" thickTop="1" thickBot="1" x14ac:dyDescent="0.3">
      <c r="A901">
        <v>200005816</v>
      </c>
      <c r="B901" t="s">
        <v>664</v>
      </c>
      <c r="C901" t="s">
        <v>9</v>
      </c>
      <c r="D901" s="10" t="e">
        <f>VLOOKUP(Tabela8[[#This Row],[Cód.]],#REF!,7,0)</f>
        <v>#REF!</v>
      </c>
      <c r="E901" s="9"/>
      <c r="F901" s="10"/>
      <c r="G901" s="8" t="e">
        <f>VLOOKUP(Tabela8[[#This Row],[Cód.]],CENTRAL[#All],9,0)</f>
        <v>#REF!</v>
      </c>
    </row>
    <row r="902" spans="1:7" ht="16.5" thickTop="1" thickBot="1" x14ac:dyDescent="0.3">
      <c r="A902">
        <v>200002139</v>
      </c>
      <c r="B902" t="s">
        <v>665</v>
      </c>
      <c r="C902" t="s">
        <v>9</v>
      </c>
      <c r="D902" s="10" t="e">
        <f>VLOOKUP(Tabela8[[#This Row],[Cód.]],#REF!,7,0)</f>
        <v>#REF!</v>
      </c>
      <c r="E902" s="9"/>
      <c r="F902" s="10"/>
      <c r="G902" s="8" t="e">
        <f>VLOOKUP(Tabela8[[#This Row],[Cód.]],CENTRAL[#All],9,0)</f>
        <v>#REF!</v>
      </c>
    </row>
    <row r="903" spans="1:7" ht="16.5" thickTop="1" thickBot="1" x14ac:dyDescent="0.3">
      <c r="A903">
        <v>200002153</v>
      </c>
      <c r="B903" t="s">
        <v>666</v>
      </c>
      <c r="C903" t="s">
        <v>9</v>
      </c>
      <c r="D903" s="10" t="e">
        <f>VLOOKUP(Tabela8[[#This Row],[Cód.]],#REF!,7,0)</f>
        <v>#REF!</v>
      </c>
      <c r="E903" s="9"/>
      <c r="F903" s="10"/>
      <c r="G903" s="8" t="e">
        <f>VLOOKUP(Tabela8[[#This Row],[Cód.]],CENTRAL[#All],9,0)</f>
        <v>#REF!</v>
      </c>
    </row>
    <row r="904" spans="1:7" ht="16.5" thickTop="1" thickBot="1" x14ac:dyDescent="0.3">
      <c r="A904">
        <v>200005229</v>
      </c>
      <c r="B904" t="s">
        <v>667</v>
      </c>
      <c r="C904" t="s">
        <v>9</v>
      </c>
      <c r="D904" s="10" t="e">
        <f>VLOOKUP(Tabela8[[#This Row],[Cód.]],#REF!,7,0)</f>
        <v>#REF!</v>
      </c>
      <c r="E904" s="9"/>
      <c r="F904" s="10"/>
      <c r="G904" s="8" t="e">
        <f>VLOOKUP(Tabela8[[#This Row],[Cód.]],CENTRAL[#All],9,0)</f>
        <v>#REF!</v>
      </c>
    </row>
    <row r="905" spans="1:7" ht="16.5" thickTop="1" thickBot="1" x14ac:dyDescent="0.3">
      <c r="A905">
        <v>200002140</v>
      </c>
      <c r="B905" t="s">
        <v>668</v>
      </c>
      <c r="C905" t="s">
        <v>9</v>
      </c>
      <c r="D905" s="10" t="e">
        <f>VLOOKUP(Tabela8[[#This Row],[Cód.]],#REF!,7,0)</f>
        <v>#REF!</v>
      </c>
      <c r="E905" s="9"/>
      <c r="F905" s="10"/>
      <c r="G905" s="8" t="e">
        <f>VLOOKUP(Tabela8[[#This Row],[Cód.]],CENTRAL[#All],9,0)</f>
        <v>#REF!</v>
      </c>
    </row>
    <row r="906" spans="1:7" ht="16.5" thickTop="1" thickBot="1" x14ac:dyDescent="0.3">
      <c r="A906">
        <v>200002154</v>
      </c>
      <c r="B906" t="s">
        <v>669</v>
      </c>
      <c r="C906" t="s">
        <v>9</v>
      </c>
      <c r="D906" s="10" t="e">
        <f>VLOOKUP(Tabela8[[#This Row],[Cód.]],#REF!,7,0)</f>
        <v>#REF!</v>
      </c>
      <c r="E906" s="9"/>
      <c r="F906" s="10"/>
      <c r="G906" s="8" t="e">
        <f>VLOOKUP(Tabela8[[#This Row],[Cód.]],CENTRAL[#All],9,0)</f>
        <v>#REF!</v>
      </c>
    </row>
    <row r="907" spans="1:7" ht="16.5" thickTop="1" thickBot="1" x14ac:dyDescent="0.3">
      <c r="A907">
        <v>200002138</v>
      </c>
      <c r="B907" t="s">
        <v>669</v>
      </c>
      <c r="C907" t="s">
        <v>9</v>
      </c>
      <c r="D907" s="10" t="e">
        <f>VLOOKUP(Tabela8[[#This Row],[Cód.]],#REF!,7,0)</f>
        <v>#REF!</v>
      </c>
      <c r="E907" s="9"/>
      <c r="F907" s="10"/>
      <c r="G907" s="8" t="e">
        <f>VLOOKUP(Tabela8[[#This Row],[Cód.]],CENTRAL[#All],9,0)</f>
        <v>#REF!</v>
      </c>
    </row>
    <row r="908" spans="1:7" ht="16.5" thickTop="1" thickBot="1" x14ac:dyDescent="0.3">
      <c r="A908">
        <v>200002159</v>
      </c>
      <c r="B908" t="s">
        <v>670</v>
      </c>
      <c r="C908" t="s">
        <v>9</v>
      </c>
      <c r="D908" s="10" t="e">
        <f>VLOOKUP(Tabela8[[#This Row],[Cód.]],#REF!,7,0)</f>
        <v>#REF!</v>
      </c>
      <c r="E908" s="9"/>
      <c r="F908" s="10"/>
      <c r="G908" s="8" t="e">
        <f>VLOOKUP(Tabela8[[#This Row],[Cód.]],CENTRAL[#All],9,0)</f>
        <v>#REF!</v>
      </c>
    </row>
    <row r="909" spans="1:7" ht="16.5" thickTop="1" thickBot="1" x14ac:dyDescent="0.3">
      <c r="A909">
        <v>200004146</v>
      </c>
      <c r="B909" t="s">
        <v>671</v>
      </c>
      <c r="C909" t="s">
        <v>9</v>
      </c>
      <c r="D909" s="10" t="e">
        <f>VLOOKUP(Tabela8[[#This Row],[Cód.]],#REF!,7,0)</f>
        <v>#REF!</v>
      </c>
      <c r="E909" s="9"/>
      <c r="F909" s="10"/>
      <c r="G909" s="8" t="e">
        <f>VLOOKUP(Tabela8[[#This Row],[Cód.]],CENTRAL[#All],9,0)</f>
        <v>#REF!</v>
      </c>
    </row>
    <row r="910" spans="1:7" ht="16.5" thickTop="1" thickBot="1" x14ac:dyDescent="0.3">
      <c r="A910">
        <v>200005088</v>
      </c>
      <c r="B910" t="s">
        <v>672</v>
      </c>
      <c r="C910" t="s">
        <v>9</v>
      </c>
      <c r="D910" s="10" t="e">
        <f>VLOOKUP(Tabela8[[#This Row],[Cód.]],#REF!,7,0)</f>
        <v>#REF!</v>
      </c>
      <c r="E910" s="9"/>
      <c r="F910" s="10"/>
      <c r="G910" s="8" t="e">
        <f>VLOOKUP(Tabela8[[#This Row],[Cód.]],CENTRAL[#All],9,0)</f>
        <v>#REF!</v>
      </c>
    </row>
    <row r="911" spans="1:7" ht="16.5" thickTop="1" thickBot="1" x14ac:dyDescent="0.3">
      <c r="A911">
        <v>200005982</v>
      </c>
      <c r="B911" t="s">
        <v>673</v>
      </c>
      <c r="C911" t="s">
        <v>96</v>
      </c>
      <c r="D911" s="10" t="e">
        <f>VLOOKUP(Tabela8[[#This Row],[Cód.]],#REF!,7,0)</f>
        <v>#REF!</v>
      </c>
      <c r="E911" s="9"/>
      <c r="F911" s="10"/>
      <c r="G911" s="8" t="e">
        <f>VLOOKUP(Tabela8[[#This Row],[Cód.]],CENTRAL[#All],9,0)</f>
        <v>#REF!</v>
      </c>
    </row>
    <row r="912" spans="1:7" ht="16.5" thickTop="1" thickBot="1" x14ac:dyDescent="0.3">
      <c r="A912">
        <v>200005228</v>
      </c>
      <c r="B912" t="s">
        <v>674</v>
      </c>
      <c r="C912" t="s">
        <v>9</v>
      </c>
      <c r="D912" s="10" t="e">
        <f>VLOOKUP(Tabela8[[#This Row],[Cód.]],#REF!,7,0)</f>
        <v>#REF!</v>
      </c>
      <c r="E912" s="9"/>
      <c r="F912" s="10"/>
      <c r="G912" s="8" t="e">
        <f>VLOOKUP(Tabela8[[#This Row],[Cód.]],CENTRAL[#All],9,0)</f>
        <v>#REF!</v>
      </c>
    </row>
    <row r="913" spans="1:7" ht="16.5" thickTop="1" thickBot="1" x14ac:dyDescent="0.3">
      <c r="A913">
        <v>200002137</v>
      </c>
      <c r="B913" t="s">
        <v>676</v>
      </c>
      <c r="C913" t="s">
        <v>9</v>
      </c>
      <c r="D913" s="10" t="e">
        <f>VLOOKUP(Tabela8[[#This Row],[Cód.]],#REF!,7,0)</f>
        <v>#REF!</v>
      </c>
      <c r="E913" s="9"/>
      <c r="F913" s="10"/>
      <c r="G913" s="8" t="e">
        <f>VLOOKUP(Tabela8[[#This Row],[Cód.]],CENTRAL[#All],9,0)</f>
        <v>#REF!</v>
      </c>
    </row>
    <row r="914" spans="1:7" ht="16.5" thickTop="1" thickBot="1" x14ac:dyDescent="0.3">
      <c r="A914">
        <v>200007037</v>
      </c>
      <c r="B914" t="s">
        <v>677</v>
      </c>
      <c r="C914" t="s">
        <v>9</v>
      </c>
      <c r="D914" s="10" t="e">
        <f>VLOOKUP(Tabela8[[#This Row],[Cód.]],#REF!,7,0)</f>
        <v>#REF!</v>
      </c>
      <c r="E914" s="9"/>
      <c r="F914" s="10"/>
      <c r="G914" s="8" t="e">
        <f>VLOOKUP(Tabela8[[#This Row],[Cód.]],CENTRAL[#All],9,0)</f>
        <v>#REF!</v>
      </c>
    </row>
    <row r="915" spans="1:7" ht="16.5" thickTop="1" thickBot="1" x14ac:dyDescent="0.3">
      <c r="A915">
        <v>200006064</v>
      </c>
      <c r="B915" t="s">
        <v>678</v>
      </c>
      <c r="C915" t="s">
        <v>9</v>
      </c>
      <c r="D915" s="10" t="e">
        <f>VLOOKUP(Tabela8[[#This Row],[Cód.]],#REF!,7,0)</f>
        <v>#REF!</v>
      </c>
      <c r="E915" s="9"/>
      <c r="F915" s="10"/>
      <c r="G915" s="8" t="e">
        <f>VLOOKUP(Tabela8[[#This Row],[Cód.]],CENTRAL[#All],9,0)</f>
        <v>#REF!</v>
      </c>
    </row>
    <row r="916" spans="1:7" ht="16.5" thickTop="1" thickBot="1" x14ac:dyDescent="0.3">
      <c r="A916">
        <v>200002136</v>
      </c>
      <c r="B916" t="s">
        <v>680</v>
      </c>
      <c r="C916" t="s">
        <v>9</v>
      </c>
      <c r="D916" s="10" t="e">
        <f>VLOOKUP(Tabela8[[#This Row],[Cód.]],#REF!,7,0)</f>
        <v>#REF!</v>
      </c>
      <c r="E916" s="9"/>
      <c r="F916" s="10"/>
      <c r="G916" s="8" t="e">
        <f>VLOOKUP(Tabela8[[#This Row],[Cód.]],CENTRAL[#All],9,0)</f>
        <v>#REF!</v>
      </c>
    </row>
    <row r="917" spans="1:7" ht="16.5" thickTop="1" thickBot="1" x14ac:dyDescent="0.3">
      <c r="A917">
        <v>200003403</v>
      </c>
      <c r="B917" t="s">
        <v>681</v>
      </c>
      <c r="C917" t="s">
        <v>9</v>
      </c>
      <c r="D917" s="10" t="e">
        <f>VLOOKUP(Tabela8[[#This Row],[Cód.]],#REF!,7,0)</f>
        <v>#REF!</v>
      </c>
      <c r="E917" s="9"/>
      <c r="F917" s="10"/>
      <c r="G917" s="8" t="e">
        <f>VLOOKUP(Tabela8[[#This Row],[Cód.]],CENTRAL[#All],9,0)</f>
        <v>#REF!</v>
      </c>
    </row>
    <row r="918" spans="1:7" ht="16.5" thickTop="1" thickBot="1" x14ac:dyDescent="0.3">
      <c r="A918">
        <v>200002157</v>
      </c>
      <c r="B918" t="s">
        <v>682</v>
      </c>
      <c r="C918" t="s">
        <v>9</v>
      </c>
      <c r="D918" s="10" t="e">
        <f>VLOOKUP(Tabela8[[#This Row],[Cód.]],#REF!,7,0)</f>
        <v>#REF!</v>
      </c>
      <c r="E918" s="9"/>
      <c r="F918" s="10"/>
      <c r="G918" s="8" t="e">
        <f>VLOOKUP(Tabela8[[#This Row],[Cód.]],CENTRAL[#All],9,0)</f>
        <v>#REF!</v>
      </c>
    </row>
    <row r="919" spans="1:7" ht="16.5" thickTop="1" thickBot="1" x14ac:dyDescent="0.3">
      <c r="A919">
        <v>200005686</v>
      </c>
      <c r="B919" t="s">
        <v>684</v>
      </c>
      <c r="C919" t="s">
        <v>9</v>
      </c>
      <c r="D919" s="10" t="e">
        <f>VLOOKUP(Tabela8[[#This Row],[Cód.]],#REF!,7,0)</f>
        <v>#REF!</v>
      </c>
      <c r="E919" s="9"/>
      <c r="F919" s="10"/>
      <c r="G919" s="8" t="e">
        <f>VLOOKUP(Tabela8[[#This Row],[Cód.]],CENTRAL[#All],9,0)</f>
        <v>#REF!</v>
      </c>
    </row>
    <row r="920" spans="1:7" ht="16.5" thickTop="1" thickBot="1" x14ac:dyDescent="0.3">
      <c r="A920">
        <v>200006004</v>
      </c>
      <c r="B920" t="s">
        <v>686</v>
      </c>
      <c r="C920" t="s">
        <v>687</v>
      </c>
      <c r="D920" s="10" t="e">
        <f>VLOOKUP(Tabela8[[#This Row],[Cód.]],#REF!,7,0)</f>
        <v>#REF!</v>
      </c>
      <c r="E920" s="9"/>
      <c r="F920" s="10"/>
      <c r="G920" s="8" t="e">
        <f>VLOOKUP(Tabela8[[#This Row],[Cód.]],CENTRAL[#All],9,0)</f>
        <v>#REF!</v>
      </c>
    </row>
    <row r="921" spans="1:7" ht="16.5" thickTop="1" thickBot="1" x14ac:dyDescent="0.3">
      <c r="A921">
        <v>200003302</v>
      </c>
      <c r="B921" t="s">
        <v>688</v>
      </c>
      <c r="C921" t="s">
        <v>86</v>
      </c>
      <c r="D921" s="10" t="e">
        <f>VLOOKUP(Tabela8[[#This Row],[Cód.]],#REF!,7,0)</f>
        <v>#REF!</v>
      </c>
      <c r="E921" s="9"/>
      <c r="F921" s="10"/>
      <c r="G921" s="8" t="e">
        <f>VLOOKUP(Tabela8[[#This Row],[Cód.]],CENTRAL[#All],9,0)</f>
        <v>#REF!</v>
      </c>
    </row>
    <row r="922" spans="1:7" ht="16.5" thickTop="1" thickBot="1" x14ac:dyDescent="0.3">
      <c r="A922">
        <v>200005224</v>
      </c>
      <c r="B922" t="s">
        <v>689</v>
      </c>
      <c r="C922" t="s">
        <v>687</v>
      </c>
      <c r="D922" s="10" t="e">
        <f>VLOOKUP(Tabela8[[#This Row],[Cód.]],#REF!,7,0)</f>
        <v>#REF!</v>
      </c>
      <c r="E922" s="9"/>
      <c r="F922" s="10"/>
      <c r="G922" s="8" t="e">
        <f>VLOOKUP(Tabela8[[#This Row],[Cód.]],CENTRAL[#All],9,0)</f>
        <v>#REF!</v>
      </c>
    </row>
    <row r="923" spans="1:7" ht="16.5" thickTop="1" thickBot="1" x14ac:dyDescent="0.3">
      <c r="A923">
        <v>200004557</v>
      </c>
      <c r="B923" t="s">
        <v>691</v>
      </c>
      <c r="C923" t="s">
        <v>110</v>
      </c>
      <c r="D923" s="10" t="e">
        <f>VLOOKUP(Tabela8[[#This Row],[Cód.]],#REF!,7,0)</f>
        <v>#REF!</v>
      </c>
      <c r="E923" s="9"/>
      <c r="F923" s="10"/>
      <c r="G923" s="8" t="e">
        <f>VLOOKUP(Tabela8[[#This Row],[Cód.]],CENTRAL[#All],9,0)</f>
        <v>#REF!</v>
      </c>
    </row>
    <row r="924" spans="1:7" ht="16.5" thickTop="1" thickBot="1" x14ac:dyDescent="0.3">
      <c r="A924">
        <v>200004558</v>
      </c>
      <c r="B924" t="s">
        <v>692</v>
      </c>
      <c r="C924" t="s">
        <v>110</v>
      </c>
      <c r="D924" s="10" t="e">
        <f>VLOOKUP(Tabela8[[#This Row],[Cód.]],#REF!,7,0)</f>
        <v>#REF!</v>
      </c>
      <c r="E924" s="9"/>
      <c r="F924" s="10"/>
      <c r="G924" s="8" t="e">
        <f>VLOOKUP(Tabela8[[#This Row],[Cód.]],CENTRAL[#All],9,0)</f>
        <v>#REF!</v>
      </c>
    </row>
    <row r="925" spans="1:7" ht="16.5" thickTop="1" thickBot="1" x14ac:dyDescent="0.3">
      <c r="A925">
        <v>200004556</v>
      </c>
      <c r="B925" t="s">
        <v>693</v>
      </c>
      <c r="C925" t="s">
        <v>110</v>
      </c>
      <c r="D925" s="10" t="e">
        <f>VLOOKUP(Tabela8[[#This Row],[Cód.]],#REF!,7,0)</f>
        <v>#REF!</v>
      </c>
      <c r="E925" s="9"/>
      <c r="F925" s="10"/>
      <c r="G925" s="8" t="e">
        <f>VLOOKUP(Tabela8[[#This Row],[Cód.]],CENTRAL[#All],9,0)</f>
        <v>#REF!</v>
      </c>
    </row>
    <row r="926" spans="1:7" ht="16.5" thickTop="1" thickBot="1" x14ac:dyDescent="0.3">
      <c r="A926">
        <v>200003313</v>
      </c>
      <c r="B926" t="s">
        <v>697</v>
      </c>
      <c r="C926" t="s">
        <v>9</v>
      </c>
      <c r="D926" s="10" t="e">
        <f>VLOOKUP(Tabela8[[#This Row],[Cód.]],#REF!,7,0)</f>
        <v>#REF!</v>
      </c>
      <c r="E926" s="9"/>
      <c r="F926" s="10"/>
      <c r="G926" s="8" t="e">
        <f>VLOOKUP(Tabela8[[#This Row],[Cód.]],CENTRAL[#All],9,0)</f>
        <v>#REF!</v>
      </c>
    </row>
    <row r="927" spans="1:7" ht="16.5" thickTop="1" thickBot="1" x14ac:dyDescent="0.3">
      <c r="A927">
        <v>200000888</v>
      </c>
      <c r="B927" t="s">
        <v>698</v>
      </c>
      <c r="C927" t="s">
        <v>9</v>
      </c>
      <c r="D927" s="10" t="e">
        <f>VLOOKUP(Tabela8[[#This Row],[Cód.]],#REF!,7,0)</f>
        <v>#REF!</v>
      </c>
      <c r="E927" s="9"/>
      <c r="F927" s="10"/>
      <c r="G927" s="8" t="e">
        <f>VLOOKUP(Tabela8[[#This Row],[Cód.]],CENTRAL[#All],9,0)</f>
        <v>#REF!</v>
      </c>
    </row>
    <row r="928" spans="1:7" ht="16.5" thickTop="1" thickBot="1" x14ac:dyDescent="0.3">
      <c r="A928">
        <v>200003704</v>
      </c>
      <c r="B928" t="s">
        <v>699</v>
      </c>
      <c r="C928" t="s">
        <v>9</v>
      </c>
      <c r="D928" s="10" t="e">
        <f>VLOOKUP(Tabela8[[#This Row],[Cód.]],#REF!,7,0)</f>
        <v>#REF!</v>
      </c>
      <c r="E928" s="9"/>
      <c r="F928" s="10"/>
      <c r="G928" s="8" t="e">
        <f>VLOOKUP(Tabela8[[#This Row],[Cód.]],CENTRAL[#All],9,0)</f>
        <v>#REF!</v>
      </c>
    </row>
    <row r="929" spans="1:7" ht="16.5" thickTop="1" thickBot="1" x14ac:dyDescent="0.3">
      <c r="A929">
        <v>200005435</v>
      </c>
      <c r="B929" t="s">
        <v>709</v>
      </c>
      <c r="C929" t="s">
        <v>9</v>
      </c>
      <c r="D929" s="10" t="e">
        <f>VLOOKUP(Tabela8[[#This Row],[Cód.]],#REF!,7,0)</f>
        <v>#REF!</v>
      </c>
      <c r="E929" s="9"/>
      <c r="F929" s="10"/>
      <c r="G929" s="8" t="e">
        <f>VLOOKUP(Tabela8[[#This Row],[Cód.]],CENTRAL[#All],9,0)</f>
        <v>#REF!</v>
      </c>
    </row>
    <row r="930" spans="1:7" ht="16.5" thickTop="1" thickBot="1" x14ac:dyDescent="0.3">
      <c r="A930">
        <v>200004090</v>
      </c>
      <c r="B930" t="s">
        <v>710</v>
      </c>
      <c r="C930" t="s">
        <v>9</v>
      </c>
      <c r="D930" s="10" t="e">
        <f>VLOOKUP(Tabela8[[#This Row],[Cód.]],#REF!,7,0)</f>
        <v>#REF!</v>
      </c>
      <c r="E930" s="9"/>
      <c r="F930" s="10"/>
      <c r="G930" s="8" t="e">
        <f>VLOOKUP(Tabela8[[#This Row],[Cód.]],CENTRAL[#All],9,0)</f>
        <v>#REF!</v>
      </c>
    </row>
    <row r="931" spans="1:7" ht="16.5" thickTop="1" thickBot="1" x14ac:dyDescent="0.3">
      <c r="A931">
        <v>200004193</v>
      </c>
      <c r="B931" t="s">
        <v>711</v>
      </c>
      <c r="C931" t="s">
        <v>9</v>
      </c>
      <c r="D931" s="10" t="e">
        <f>VLOOKUP(Tabela8[[#This Row],[Cód.]],#REF!,7,0)</f>
        <v>#REF!</v>
      </c>
      <c r="E931" s="9"/>
      <c r="F931" s="10"/>
      <c r="G931" s="8" t="e">
        <f>VLOOKUP(Tabela8[[#This Row],[Cód.]],CENTRAL[#All],9,0)</f>
        <v>#REF!</v>
      </c>
    </row>
    <row r="932" spans="1:7" ht="16.5" thickTop="1" thickBot="1" x14ac:dyDescent="0.3">
      <c r="A932">
        <v>200004193</v>
      </c>
      <c r="B932" t="s">
        <v>711</v>
      </c>
      <c r="C932" t="s">
        <v>9</v>
      </c>
      <c r="D932" s="10" t="e">
        <f>VLOOKUP(Tabela8[[#This Row],[Cód.]],#REF!,7,0)</f>
        <v>#REF!</v>
      </c>
      <c r="E932" s="9"/>
      <c r="F932" s="10"/>
      <c r="G932" s="8" t="e">
        <f>VLOOKUP(Tabela8[[#This Row],[Cód.]],CENTRAL[#All],9,0)</f>
        <v>#REF!</v>
      </c>
    </row>
    <row r="933" spans="1:7" ht="16.5" thickTop="1" thickBot="1" x14ac:dyDescent="0.3">
      <c r="A933">
        <v>200002119</v>
      </c>
      <c r="B933" t="s">
        <v>712</v>
      </c>
      <c r="C933" t="s">
        <v>9</v>
      </c>
      <c r="D933" s="10" t="e">
        <f>VLOOKUP(Tabela8[[#This Row],[Cód.]],#REF!,7,0)</f>
        <v>#REF!</v>
      </c>
      <c r="E933" s="9"/>
      <c r="F933" s="10"/>
      <c r="G933" s="8" t="e">
        <f>VLOOKUP(Tabela8[[#This Row],[Cód.]],CENTRAL[#All],9,0)</f>
        <v>#REF!</v>
      </c>
    </row>
    <row r="934" spans="1:7" ht="16.5" thickTop="1" thickBot="1" x14ac:dyDescent="0.3">
      <c r="A934">
        <v>200002362</v>
      </c>
      <c r="B934" t="s">
        <v>718</v>
      </c>
      <c r="C934" t="s">
        <v>9</v>
      </c>
      <c r="D934" s="10" t="e">
        <f>VLOOKUP(Tabela8[[#This Row],[Cód.]],#REF!,7,0)</f>
        <v>#REF!</v>
      </c>
      <c r="E934" s="9"/>
      <c r="F934" s="10"/>
      <c r="G934" s="8" t="e">
        <f>VLOOKUP(Tabela8[[#This Row],[Cód.]],CENTRAL[#All],9,0)</f>
        <v>#REF!</v>
      </c>
    </row>
    <row r="935" spans="1:7" ht="16.5" thickTop="1" thickBot="1" x14ac:dyDescent="0.3">
      <c r="A935">
        <v>200002363</v>
      </c>
      <c r="B935" t="s">
        <v>719</v>
      </c>
      <c r="C935" t="s">
        <v>9</v>
      </c>
      <c r="D935" s="10" t="e">
        <f>VLOOKUP(Tabela8[[#This Row],[Cód.]],#REF!,7,0)</f>
        <v>#REF!</v>
      </c>
      <c r="E935" s="9"/>
      <c r="F935" s="10"/>
      <c r="G935" s="8" t="e">
        <f>VLOOKUP(Tabela8[[#This Row],[Cód.]],CENTRAL[#All],9,0)</f>
        <v>#REF!</v>
      </c>
    </row>
    <row r="936" spans="1:7" ht="16.5" thickTop="1" thickBot="1" x14ac:dyDescent="0.3">
      <c r="A936">
        <v>200004131</v>
      </c>
      <c r="B936" t="s">
        <v>720</v>
      </c>
      <c r="C936" t="s">
        <v>721</v>
      </c>
      <c r="D936" s="10" t="e">
        <f>VLOOKUP(Tabela8[[#This Row],[Cód.]],#REF!,7,0)</f>
        <v>#REF!</v>
      </c>
      <c r="E936" s="9"/>
      <c r="F936" s="10"/>
      <c r="G936" s="8" t="e">
        <f>VLOOKUP(Tabela8[[#This Row],[Cód.]],CENTRAL[#All],9,0)</f>
        <v>#REF!</v>
      </c>
    </row>
    <row r="937" spans="1:7" ht="16.5" thickTop="1" thickBot="1" x14ac:dyDescent="0.3">
      <c r="A937">
        <v>200003705</v>
      </c>
      <c r="B937" t="s">
        <v>722</v>
      </c>
      <c r="C937" t="s">
        <v>96</v>
      </c>
      <c r="D937" s="10" t="e">
        <f>VLOOKUP(Tabela8[[#This Row],[Cód.]],#REF!,7,0)</f>
        <v>#REF!</v>
      </c>
      <c r="E937" s="9"/>
      <c r="F937" s="10"/>
      <c r="G937" s="8" t="e">
        <f>VLOOKUP(Tabela8[[#This Row],[Cód.]],CENTRAL[#All],9,0)</f>
        <v>#REF!</v>
      </c>
    </row>
    <row r="938" spans="1:7" ht="16.5" thickTop="1" thickBot="1" x14ac:dyDescent="0.3">
      <c r="A938">
        <v>200003705</v>
      </c>
      <c r="B938" t="s">
        <v>722</v>
      </c>
      <c r="C938" t="s">
        <v>96</v>
      </c>
      <c r="D938" s="10" t="e">
        <f>VLOOKUP(Tabela8[[#This Row],[Cód.]],#REF!,7,0)</f>
        <v>#REF!</v>
      </c>
      <c r="E938" s="9"/>
      <c r="F938" s="10"/>
      <c r="G938" s="8" t="e">
        <f>VLOOKUP(Tabela8[[#This Row],[Cód.]],CENTRAL[#All],9,0)</f>
        <v>#REF!</v>
      </c>
    </row>
    <row r="939" spans="1:7" ht="16.5" thickTop="1" thickBot="1" x14ac:dyDescent="0.3">
      <c r="A939">
        <v>200003084</v>
      </c>
      <c r="B939" t="s">
        <v>723</v>
      </c>
      <c r="C939" t="s">
        <v>96</v>
      </c>
      <c r="D939" s="10" t="e">
        <f>VLOOKUP(Tabela8[[#This Row],[Cód.]],#REF!,7,0)</f>
        <v>#REF!</v>
      </c>
      <c r="E939" s="9"/>
      <c r="F939" s="10"/>
      <c r="G939" s="8" t="e">
        <f>VLOOKUP(Tabela8[[#This Row],[Cód.]],CENTRAL[#All],9,0)</f>
        <v>#REF!</v>
      </c>
    </row>
    <row r="940" spans="1:7" ht="16.5" thickTop="1" thickBot="1" x14ac:dyDescent="0.3">
      <c r="A940">
        <v>200003084</v>
      </c>
      <c r="B940" t="s">
        <v>723</v>
      </c>
      <c r="C940" t="s">
        <v>96</v>
      </c>
      <c r="D940" s="10" t="e">
        <f>VLOOKUP(Tabela8[[#This Row],[Cód.]],#REF!,7,0)</f>
        <v>#REF!</v>
      </c>
      <c r="E940" s="9"/>
      <c r="F940" s="10"/>
      <c r="G940" s="8" t="e">
        <f>VLOOKUP(Tabela8[[#This Row],[Cód.]],CENTRAL[#All],9,0)</f>
        <v>#REF!</v>
      </c>
    </row>
    <row r="941" spans="1:7" ht="16.5" thickTop="1" thickBot="1" x14ac:dyDescent="0.3">
      <c r="A941">
        <v>200005117</v>
      </c>
      <c r="B941" t="s">
        <v>727</v>
      </c>
      <c r="C941" t="s">
        <v>110</v>
      </c>
      <c r="D941" s="10" t="e">
        <f>VLOOKUP(Tabela8[[#This Row],[Cód.]],#REF!,7,0)</f>
        <v>#REF!</v>
      </c>
      <c r="E941" s="9"/>
      <c r="F941" s="10"/>
      <c r="G941" s="8" t="e">
        <f>VLOOKUP(Tabela8[[#This Row],[Cód.]],CENTRAL[#All],9,0)</f>
        <v>#REF!</v>
      </c>
    </row>
    <row r="942" spans="1:7" ht="16.5" thickTop="1" thickBot="1" x14ac:dyDescent="0.3">
      <c r="A942">
        <v>200005117</v>
      </c>
      <c r="B942" t="s">
        <v>727</v>
      </c>
      <c r="C942" t="s">
        <v>110</v>
      </c>
      <c r="D942" s="10" t="e">
        <f>VLOOKUP(Tabela8[[#This Row],[Cód.]],#REF!,7,0)</f>
        <v>#REF!</v>
      </c>
      <c r="E942" s="9"/>
      <c r="F942" s="10"/>
      <c r="G942" s="8" t="e">
        <f>VLOOKUP(Tabela8[[#This Row],[Cód.]],CENTRAL[#All],9,0)</f>
        <v>#REF!</v>
      </c>
    </row>
    <row r="943" spans="1:7" ht="16.5" thickTop="1" thickBot="1" x14ac:dyDescent="0.3">
      <c r="A943">
        <v>200006128</v>
      </c>
      <c r="B943" t="s">
        <v>728</v>
      </c>
      <c r="C943" t="s">
        <v>721</v>
      </c>
      <c r="D943" s="10" t="e">
        <f>VLOOKUP(Tabela8[[#This Row],[Cód.]],#REF!,7,0)</f>
        <v>#REF!</v>
      </c>
      <c r="E943" s="9"/>
      <c r="F943" s="10"/>
      <c r="G943" s="8" t="e">
        <f>VLOOKUP(Tabela8[[#This Row],[Cód.]],CENTRAL[#All],9,0)</f>
        <v>#REF!</v>
      </c>
    </row>
    <row r="944" spans="1:7" ht="16.5" thickTop="1" thickBot="1" x14ac:dyDescent="0.3">
      <c r="A944">
        <v>200006128</v>
      </c>
      <c r="B944" t="s">
        <v>728</v>
      </c>
      <c r="C944" t="s">
        <v>721</v>
      </c>
      <c r="D944" s="10" t="e">
        <f>VLOOKUP(Tabela8[[#This Row],[Cód.]],#REF!,7,0)</f>
        <v>#REF!</v>
      </c>
      <c r="E944" s="9"/>
      <c r="F944" s="10"/>
      <c r="G944" s="8" t="e">
        <f>VLOOKUP(Tabela8[[#This Row],[Cód.]],CENTRAL[#All],9,0)</f>
        <v>#REF!</v>
      </c>
    </row>
    <row r="945" spans="1:7" ht="16.5" thickTop="1" thickBot="1" x14ac:dyDescent="0.3">
      <c r="A945">
        <v>200004231</v>
      </c>
      <c r="B945" t="s">
        <v>730</v>
      </c>
      <c r="C945" t="s">
        <v>96</v>
      </c>
      <c r="D945" s="10" t="e">
        <f>VLOOKUP(Tabela8[[#This Row],[Cód.]],#REF!,7,0)</f>
        <v>#REF!</v>
      </c>
      <c r="E945" s="9"/>
      <c r="F945" s="10"/>
      <c r="G945" s="8" t="e">
        <f>VLOOKUP(Tabela8[[#This Row],[Cód.]],CENTRAL[#All],9,0)</f>
        <v>#REF!</v>
      </c>
    </row>
    <row r="946" spans="1:7" ht="16.5" thickTop="1" thickBot="1" x14ac:dyDescent="0.3">
      <c r="A946">
        <v>200001592</v>
      </c>
      <c r="B946" t="s">
        <v>731</v>
      </c>
      <c r="C946" t="s">
        <v>9</v>
      </c>
      <c r="D946" s="10" t="e">
        <f>VLOOKUP(Tabela8[[#This Row],[Cód.]],#REF!,7,0)</f>
        <v>#REF!</v>
      </c>
      <c r="E946" s="9"/>
      <c r="F946" s="10"/>
      <c r="G946" s="8" t="e">
        <f>VLOOKUP(Tabela8[[#This Row],[Cód.]],CENTRAL[#All],9,0)</f>
        <v>#REF!</v>
      </c>
    </row>
    <row r="947" spans="1:7" ht="16.5" thickTop="1" thickBot="1" x14ac:dyDescent="0.3">
      <c r="A947">
        <v>200001034</v>
      </c>
      <c r="B947" t="s">
        <v>732</v>
      </c>
      <c r="C947" t="s">
        <v>9</v>
      </c>
      <c r="D947" s="10" t="e">
        <f>VLOOKUP(Tabela8[[#This Row],[Cód.]],#REF!,7,0)</f>
        <v>#REF!</v>
      </c>
      <c r="E947" s="9"/>
      <c r="F947" s="10"/>
      <c r="G947" s="8" t="e">
        <f>VLOOKUP(Tabela8[[#This Row],[Cód.]],CENTRAL[#All],9,0)</f>
        <v>#REF!</v>
      </c>
    </row>
    <row r="948" spans="1:7" ht="16.5" thickTop="1" thickBot="1" x14ac:dyDescent="0.3">
      <c r="A948">
        <v>200000544</v>
      </c>
      <c r="B948" t="s">
        <v>734</v>
      </c>
      <c r="C948" t="s">
        <v>9</v>
      </c>
      <c r="D948" s="10" t="e">
        <f>VLOOKUP(Tabela8[[#This Row],[Cód.]],#REF!,7,0)</f>
        <v>#REF!</v>
      </c>
      <c r="E948" s="9"/>
      <c r="F948" s="10"/>
      <c r="G948" s="8" t="e">
        <f>VLOOKUP(Tabela8[[#This Row],[Cód.]],CENTRAL[#All],9,0)</f>
        <v>#REF!</v>
      </c>
    </row>
    <row r="949" spans="1:7" ht="16.5" thickTop="1" thickBot="1" x14ac:dyDescent="0.3">
      <c r="A949">
        <v>200006278</v>
      </c>
      <c r="B949" t="s">
        <v>735</v>
      </c>
      <c r="C949" t="s">
        <v>9</v>
      </c>
      <c r="D949" s="10" t="e">
        <f>VLOOKUP(Tabela8[[#This Row],[Cód.]],#REF!,7,0)</f>
        <v>#REF!</v>
      </c>
      <c r="E949" s="9"/>
      <c r="F949" s="10"/>
      <c r="G949" s="8" t="e">
        <f>VLOOKUP(Tabela8[[#This Row],[Cód.]],CENTRAL[#All],9,0)</f>
        <v>#REF!</v>
      </c>
    </row>
    <row r="950" spans="1:7" ht="16.5" thickTop="1" thickBot="1" x14ac:dyDescent="0.3">
      <c r="A950">
        <v>200004017</v>
      </c>
      <c r="B950" t="s">
        <v>736</v>
      </c>
      <c r="C950" t="s">
        <v>9</v>
      </c>
      <c r="D950" s="10" t="e">
        <f>VLOOKUP(Tabela8[[#This Row],[Cód.]],#REF!,7,0)</f>
        <v>#REF!</v>
      </c>
      <c r="E950" s="9"/>
      <c r="F950" s="10"/>
      <c r="G950" s="8" t="e">
        <f>VLOOKUP(Tabela8[[#This Row],[Cód.]],CENTRAL[#All],9,0)</f>
        <v>#REF!</v>
      </c>
    </row>
    <row r="951" spans="1:7" ht="16.5" thickTop="1" thickBot="1" x14ac:dyDescent="0.3">
      <c r="A951">
        <v>200003169</v>
      </c>
      <c r="B951" t="s">
        <v>737</v>
      </c>
      <c r="C951" t="s">
        <v>9</v>
      </c>
      <c r="D951" s="10" t="e">
        <f>VLOOKUP(Tabela8[[#This Row],[Cód.]],#REF!,7,0)</f>
        <v>#REF!</v>
      </c>
      <c r="E951" s="9"/>
      <c r="F951" s="10"/>
      <c r="G951" s="8" t="e">
        <f>VLOOKUP(Tabela8[[#This Row],[Cód.]],CENTRAL[#All],9,0)</f>
        <v>#REF!</v>
      </c>
    </row>
    <row r="952" spans="1:7" ht="16.5" thickTop="1" thickBot="1" x14ac:dyDescent="0.3">
      <c r="A952">
        <v>200002004</v>
      </c>
      <c r="B952" t="s">
        <v>738</v>
      </c>
      <c r="C952" t="s">
        <v>9</v>
      </c>
      <c r="D952" s="10" t="e">
        <f>VLOOKUP(Tabela8[[#This Row],[Cód.]],#REF!,7,0)</f>
        <v>#REF!</v>
      </c>
      <c r="E952" s="9"/>
      <c r="F952" s="10"/>
      <c r="G952" s="8" t="e">
        <f>VLOOKUP(Tabela8[[#This Row],[Cód.]],CENTRAL[#All],9,0)</f>
        <v>#REF!</v>
      </c>
    </row>
    <row r="953" spans="1:7" ht="16.5" thickTop="1" thickBot="1" x14ac:dyDescent="0.3">
      <c r="A953">
        <v>200003653</v>
      </c>
      <c r="B953" t="s">
        <v>739</v>
      </c>
      <c r="C953" t="s">
        <v>9</v>
      </c>
      <c r="D953" s="10" t="e">
        <f>VLOOKUP(Tabela8[[#This Row],[Cód.]],#REF!,7,0)</f>
        <v>#REF!</v>
      </c>
      <c r="E953" s="9"/>
      <c r="F953" s="10"/>
      <c r="G953" s="8" t="e">
        <f>VLOOKUP(Tabela8[[#This Row],[Cód.]],CENTRAL[#All],9,0)</f>
        <v>#REF!</v>
      </c>
    </row>
    <row r="954" spans="1:7" ht="16.5" thickTop="1" thickBot="1" x14ac:dyDescent="0.3">
      <c r="A954">
        <v>200003654</v>
      </c>
      <c r="B954" t="s">
        <v>740</v>
      </c>
      <c r="C954" t="s">
        <v>9</v>
      </c>
      <c r="D954" s="10" t="e">
        <f>VLOOKUP(Tabela8[[#This Row],[Cód.]],#REF!,7,0)</f>
        <v>#REF!</v>
      </c>
      <c r="E954" s="9"/>
      <c r="F954" s="10"/>
      <c r="G954" s="8" t="e">
        <f>VLOOKUP(Tabela8[[#This Row],[Cód.]],CENTRAL[#All],9,0)</f>
        <v>#REF!</v>
      </c>
    </row>
    <row r="955" spans="1:7" ht="16.5" thickTop="1" thickBot="1" x14ac:dyDescent="0.3">
      <c r="A955">
        <v>200003655</v>
      </c>
      <c r="B955" t="s">
        <v>742</v>
      </c>
      <c r="C955" t="s">
        <v>9</v>
      </c>
      <c r="D955" s="10" t="e">
        <f>VLOOKUP(Tabela8[[#This Row],[Cód.]],#REF!,7,0)</f>
        <v>#REF!</v>
      </c>
      <c r="E955" s="9"/>
      <c r="F955" s="10"/>
      <c r="G955" s="8" t="e">
        <f>VLOOKUP(Tabela8[[#This Row],[Cód.]],CENTRAL[#All],9,0)</f>
        <v>#REF!</v>
      </c>
    </row>
    <row r="956" spans="1:7" ht="16.5" thickTop="1" thickBot="1" x14ac:dyDescent="0.3">
      <c r="A956">
        <v>200000548</v>
      </c>
      <c r="B956" t="s">
        <v>743</v>
      </c>
      <c r="C956" t="s">
        <v>9</v>
      </c>
      <c r="D956" s="10" t="e">
        <f>VLOOKUP(Tabela8[[#This Row],[Cód.]],#REF!,7,0)</f>
        <v>#REF!</v>
      </c>
      <c r="E956" s="9"/>
      <c r="F956" s="10"/>
      <c r="G956" s="8" t="e">
        <f>VLOOKUP(Tabela8[[#This Row],[Cód.]],CENTRAL[#All],9,0)</f>
        <v>#REF!</v>
      </c>
    </row>
    <row r="957" spans="1:7" ht="16.5" thickTop="1" thickBot="1" x14ac:dyDescent="0.3">
      <c r="A957">
        <v>200007073</v>
      </c>
      <c r="B957" t="s">
        <v>747</v>
      </c>
      <c r="C957" t="s">
        <v>9</v>
      </c>
      <c r="D957" s="10" t="e">
        <f>VLOOKUP(Tabela8[[#This Row],[Cód.]],#REF!,7,0)</f>
        <v>#REF!</v>
      </c>
      <c r="E957" s="9"/>
      <c r="F957" s="10"/>
      <c r="G957" s="8" t="e">
        <f>VLOOKUP(Tabela8[[#This Row],[Cód.]],CENTRAL[#All],9,0)</f>
        <v>#REF!</v>
      </c>
    </row>
    <row r="958" spans="1:7" ht="16.5" thickTop="1" thickBot="1" x14ac:dyDescent="0.3">
      <c r="A958">
        <v>200004166</v>
      </c>
      <c r="B958" t="s">
        <v>748</v>
      </c>
      <c r="C958" t="s">
        <v>9</v>
      </c>
      <c r="D958" s="10" t="e">
        <f>VLOOKUP(Tabela8[[#This Row],[Cód.]],#REF!,7,0)</f>
        <v>#REF!</v>
      </c>
      <c r="E958" s="9"/>
      <c r="F958" s="10"/>
      <c r="G958" s="8" t="e">
        <f>VLOOKUP(Tabela8[[#This Row],[Cód.]],CENTRAL[#All],9,0)</f>
        <v>#REF!</v>
      </c>
    </row>
    <row r="959" spans="1:7" ht="16.5" thickTop="1" thickBot="1" x14ac:dyDescent="0.3">
      <c r="A959">
        <v>200003885</v>
      </c>
      <c r="B959" t="s">
        <v>752</v>
      </c>
      <c r="C959" t="s">
        <v>9</v>
      </c>
      <c r="D959" s="10" t="e">
        <f>VLOOKUP(Tabela8[[#This Row],[Cód.]],#REF!,7,0)</f>
        <v>#REF!</v>
      </c>
      <c r="E959" s="9"/>
      <c r="F959" s="10"/>
      <c r="G959" s="8" t="e">
        <f>VLOOKUP(Tabela8[[#This Row],[Cód.]],CENTRAL[#All],9,0)</f>
        <v>#REF!</v>
      </c>
    </row>
    <row r="960" spans="1:7" ht="16.5" thickTop="1" thickBot="1" x14ac:dyDescent="0.3">
      <c r="A960">
        <v>200005791</v>
      </c>
      <c r="B960" t="s">
        <v>753</v>
      </c>
      <c r="C960" t="s">
        <v>9</v>
      </c>
      <c r="D960" s="10" t="e">
        <f>VLOOKUP(Tabela8[[#This Row],[Cód.]],#REF!,7,0)</f>
        <v>#REF!</v>
      </c>
      <c r="E960" s="9"/>
      <c r="F960" s="10"/>
      <c r="G960" s="8" t="e">
        <f>VLOOKUP(Tabela8[[#This Row],[Cód.]],CENTRAL[#All],9,0)</f>
        <v>#REF!</v>
      </c>
    </row>
    <row r="961" spans="1:7" ht="16.5" thickTop="1" thickBot="1" x14ac:dyDescent="0.3">
      <c r="A961">
        <v>200002215</v>
      </c>
      <c r="B961" t="s">
        <v>754</v>
      </c>
      <c r="C961" t="s">
        <v>9</v>
      </c>
      <c r="D961" s="10" t="e">
        <f>VLOOKUP(Tabela8[[#This Row],[Cód.]],#REF!,7,0)</f>
        <v>#REF!</v>
      </c>
      <c r="E961" s="9"/>
      <c r="F961" s="10"/>
      <c r="G961" s="8" t="e">
        <f>VLOOKUP(Tabela8[[#This Row],[Cód.]],CENTRAL[#All],9,0)</f>
        <v>#REF!</v>
      </c>
    </row>
    <row r="962" spans="1:7" ht="16.5" thickTop="1" thickBot="1" x14ac:dyDescent="0.3">
      <c r="A962">
        <v>200002215</v>
      </c>
      <c r="B962" t="s">
        <v>754</v>
      </c>
      <c r="C962" t="s">
        <v>9</v>
      </c>
      <c r="D962" s="10" t="e">
        <f>VLOOKUP(Tabela8[[#This Row],[Cód.]],#REF!,7,0)</f>
        <v>#REF!</v>
      </c>
      <c r="E962" s="9"/>
      <c r="F962" s="10"/>
      <c r="G962" s="8" t="e">
        <f>VLOOKUP(Tabela8[[#This Row],[Cód.]],CENTRAL[#All],9,0)</f>
        <v>#REF!</v>
      </c>
    </row>
    <row r="963" spans="1:7" ht="16.5" thickTop="1" thickBot="1" x14ac:dyDescent="0.3">
      <c r="A963">
        <v>200006040</v>
      </c>
      <c r="B963" t="s">
        <v>755</v>
      </c>
      <c r="C963" t="s">
        <v>9</v>
      </c>
      <c r="D963" s="10" t="e">
        <f>VLOOKUP(Tabela8[[#This Row],[Cód.]],#REF!,7,0)</f>
        <v>#REF!</v>
      </c>
      <c r="E963" s="9"/>
      <c r="F963" s="10"/>
      <c r="G963" s="8" t="e">
        <f>VLOOKUP(Tabela8[[#This Row],[Cód.]],CENTRAL[#All],9,0)</f>
        <v>#REF!</v>
      </c>
    </row>
    <row r="964" spans="1:7" ht="16.5" thickTop="1" thickBot="1" x14ac:dyDescent="0.3">
      <c r="A964">
        <v>200000889</v>
      </c>
      <c r="B964" t="s">
        <v>757</v>
      </c>
      <c r="C964" t="s">
        <v>9</v>
      </c>
      <c r="D964" s="10" t="e">
        <f>VLOOKUP(Tabela8[[#This Row],[Cód.]],#REF!,7,0)</f>
        <v>#REF!</v>
      </c>
      <c r="E964" s="9"/>
      <c r="F964" s="10"/>
      <c r="G964" s="8" t="e">
        <f>VLOOKUP(Tabela8[[#This Row],[Cód.]],CENTRAL[#All],9,0)</f>
        <v>#REF!</v>
      </c>
    </row>
    <row r="965" spans="1:7" ht="16.5" thickTop="1" thickBot="1" x14ac:dyDescent="0.3">
      <c r="A965">
        <v>200004342</v>
      </c>
      <c r="B965" t="s">
        <v>759</v>
      </c>
      <c r="C965" t="s">
        <v>9</v>
      </c>
      <c r="D965" s="10" t="e">
        <f>VLOOKUP(Tabela8[[#This Row],[Cód.]],#REF!,7,0)</f>
        <v>#REF!</v>
      </c>
      <c r="E965" s="9"/>
      <c r="F965" s="10"/>
      <c r="G965" s="8" t="e">
        <f>VLOOKUP(Tabela8[[#This Row],[Cód.]],CENTRAL[#All],9,0)</f>
        <v>#REF!</v>
      </c>
    </row>
    <row r="966" spans="1:7" ht="16.5" thickTop="1" thickBot="1" x14ac:dyDescent="0.3">
      <c r="A966">
        <v>200003405</v>
      </c>
      <c r="B966" t="s">
        <v>762</v>
      </c>
      <c r="C966" t="s">
        <v>82</v>
      </c>
      <c r="D966" s="10" t="e">
        <f>VLOOKUP(Tabela8[[#This Row],[Cód.]],#REF!,7,0)</f>
        <v>#REF!</v>
      </c>
      <c r="E966" s="9"/>
      <c r="F966" s="10"/>
      <c r="G966" s="8" t="e">
        <f>VLOOKUP(Tabela8[[#This Row],[Cód.]],CENTRAL[#All],9,0)</f>
        <v>#REF!</v>
      </c>
    </row>
    <row r="967" spans="1:7" ht="16.5" thickTop="1" thickBot="1" x14ac:dyDescent="0.3">
      <c r="A967">
        <v>200003408</v>
      </c>
      <c r="B967" t="s">
        <v>764</v>
      </c>
      <c r="C967" t="s">
        <v>9</v>
      </c>
      <c r="D967" s="10" t="e">
        <f>VLOOKUP(Tabela8[[#This Row],[Cód.]],#REF!,7,0)</f>
        <v>#REF!</v>
      </c>
      <c r="E967" s="9"/>
      <c r="F967" s="10"/>
      <c r="G967" s="8" t="e">
        <f>VLOOKUP(Tabela8[[#This Row],[Cód.]],CENTRAL[#All],9,0)</f>
        <v>#REF!</v>
      </c>
    </row>
    <row r="968" spans="1:7" ht="16.5" thickTop="1" thickBot="1" x14ac:dyDescent="0.3">
      <c r="A968">
        <v>200006082</v>
      </c>
      <c r="B968" t="s">
        <v>765</v>
      </c>
      <c r="C968" t="s">
        <v>82</v>
      </c>
      <c r="D968" s="10" t="e">
        <f>VLOOKUP(Tabela8[[#This Row],[Cód.]],#REF!,7,0)</f>
        <v>#REF!</v>
      </c>
      <c r="E968" s="9"/>
      <c r="F968" s="10"/>
      <c r="G968" s="8" t="e">
        <f>VLOOKUP(Tabela8[[#This Row],[Cód.]],CENTRAL[#All],9,0)</f>
        <v>#REF!</v>
      </c>
    </row>
    <row r="969" spans="1:7" ht="16.5" thickTop="1" thickBot="1" x14ac:dyDescent="0.3">
      <c r="A969">
        <v>200006562</v>
      </c>
      <c r="B969" t="s">
        <v>767</v>
      </c>
      <c r="C969" t="s">
        <v>82</v>
      </c>
      <c r="D969" s="10" t="e">
        <f>VLOOKUP(Tabela8[[#This Row],[Cód.]],#REF!,7,0)</f>
        <v>#REF!</v>
      </c>
      <c r="E969" s="9"/>
      <c r="F969" s="10"/>
      <c r="G969" s="8" t="e">
        <f>VLOOKUP(Tabela8[[#This Row],[Cód.]],CENTRAL[#All],9,0)</f>
        <v>#REF!</v>
      </c>
    </row>
    <row r="970" spans="1:7" ht="16.5" thickTop="1" thickBot="1" x14ac:dyDescent="0.3">
      <c r="A970">
        <v>200003411</v>
      </c>
      <c r="B970" t="s">
        <v>769</v>
      </c>
      <c r="C970" t="s">
        <v>9</v>
      </c>
      <c r="D970" s="10" t="e">
        <f>VLOOKUP(Tabela8[[#This Row],[Cód.]],#REF!,7,0)</f>
        <v>#REF!</v>
      </c>
      <c r="E970" s="9"/>
      <c r="F970" s="10"/>
      <c r="G970" s="8" t="e">
        <f>VLOOKUP(Tabela8[[#This Row],[Cód.]],CENTRAL[#All],9,0)</f>
        <v>#REF!</v>
      </c>
    </row>
    <row r="971" spans="1:7" ht="16.5" thickTop="1" thickBot="1" x14ac:dyDescent="0.3">
      <c r="A971">
        <v>200000561</v>
      </c>
      <c r="B971" t="s">
        <v>770</v>
      </c>
      <c r="C971" t="s">
        <v>82</v>
      </c>
      <c r="D971" s="10" t="e">
        <f>VLOOKUP(Tabela8[[#This Row],[Cód.]],#REF!,7,0)</f>
        <v>#REF!</v>
      </c>
      <c r="E971" s="9"/>
      <c r="F971" s="10"/>
      <c r="G971" s="8" t="e">
        <f>VLOOKUP(Tabela8[[#This Row],[Cód.]],CENTRAL[#All],9,0)</f>
        <v>#REF!</v>
      </c>
    </row>
    <row r="972" spans="1:7" ht="16.5" thickTop="1" thickBot="1" x14ac:dyDescent="0.3">
      <c r="A972">
        <v>200000562</v>
      </c>
      <c r="B972" t="s">
        <v>771</v>
      </c>
      <c r="C972" t="s">
        <v>82</v>
      </c>
      <c r="D972" s="10" t="e">
        <f>VLOOKUP(Tabela8[[#This Row],[Cód.]],#REF!,7,0)</f>
        <v>#REF!</v>
      </c>
      <c r="E972" s="9"/>
      <c r="F972" s="10"/>
      <c r="G972" s="8" t="e">
        <f>VLOOKUP(Tabela8[[#This Row],[Cód.]],CENTRAL[#All],9,0)</f>
        <v>#REF!</v>
      </c>
    </row>
    <row r="973" spans="1:7" ht="16.5" thickTop="1" thickBot="1" x14ac:dyDescent="0.3">
      <c r="A973">
        <v>200002158</v>
      </c>
      <c r="B973" t="s">
        <v>772</v>
      </c>
      <c r="C973" t="s">
        <v>82</v>
      </c>
      <c r="D973" s="10" t="e">
        <f>VLOOKUP(Tabela8[[#This Row],[Cód.]],#REF!,7,0)</f>
        <v>#REF!</v>
      </c>
      <c r="E973" s="9"/>
      <c r="F973" s="10"/>
      <c r="G973" s="8" t="e">
        <f>VLOOKUP(Tabela8[[#This Row],[Cód.]],CENTRAL[#All],9,0)</f>
        <v>#REF!</v>
      </c>
    </row>
    <row r="974" spans="1:7" ht="16.5" thickTop="1" thickBot="1" x14ac:dyDescent="0.3">
      <c r="A974">
        <v>200002160</v>
      </c>
      <c r="B974" t="s">
        <v>773</v>
      </c>
      <c r="C974" t="s">
        <v>82</v>
      </c>
      <c r="D974" s="10" t="e">
        <f>VLOOKUP(Tabela8[[#This Row],[Cód.]],#REF!,7,0)</f>
        <v>#REF!</v>
      </c>
      <c r="E974" s="9"/>
      <c r="F974" s="10"/>
      <c r="G974" s="8" t="e">
        <f>VLOOKUP(Tabela8[[#This Row],[Cód.]],CENTRAL[#All],9,0)</f>
        <v>#REF!</v>
      </c>
    </row>
    <row r="975" spans="1:7" ht="16.5" thickTop="1" thickBot="1" x14ac:dyDescent="0.3">
      <c r="A975">
        <v>200000563</v>
      </c>
      <c r="B975" t="s">
        <v>775</v>
      </c>
      <c r="C975" t="s">
        <v>82</v>
      </c>
      <c r="D975" s="10" t="e">
        <f>VLOOKUP(Tabela8[[#This Row],[Cód.]],#REF!,7,0)</f>
        <v>#REF!</v>
      </c>
      <c r="E975" s="9"/>
      <c r="F975" s="10"/>
      <c r="G975" s="8" t="e">
        <f>VLOOKUP(Tabela8[[#This Row],[Cód.]],CENTRAL[#All],9,0)</f>
        <v>#REF!</v>
      </c>
    </row>
    <row r="976" spans="1:7" ht="16.5" thickTop="1" thickBot="1" x14ac:dyDescent="0.3">
      <c r="A976">
        <v>200000564</v>
      </c>
      <c r="B976" t="s">
        <v>776</v>
      </c>
      <c r="C976" t="s">
        <v>82</v>
      </c>
      <c r="D976" s="10" t="e">
        <f>VLOOKUP(Tabela8[[#This Row],[Cód.]],#REF!,7,0)</f>
        <v>#REF!</v>
      </c>
      <c r="E976" s="9"/>
      <c r="F976" s="10"/>
      <c r="G976" s="8" t="e">
        <f>VLOOKUP(Tabela8[[#This Row],[Cód.]],CENTRAL[#All],9,0)</f>
        <v>#REF!</v>
      </c>
    </row>
    <row r="977" spans="1:7" ht="16.5" thickTop="1" thickBot="1" x14ac:dyDescent="0.3">
      <c r="A977">
        <v>200001070</v>
      </c>
      <c r="B977" t="s">
        <v>777</v>
      </c>
      <c r="C977" t="s">
        <v>82</v>
      </c>
      <c r="D977" s="10" t="e">
        <f>VLOOKUP(Tabela8[[#This Row],[Cód.]],#REF!,7,0)</f>
        <v>#REF!</v>
      </c>
      <c r="E977" s="9"/>
      <c r="F977" s="10"/>
      <c r="G977" s="8" t="e">
        <f>VLOOKUP(Tabela8[[#This Row],[Cód.]],CENTRAL[#All],9,0)</f>
        <v>#REF!</v>
      </c>
    </row>
    <row r="978" spans="1:7" ht="16.5" thickTop="1" thickBot="1" x14ac:dyDescent="0.3">
      <c r="A978">
        <v>200001071</v>
      </c>
      <c r="B978" t="s">
        <v>778</v>
      </c>
      <c r="C978" t="s">
        <v>82</v>
      </c>
      <c r="D978" s="10" t="e">
        <f>VLOOKUP(Tabela8[[#This Row],[Cód.]],#REF!,7,0)</f>
        <v>#REF!</v>
      </c>
      <c r="E978" s="9"/>
      <c r="F978" s="10"/>
      <c r="G978" s="8" t="e">
        <f>VLOOKUP(Tabela8[[#This Row],[Cód.]],CENTRAL[#All],9,0)</f>
        <v>#REF!</v>
      </c>
    </row>
    <row r="979" spans="1:7" ht="16.5" thickTop="1" thickBot="1" x14ac:dyDescent="0.3">
      <c r="A979">
        <v>200001074</v>
      </c>
      <c r="B979" t="s">
        <v>779</v>
      </c>
      <c r="C979" t="s">
        <v>82</v>
      </c>
      <c r="D979" s="10" t="e">
        <f>VLOOKUP(Tabela8[[#This Row],[Cód.]],#REF!,7,0)</f>
        <v>#REF!</v>
      </c>
      <c r="E979" s="9"/>
      <c r="F979" s="10"/>
      <c r="G979" s="8" t="e">
        <f>VLOOKUP(Tabela8[[#This Row],[Cód.]],CENTRAL[#All],9,0)</f>
        <v>#REF!</v>
      </c>
    </row>
    <row r="980" spans="1:7" ht="16.5" thickTop="1" thickBot="1" x14ac:dyDescent="0.3">
      <c r="A980">
        <v>200001075</v>
      </c>
      <c r="B980" t="s">
        <v>781</v>
      </c>
      <c r="C980" t="s">
        <v>82</v>
      </c>
      <c r="D980" s="10" t="e">
        <f>VLOOKUP(Tabela8[[#This Row],[Cód.]],#REF!,7,0)</f>
        <v>#REF!</v>
      </c>
      <c r="E980" s="9"/>
      <c r="F980" s="10"/>
      <c r="G980" s="8" t="e">
        <f>VLOOKUP(Tabela8[[#This Row],[Cód.]],CENTRAL[#All],9,0)</f>
        <v>#REF!</v>
      </c>
    </row>
    <row r="981" spans="1:7" ht="16.5" thickTop="1" thickBot="1" x14ac:dyDescent="0.3">
      <c r="A981">
        <v>200001076</v>
      </c>
      <c r="B981" t="s">
        <v>782</v>
      </c>
      <c r="C981" t="s">
        <v>82</v>
      </c>
      <c r="D981" s="10" t="e">
        <f>VLOOKUP(Tabela8[[#This Row],[Cód.]],#REF!,7,0)</f>
        <v>#REF!</v>
      </c>
      <c r="E981" s="9"/>
      <c r="F981" s="10"/>
      <c r="G981" s="8" t="e">
        <f>VLOOKUP(Tabela8[[#This Row],[Cód.]],CENTRAL[#All],9,0)</f>
        <v>#REF!</v>
      </c>
    </row>
    <row r="982" spans="1:7" ht="16.5" thickTop="1" thickBot="1" x14ac:dyDescent="0.3">
      <c r="A982">
        <v>200001055</v>
      </c>
      <c r="B982" t="s">
        <v>785</v>
      </c>
      <c r="C982" t="s">
        <v>67</v>
      </c>
      <c r="D982" s="10" t="e">
        <f>VLOOKUP(Tabela8[[#This Row],[Cód.]],#REF!,7,0)</f>
        <v>#REF!</v>
      </c>
      <c r="E982" s="9"/>
      <c r="F982" s="10"/>
      <c r="G982" s="8" t="e">
        <f>VLOOKUP(Tabela8[[#This Row],[Cód.]],CENTRAL[#All],9,0)</f>
        <v>#REF!</v>
      </c>
    </row>
    <row r="983" spans="1:7" ht="16.5" thickTop="1" thickBot="1" x14ac:dyDescent="0.3">
      <c r="A983">
        <v>200002349</v>
      </c>
      <c r="B983" t="s">
        <v>786</v>
      </c>
      <c r="C983" t="s">
        <v>9</v>
      </c>
      <c r="D983" s="10" t="e">
        <f>VLOOKUP(Tabela8[[#This Row],[Cód.]],#REF!,7,0)</f>
        <v>#REF!</v>
      </c>
      <c r="E983" s="9"/>
      <c r="F983" s="10"/>
      <c r="G983" s="8" t="e">
        <f>VLOOKUP(Tabela8[[#This Row],[Cód.]],CENTRAL[#All],9,0)</f>
        <v>#REF!</v>
      </c>
    </row>
    <row r="984" spans="1:7" ht="16.5" thickTop="1" thickBot="1" x14ac:dyDescent="0.3">
      <c r="A984">
        <v>200002350</v>
      </c>
      <c r="B984" t="s">
        <v>787</v>
      </c>
      <c r="C984" t="s">
        <v>9</v>
      </c>
      <c r="D984" s="10" t="e">
        <f>VLOOKUP(Tabela8[[#This Row],[Cód.]],#REF!,7,0)</f>
        <v>#REF!</v>
      </c>
      <c r="E984" s="9"/>
      <c r="F984" s="10"/>
      <c r="G984" s="8" t="e">
        <f>VLOOKUP(Tabela8[[#This Row],[Cód.]],CENTRAL[#All],9,0)</f>
        <v>#REF!</v>
      </c>
    </row>
    <row r="985" spans="1:7" ht="16.5" thickTop="1" thickBot="1" x14ac:dyDescent="0.3">
      <c r="A985">
        <v>200002357</v>
      </c>
      <c r="B985" t="s">
        <v>788</v>
      </c>
      <c r="C985" t="s">
        <v>9</v>
      </c>
      <c r="D985" s="10" t="e">
        <f>VLOOKUP(Tabela8[[#This Row],[Cód.]],#REF!,7,0)</f>
        <v>#REF!</v>
      </c>
      <c r="E985" s="9"/>
      <c r="F985" s="10"/>
      <c r="G985" s="8" t="e">
        <f>VLOOKUP(Tabela8[[#This Row],[Cód.]],CENTRAL[#All],9,0)</f>
        <v>#REF!</v>
      </c>
    </row>
    <row r="986" spans="1:7" ht="16.5" thickTop="1" thickBot="1" x14ac:dyDescent="0.3">
      <c r="A986">
        <v>200002356</v>
      </c>
      <c r="B986" t="s">
        <v>789</v>
      </c>
      <c r="C986" t="s">
        <v>9</v>
      </c>
      <c r="D986" s="10" t="e">
        <f>VLOOKUP(Tabela8[[#This Row],[Cód.]],#REF!,7,0)</f>
        <v>#REF!</v>
      </c>
      <c r="E986" s="9"/>
      <c r="F986" s="10"/>
      <c r="G986" s="8" t="e">
        <f>VLOOKUP(Tabela8[[#This Row],[Cód.]],CENTRAL[#All],9,0)</f>
        <v>#REF!</v>
      </c>
    </row>
    <row r="987" spans="1:7" ht="16.5" thickTop="1" thickBot="1" x14ac:dyDescent="0.3">
      <c r="A987">
        <v>200002355</v>
      </c>
      <c r="B987" t="s">
        <v>790</v>
      </c>
      <c r="C987" t="s">
        <v>9</v>
      </c>
      <c r="D987" s="10" t="e">
        <f>VLOOKUP(Tabela8[[#This Row],[Cód.]],#REF!,7,0)</f>
        <v>#REF!</v>
      </c>
      <c r="E987" s="9"/>
      <c r="F987" s="10"/>
      <c r="G987" s="8" t="e">
        <f>VLOOKUP(Tabela8[[#This Row],[Cód.]],CENTRAL[#All],9,0)</f>
        <v>#REF!</v>
      </c>
    </row>
    <row r="988" spans="1:7" ht="16.5" thickTop="1" thickBot="1" x14ac:dyDescent="0.3">
      <c r="A988">
        <v>200002354</v>
      </c>
      <c r="B988" t="s">
        <v>792</v>
      </c>
      <c r="C988" t="s">
        <v>9</v>
      </c>
      <c r="D988" s="10" t="e">
        <f>VLOOKUP(Tabela8[[#This Row],[Cód.]],#REF!,7,0)</f>
        <v>#REF!</v>
      </c>
      <c r="E988" s="9"/>
      <c r="F988" s="10"/>
      <c r="G988" s="8" t="e">
        <f>VLOOKUP(Tabela8[[#This Row],[Cód.]],CENTRAL[#All],9,0)</f>
        <v>#REF!</v>
      </c>
    </row>
    <row r="989" spans="1:7" ht="16.5" thickTop="1" thickBot="1" x14ac:dyDescent="0.3">
      <c r="A989">
        <v>200001035</v>
      </c>
      <c r="B989" t="s">
        <v>793</v>
      </c>
      <c r="C989" t="s">
        <v>9</v>
      </c>
      <c r="D989" s="10" t="e">
        <f>VLOOKUP(Tabela8[[#This Row],[Cód.]],#REF!,7,0)</f>
        <v>#REF!</v>
      </c>
      <c r="E989" s="9"/>
      <c r="F989" s="10"/>
      <c r="G989" s="8" t="e">
        <f>VLOOKUP(Tabela8[[#This Row],[Cód.]],CENTRAL[#All],9,0)</f>
        <v>#REF!</v>
      </c>
    </row>
    <row r="990" spans="1:7" ht="16.5" thickTop="1" thickBot="1" x14ac:dyDescent="0.3">
      <c r="A990">
        <v>200001081</v>
      </c>
      <c r="B990" t="s">
        <v>794</v>
      </c>
      <c r="C990" t="s">
        <v>9</v>
      </c>
      <c r="D990" s="10" t="e">
        <f>VLOOKUP(Tabela8[[#This Row],[Cód.]],#REF!,7,0)</f>
        <v>#REF!</v>
      </c>
      <c r="E990" s="9"/>
      <c r="F990" s="10"/>
      <c r="G990" s="8" t="e">
        <f>VLOOKUP(Tabela8[[#This Row],[Cód.]],CENTRAL[#All],9,0)</f>
        <v>#REF!</v>
      </c>
    </row>
    <row r="991" spans="1:7" ht="16.5" thickTop="1" thickBot="1" x14ac:dyDescent="0.3">
      <c r="A991">
        <v>200001079</v>
      </c>
      <c r="B991" t="s">
        <v>795</v>
      </c>
      <c r="C991" t="s">
        <v>9</v>
      </c>
      <c r="D991" s="10" t="e">
        <f>VLOOKUP(Tabela8[[#This Row],[Cód.]],#REF!,7,0)</f>
        <v>#REF!</v>
      </c>
      <c r="E991" s="9"/>
      <c r="F991" s="10"/>
      <c r="G991" s="8" t="e">
        <f>VLOOKUP(Tabela8[[#This Row],[Cód.]],CENTRAL[#All],9,0)</f>
        <v>#REF!</v>
      </c>
    </row>
    <row r="992" spans="1:7" ht="16.5" thickTop="1" thickBot="1" x14ac:dyDescent="0.3">
      <c r="A992">
        <v>200002164</v>
      </c>
      <c r="B992" t="s">
        <v>798</v>
      </c>
      <c r="C992" t="s">
        <v>9</v>
      </c>
      <c r="D992" s="10" t="e">
        <f>VLOOKUP(Tabela8[[#This Row],[Cód.]],#REF!,7,0)</f>
        <v>#REF!</v>
      </c>
      <c r="E992" s="9"/>
      <c r="F992" s="10"/>
      <c r="G992" s="8" t="e">
        <f>VLOOKUP(Tabela8[[#This Row],[Cód.]],CENTRAL[#All],9,0)</f>
        <v>#REF!</v>
      </c>
    </row>
    <row r="993" spans="1:7" ht="16.5" thickTop="1" thickBot="1" x14ac:dyDescent="0.3">
      <c r="A993">
        <v>200006559</v>
      </c>
      <c r="B993" t="s">
        <v>799</v>
      </c>
      <c r="C993" t="s">
        <v>96</v>
      </c>
      <c r="D993" s="10" t="e">
        <f>VLOOKUP(Tabela8[[#This Row],[Cód.]],#REF!,7,0)</f>
        <v>#REF!</v>
      </c>
      <c r="E993" s="9"/>
      <c r="F993" s="10"/>
      <c r="G993" s="8" t="e">
        <f>VLOOKUP(Tabela8[[#This Row],[Cód.]],CENTRAL[#All],9,0)</f>
        <v>#REF!</v>
      </c>
    </row>
    <row r="994" spans="1:7" ht="16.5" thickTop="1" thickBot="1" x14ac:dyDescent="0.3">
      <c r="A994">
        <v>200002162</v>
      </c>
      <c r="B994" t="s">
        <v>800</v>
      </c>
      <c r="C994" t="s">
        <v>9</v>
      </c>
      <c r="D994" s="10" t="e">
        <f>VLOOKUP(Tabela8[[#This Row],[Cód.]],#REF!,7,0)</f>
        <v>#REF!</v>
      </c>
      <c r="E994" s="9"/>
      <c r="F994" s="10"/>
      <c r="G994" s="8" t="e">
        <f>VLOOKUP(Tabela8[[#This Row],[Cód.]],CENTRAL[#All],9,0)</f>
        <v>#REF!</v>
      </c>
    </row>
    <row r="995" spans="1:7" ht="16.5" thickTop="1" thickBot="1" x14ac:dyDescent="0.3">
      <c r="A995">
        <v>200005325</v>
      </c>
      <c r="B995" t="s">
        <v>801</v>
      </c>
      <c r="C995" t="s">
        <v>9</v>
      </c>
      <c r="D995" s="10" t="e">
        <f>VLOOKUP(Tabela8[[#This Row],[Cód.]],#REF!,7,0)</f>
        <v>#REF!</v>
      </c>
      <c r="E995" s="9"/>
      <c r="F995" s="10"/>
      <c r="G995" s="8" t="e">
        <f>VLOOKUP(Tabela8[[#This Row],[Cód.]],CENTRAL[#All],9,0)</f>
        <v>#REF!</v>
      </c>
    </row>
    <row r="996" spans="1:7" ht="16.5" thickTop="1" thickBot="1" x14ac:dyDescent="0.3">
      <c r="A996">
        <v>200005984</v>
      </c>
      <c r="B996" t="s">
        <v>802</v>
      </c>
      <c r="C996" t="s">
        <v>96</v>
      </c>
      <c r="D996" s="10" t="e">
        <f>VLOOKUP(Tabela8[[#This Row],[Cód.]],#REF!,7,0)</f>
        <v>#REF!</v>
      </c>
      <c r="E996" s="9"/>
      <c r="F996" s="10"/>
      <c r="G996" s="8" t="e">
        <f>VLOOKUP(Tabela8[[#This Row],[Cód.]],CENTRAL[#All],9,0)</f>
        <v>#REF!</v>
      </c>
    </row>
    <row r="997" spans="1:7" ht="16.5" thickTop="1" thickBot="1" x14ac:dyDescent="0.3">
      <c r="A997">
        <v>200005324</v>
      </c>
      <c r="B997" t="s">
        <v>803</v>
      </c>
      <c r="C997" t="s">
        <v>9</v>
      </c>
      <c r="D997" s="10" t="e">
        <f>VLOOKUP(Tabela8[[#This Row],[Cód.]],#REF!,7,0)</f>
        <v>#REF!</v>
      </c>
      <c r="E997" s="9"/>
      <c r="F997" s="10"/>
      <c r="G997" s="8" t="e">
        <f>VLOOKUP(Tabela8[[#This Row],[Cód.]],CENTRAL[#All],9,0)</f>
        <v>#REF!</v>
      </c>
    </row>
    <row r="998" spans="1:7" ht="16.5" thickTop="1" thickBot="1" x14ac:dyDescent="0.3">
      <c r="A998">
        <v>200001078</v>
      </c>
      <c r="B998" t="s">
        <v>805</v>
      </c>
      <c r="C998" t="s">
        <v>9</v>
      </c>
      <c r="D998" s="10" t="e">
        <f>VLOOKUP(Tabela8[[#This Row],[Cód.]],#REF!,7,0)</f>
        <v>#REF!</v>
      </c>
      <c r="E998" s="9"/>
      <c r="F998" s="10"/>
      <c r="G998" s="8" t="e">
        <f>VLOOKUP(Tabela8[[#This Row],[Cód.]],CENTRAL[#All],9,0)</f>
        <v>#REF!</v>
      </c>
    </row>
    <row r="999" spans="1:7" ht="16.5" thickTop="1" thickBot="1" x14ac:dyDescent="0.3">
      <c r="A999">
        <v>200005985</v>
      </c>
      <c r="B999" t="s">
        <v>806</v>
      </c>
      <c r="C999" t="s">
        <v>96</v>
      </c>
      <c r="D999" s="10" t="e">
        <f>VLOOKUP(Tabela8[[#This Row],[Cód.]],#REF!,7,0)</f>
        <v>#REF!</v>
      </c>
      <c r="E999" s="9"/>
      <c r="F999" s="10"/>
      <c r="G999" s="8" t="e">
        <f>VLOOKUP(Tabela8[[#This Row],[Cód.]],CENTRAL[#All],9,0)</f>
        <v>#REF!</v>
      </c>
    </row>
    <row r="1000" spans="1:7" ht="16.5" thickTop="1" thickBot="1" x14ac:dyDescent="0.3">
      <c r="A1000">
        <v>200005323</v>
      </c>
      <c r="B1000" t="s">
        <v>807</v>
      </c>
      <c r="C1000" t="s">
        <v>9</v>
      </c>
      <c r="D1000" s="10" t="e">
        <f>VLOOKUP(Tabela8[[#This Row],[Cód.]],#REF!,7,0)</f>
        <v>#REF!</v>
      </c>
      <c r="E1000" s="9"/>
      <c r="F1000" s="10"/>
      <c r="G1000" s="8" t="e">
        <f>VLOOKUP(Tabela8[[#This Row],[Cód.]],CENTRAL[#All],9,0)</f>
        <v>#REF!</v>
      </c>
    </row>
    <row r="1001" spans="1:7" ht="16.5" thickTop="1" thickBot="1" x14ac:dyDescent="0.3">
      <c r="A1001">
        <v>200001077</v>
      </c>
      <c r="B1001" t="s">
        <v>808</v>
      </c>
      <c r="C1001" t="s">
        <v>9</v>
      </c>
      <c r="D1001" s="10" t="e">
        <f>VLOOKUP(Tabela8[[#This Row],[Cód.]],#REF!,7,0)</f>
        <v>#REF!</v>
      </c>
      <c r="E1001" s="9"/>
      <c r="F1001" s="10"/>
      <c r="G1001" s="8" t="e">
        <f>VLOOKUP(Tabela8[[#This Row],[Cód.]],CENTRAL[#All],9,0)</f>
        <v>#REF!</v>
      </c>
    </row>
    <row r="1002" spans="1:7" ht="16.5" thickTop="1" thickBot="1" x14ac:dyDescent="0.3">
      <c r="A1002">
        <v>200005986</v>
      </c>
      <c r="B1002" t="s">
        <v>809</v>
      </c>
      <c r="C1002" t="s">
        <v>96</v>
      </c>
      <c r="D1002" s="10" t="e">
        <f>VLOOKUP(Tabela8[[#This Row],[Cód.]],#REF!,7,0)</f>
        <v>#REF!</v>
      </c>
      <c r="E1002" s="9"/>
      <c r="F1002" s="10"/>
      <c r="G1002" s="8" t="e">
        <f>VLOOKUP(Tabela8[[#This Row],[Cód.]],CENTRAL[#All],9,0)</f>
        <v>#REF!</v>
      </c>
    </row>
    <row r="1003" spans="1:7" ht="16.5" thickTop="1" thickBot="1" x14ac:dyDescent="0.3">
      <c r="A1003">
        <v>200005987</v>
      </c>
      <c r="B1003" t="s">
        <v>810</v>
      </c>
      <c r="C1003" t="s">
        <v>96</v>
      </c>
      <c r="D1003" s="10" t="e">
        <f>VLOOKUP(Tabela8[[#This Row],[Cód.]],#REF!,7,0)</f>
        <v>#REF!</v>
      </c>
      <c r="E1003" s="9"/>
      <c r="F1003" s="10"/>
      <c r="G1003" s="8" t="e">
        <f>VLOOKUP(Tabela8[[#This Row],[Cód.]],CENTRAL[#All],9,0)</f>
        <v>#REF!</v>
      </c>
    </row>
    <row r="1004" spans="1:7" ht="16.5" thickTop="1" thickBot="1" x14ac:dyDescent="0.3">
      <c r="A1004">
        <v>200002005</v>
      </c>
      <c r="B1004" t="s">
        <v>812</v>
      </c>
      <c r="C1004" t="s">
        <v>9</v>
      </c>
      <c r="D1004" s="10" t="e">
        <f>VLOOKUP(Tabela8[[#This Row],[Cód.]],#REF!,7,0)</f>
        <v>#REF!</v>
      </c>
      <c r="E1004" s="9"/>
      <c r="F1004" s="10"/>
      <c r="G1004" s="8" t="e">
        <f>VLOOKUP(Tabela8[[#This Row],[Cód.]],CENTRAL[#All],9,0)</f>
        <v>#REF!</v>
      </c>
    </row>
    <row r="1005" spans="1:7" ht="16.5" thickTop="1" thickBot="1" x14ac:dyDescent="0.3">
      <c r="A1005">
        <v>200002011</v>
      </c>
      <c r="B1005" t="s">
        <v>816</v>
      </c>
      <c r="C1005" t="s">
        <v>9</v>
      </c>
      <c r="D1005" s="10" t="e">
        <f>VLOOKUP(Tabela8[[#This Row],[Cód.]],#REF!,7,0)</f>
        <v>#REF!</v>
      </c>
      <c r="E1005" s="9"/>
      <c r="F1005" s="10"/>
      <c r="G1005" s="8" t="e">
        <f>VLOOKUP(Tabela8[[#This Row],[Cód.]],CENTRAL[#All],9,0)</f>
        <v>#REF!</v>
      </c>
    </row>
    <row r="1006" spans="1:7" ht="16.5" thickTop="1" thickBot="1" x14ac:dyDescent="0.3">
      <c r="A1006">
        <v>200002009</v>
      </c>
      <c r="B1006" t="s">
        <v>818</v>
      </c>
      <c r="C1006" t="s">
        <v>9</v>
      </c>
      <c r="D1006" s="10" t="e">
        <f>VLOOKUP(Tabela8[[#This Row],[Cód.]],#REF!,7,0)</f>
        <v>#REF!</v>
      </c>
      <c r="E1006" s="9"/>
      <c r="F1006" s="10"/>
      <c r="G1006" s="8" t="e">
        <f>VLOOKUP(Tabela8[[#This Row],[Cód.]],CENTRAL[#All],9,0)</f>
        <v>#REF!</v>
      </c>
    </row>
    <row r="1007" spans="1:7" ht="16.5" thickTop="1" thickBot="1" x14ac:dyDescent="0.3">
      <c r="A1007">
        <v>200002013</v>
      </c>
      <c r="B1007" t="s">
        <v>819</v>
      </c>
      <c r="C1007" t="s">
        <v>9</v>
      </c>
      <c r="D1007" s="10" t="e">
        <f>VLOOKUP(Tabela8[[#This Row],[Cód.]],#REF!,7,0)</f>
        <v>#REF!</v>
      </c>
      <c r="E1007" s="9"/>
      <c r="F1007" s="10"/>
      <c r="G1007" s="8" t="e">
        <f>VLOOKUP(Tabela8[[#This Row],[Cód.]],CENTRAL[#All],9,0)</f>
        <v>#REF!</v>
      </c>
    </row>
    <row r="1008" spans="1:7" ht="16.5" thickTop="1" thickBot="1" x14ac:dyDescent="0.3">
      <c r="A1008">
        <v>200000591</v>
      </c>
      <c r="B1008" t="s">
        <v>820</v>
      </c>
      <c r="C1008" t="s">
        <v>9</v>
      </c>
      <c r="D1008" s="10" t="e">
        <f>VLOOKUP(Tabela8[[#This Row],[Cód.]],#REF!,7,0)</f>
        <v>#REF!</v>
      </c>
      <c r="E1008" s="9"/>
      <c r="F1008" s="10"/>
      <c r="G1008" s="8" t="e">
        <f>VLOOKUP(Tabela8[[#This Row],[Cód.]],CENTRAL[#All],9,0)</f>
        <v>#REF!</v>
      </c>
    </row>
    <row r="1009" spans="1:7" ht="16.5" thickTop="1" thickBot="1" x14ac:dyDescent="0.3">
      <c r="A1009">
        <v>200000592</v>
      </c>
      <c r="B1009" t="s">
        <v>821</v>
      </c>
      <c r="C1009" t="s">
        <v>9</v>
      </c>
      <c r="D1009" s="10" t="e">
        <f>VLOOKUP(Tabela8[[#This Row],[Cód.]],#REF!,7,0)</f>
        <v>#REF!</v>
      </c>
      <c r="E1009" s="9"/>
      <c r="F1009" s="10"/>
      <c r="G1009" s="8" t="e">
        <f>VLOOKUP(Tabela8[[#This Row],[Cód.]],CENTRAL[#All],9,0)</f>
        <v>#REF!</v>
      </c>
    </row>
    <row r="1010" spans="1:7" ht="16.5" thickTop="1" thickBot="1" x14ac:dyDescent="0.3">
      <c r="A1010">
        <v>200003553</v>
      </c>
      <c r="B1010" t="s">
        <v>822</v>
      </c>
      <c r="C1010" t="s">
        <v>9</v>
      </c>
      <c r="D1010" s="10" t="e">
        <f>VLOOKUP(Tabela8[[#This Row],[Cód.]],#REF!,7,0)</f>
        <v>#REF!</v>
      </c>
      <c r="E1010" s="9"/>
      <c r="F1010" s="10"/>
      <c r="G1010" s="8" t="e">
        <f>VLOOKUP(Tabela8[[#This Row],[Cód.]],CENTRAL[#All],9,0)</f>
        <v>#REF!</v>
      </c>
    </row>
    <row r="1011" spans="1:7" ht="16.5" thickTop="1" thickBot="1" x14ac:dyDescent="0.3">
      <c r="A1011">
        <v>200000588</v>
      </c>
      <c r="B1011" t="s">
        <v>825</v>
      </c>
      <c r="C1011" t="s">
        <v>9</v>
      </c>
      <c r="D1011" s="10" t="e">
        <f>VLOOKUP(Tabela8[[#This Row],[Cód.]],#REF!,7,0)</f>
        <v>#REF!</v>
      </c>
      <c r="E1011" s="9"/>
      <c r="F1011" s="10"/>
      <c r="G1011" s="8" t="e">
        <f>VLOOKUP(Tabela8[[#This Row],[Cód.]],CENTRAL[#All],9,0)</f>
        <v>#REF!</v>
      </c>
    </row>
    <row r="1012" spans="1:7" ht="16.5" thickTop="1" thickBot="1" x14ac:dyDescent="0.3">
      <c r="A1012">
        <v>200000593</v>
      </c>
      <c r="B1012" t="s">
        <v>828</v>
      </c>
      <c r="C1012" t="s">
        <v>9</v>
      </c>
      <c r="D1012" s="10" t="e">
        <f>VLOOKUP(Tabela8[[#This Row],[Cód.]],#REF!,7,0)</f>
        <v>#REF!</v>
      </c>
      <c r="E1012" s="9"/>
      <c r="F1012" s="10"/>
      <c r="G1012" s="8" t="e">
        <f>VLOOKUP(Tabela8[[#This Row],[Cód.]],CENTRAL[#All],9,0)</f>
        <v>#REF!</v>
      </c>
    </row>
    <row r="1013" spans="1:7" ht="16.5" thickTop="1" thickBot="1" x14ac:dyDescent="0.3">
      <c r="A1013">
        <v>200000594</v>
      </c>
      <c r="B1013" t="s">
        <v>829</v>
      </c>
      <c r="C1013" t="s">
        <v>9</v>
      </c>
      <c r="D1013" s="10" t="e">
        <f>VLOOKUP(Tabela8[[#This Row],[Cód.]],#REF!,7,0)</f>
        <v>#REF!</v>
      </c>
      <c r="E1013" s="9"/>
      <c r="F1013" s="10"/>
      <c r="G1013" s="8" t="e">
        <f>VLOOKUP(Tabela8[[#This Row],[Cód.]],CENTRAL[#All],9,0)</f>
        <v>#REF!</v>
      </c>
    </row>
    <row r="1014" spans="1:7" ht="16.5" thickTop="1" thickBot="1" x14ac:dyDescent="0.3">
      <c r="A1014">
        <v>200006045</v>
      </c>
      <c r="B1014" t="s">
        <v>830</v>
      </c>
      <c r="C1014" t="s">
        <v>9</v>
      </c>
      <c r="D1014" s="10" t="e">
        <f>VLOOKUP(Tabela8[[#This Row],[Cód.]],#REF!,7,0)</f>
        <v>#REF!</v>
      </c>
      <c r="E1014" s="9"/>
      <c r="F1014" s="10"/>
      <c r="G1014" s="8" t="e">
        <f>VLOOKUP(Tabela8[[#This Row],[Cód.]],CENTRAL[#All],9,0)</f>
        <v>#REF!</v>
      </c>
    </row>
    <row r="1015" spans="1:7" ht="16.5" thickTop="1" thickBot="1" x14ac:dyDescent="0.3">
      <c r="A1015">
        <v>200005471</v>
      </c>
      <c r="B1015" t="s">
        <v>833</v>
      </c>
      <c r="C1015" t="s">
        <v>86</v>
      </c>
      <c r="D1015" s="10" t="e">
        <f>VLOOKUP(Tabela8[[#This Row],[Cód.]],#REF!,7,0)</f>
        <v>#REF!</v>
      </c>
      <c r="E1015" s="9"/>
      <c r="F1015" s="10"/>
      <c r="G1015" s="8" t="e">
        <f>VLOOKUP(Tabela8[[#This Row],[Cód.]],CENTRAL[#All],9,0)</f>
        <v>#REF!</v>
      </c>
    </row>
    <row r="1016" spans="1:7" ht="16.5" thickTop="1" thickBot="1" x14ac:dyDescent="0.3">
      <c r="A1016">
        <v>200004298</v>
      </c>
      <c r="B1016" t="s">
        <v>835</v>
      </c>
      <c r="C1016" t="s">
        <v>546</v>
      </c>
      <c r="D1016" s="10" t="e">
        <f>VLOOKUP(Tabela8[[#This Row],[Cód.]],#REF!,7,0)</f>
        <v>#REF!</v>
      </c>
      <c r="E1016" s="9"/>
      <c r="F1016" s="10"/>
      <c r="G1016" s="8" t="e">
        <f>VLOOKUP(Tabela8[[#This Row],[Cód.]],CENTRAL[#All],9,0)</f>
        <v>#REF!</v>
      </c>
    </row>
    <row r="1017" spans="1:7" ht="16.5" thickTop="1" thickBot="1" x14ac:dyDescent="0.3">
      <c r="A1017">
        <v>200004298</v>
      </c>
      <c r="B1017" t="s">
        <v>835</v>
      </c>
      <c r="C1017" t="s">
        <v>546</v>
      </c>
      <c r="D1017" s="10" t="e">
        <f>VLOOKUP(Tabela8[[#This Row],[Cód.]],#REF!,7,0)</f>
        <v>#REF!</v>
      </c>
      <c r="E1017" s="9"/>
      <c r="F1017" s="10"/>
      <c r="G1017" s="8" t="e">
        <f>VLOOKUP(Tabela8[[#This Row],[Cód.]],CENTRAL[#All],9,0)</f>
        <v>#REF!</v>
      </c>
    </row>
    <row r="1018" spans="1:7" ht="16.5" thickTop="1" thickBot="1" x14ac:dyDescent="0.3">
      <c r="A1018">
        <v>200000596</v>
      </c>
      <c r="B1018" t="s">
        <v>836</v>
      </c>
      <c r="C1018" t="s">
        <v>9</v>
      </c>
      <c r="D1018" s="10" t="e">
        <f>VLOOKUP(Tabela8[[#This Row],[Cód.]],#REF!,7,0)</f>
        <v>#REF!</v>
      </c>
      <c r="E1018" s="9"/>
      <c r="F1018" s="10"/>
      <c r="G1018" s="8" t="e">
        <f>VLOOKUP(Tabela8[[#This Row],[Cód.]],CENTRAL[#All],9,0)</f>
        <v>#REF!</v>
      </c>
    </row>
    <row r="1019" spans="1:7" ht="16.5" thickTop="1" thickBot="1" x14ac:dyDescent="0.3">
      <c r="A1019">
        <v>200006049</v>
      </c>
      <c r="B1019" t="s">
        <v>837</v>
      </c>
      <c r="C1019" t="s">
        <v>9</v>
      </c>
      <c r="D1019" s="10" t="e">
        <f>VLOOKUP(Tabela8[[#This Row],[Cód.]],#REF!,7,0)</f>
        <v>#REF!</v>
      </c>
      <c r="E1019" s="9"/>
      <c r="F1019" s="10"/>
      <c r="G1019" s="8" t="e">
        <f>VLOOKUP(Tabela8[[#This Row],[Cód.]],CENTRAL[#All],9,0)</f>
        <v>#REF!</v>
      </c>
    </row>
    <row r="1020" spans="1:7" ht="16.5" thickTop="1" thickBot="1" x14ac:dyDescent="0.3">
      <c r="A1020">
        <v>200003642</v>
      </c>
      <c r="B1020" t="s">
        <v>838</v>
      </c>
      <c r="C1020" t="s">
        <v>9</v>
      </c>
      <c r="D1020" s="10" t="e">
        <f>VLOOKUP(Tabela8[[#This Row],[Cód.]],#REF!,7,0)</f>
        <v>#REF!</v>
      </c>
      <c r="E1020" s="9"/>
      <c r="F1020" s="10"/>
      <c r="G1020" s="8" t="e">
        <f>VLOOKUP(Tabela8[[#This Row],[Cód.]],CENTRAL[#All],9,0)</f>
        <v>#REF!</v>
      </c>
    </row>
    <row r="1021" spans="1:7" ht="16.5" thickTop="1" thickBot="1" x14ac:dyDescent="0.3">
      <c r="A1021">
        <v>200002353</v>
      </c>
      <c r="B1021" t="s">
        <v>839</v>
      </c>
      <c r="C1021" t="s">
        <v>9</v>
      </c>
      <c r="D1021" s="10" t="e">
        <f>VLOOKUP(Tabela8[[#This Row],[Cód.]],#REF!,7,0)</f>
        <v>#REF!</v>
      </c>
      <c r="E1021" s="9"/>
      <c r="F1021" s="10"/>
      <c r="G1021" s="8" t="e">
        <f>VLOOKUP(Tabela8[[#This Row],[Cód.]],CENTRAL[#All],9,0)</f>
        <v>#REF!</v>
      </c>
    </row>
    <row r="1022" spans="1:7" ht="16.5" thickTop="1" thickBot="1" x14ac:dyDescent="0.3">
      <c r="A1022">
        <v>200000597</v>
      </c>
      <c r="B1022" t="s">
        <v>840</v>
      </c>
      <c r="C1022" t="s">
        <v>9</v>
      </c>
      <c r="D1022" s="10" t="e">
        <f>VLOOKUP(Tabela8[[#This Row],[Cód.]],#REF!,7,0)</f>
        <v>#REF!</v>
      </c>
      <c r="E1022" s="9"/>
      <c r="F1022" s="10"/>
      <c r="G1022" s="8" t="e">
        <f>VLOOKUP(Tabela8[[#This Row],[Cód.]],CENTRAL[#All],9,0)</f>
        <v>#REF!</v>
      </c>
    </row>
    <row r="1023" spans="1:7" ht="16.5" thickTop="1" thickBot="1" x14ac:dyDescent="0.3">
      <c r="A1023">
        <v>200002216</v>
      </c>
      <c r="B1023" t="s">
        <v>841</v>
      </c>
      <c r="C1023" t="s">
        <v>9</v>
      </c>
      <c r="D1023" s="10" t="e">
        <f>VLOOKUP(Tabela8[[#This Row],[Cód.]],#REF!,7,0)</f>
        <v>#REF!</v>
      </c>
      <c r="E1023" s="9"/>
      <c r="F1023" s="10"/>
      <c r="G1023" s="8" t="e">
        <f>VLOOKUP(Tabela8[[#This Row],[Cód.]],CENTRAL[#All],9,0)</f>
        <v>#REF!</v>
      </c>
    </row>
    <row r="1024" spans="1:7" ht="16.5" thickTop="1" thickBot="1" x14ac:dyDescent="0.3">
      <c r="A1024">
        <v>200002014</v>
      </c>
      <c r="B1024" t="s">
        <v>846</v>
      </c>
      <c r="C1024" t="s">
        <v>9</v>
      </c>
      <c r="D1024" s="10" t="e">
        <f>VLOOKUP(Tabela8[[#This Row],[Cód.]],#REF!,7,0)</f>
        <v>#REF!</v>
      </c>
      <c r="E1024" s="9"/>
      <c r="F1024" s="10"/>
      <c r="G1024" s="8" t="e">
        <f>VLOOKUP(Tabela8[[#This Row],[Cód.]],CENTRAL[#All],9,0)</f>
        <v>#REF!</v>
      </c>
    </row>
    <row r="1025" spans="1:7" ht="16.5" thickTop="1" thickBot="1" x14ac:dyDescent="0.3">
      <c r="A1025">
        <v>200000598</v>
      </c>
      <c r="B1025" t="s">
        <v>847</v>
      </c>
      <c r="C1025" t="s">
        <v>9</v>
      </c>
      <c r="D1025" s="10" t="e">
        <f>VLOOKUP(Tabela8[[#This Row],[Cód.]],#REF!,7,0)</f>
        <v>#REF!</v>
      </c>
      <c r="E1025" s="9"/>
      <c r="F1025" s="10"/>
      <c r="G1025" s="8" t="e">
        <f>VLOOKUP(Tabela8[[#This Row],[Cód.]],CENTRAL[#All],9,0)</f>
        <v>#REF!</v>
      </c>
    </row>
    <row r="1026" spans="1:7" ht="16.5" thickTop="1" thickBot="1" x14ac:dyDescent="0.3">
      <c r="A1026">
        <v>200006945</v>
      </c>
      <c r="B1026" t="s">
        <v>849</v>
      </c>
      <c r="C1026" t="s">
        <v>721</v>
      </c>
      <c r="D1026" s="10" t="e">
        <f>VLOOKUP(Tabela8[[#This Row],[Cód.]],#REF!,7,0)</f>
        <v>#REF!</v>
      </c>
      <c r="E1026" s="9"/>
      <c r="F1026" s="10"/>
      <c r="G1026" s="8" t="e">
        <f>VLOOKUP(Tabela8[[#This Row],[Cód.]],CENTRAL[#All],9,0)</f>
        <v>#REF!</v>
      </c>
    </row>
    <row r="1027" spans="1:7" ht="16.5" thickTop="1" thickBot="1" x14ac:dyDescent="0.3">
      <c r="A1027">
        <v>200003964</v>
      </c>
      <c r="B1027" t="s">
        <v>850</v>
      </c>
      <c r="C1027" t="s">
        <v>110</v>
      </c>
      <c r="D1027" s="10" t="e">
        <f>VLOOKUP(Tabela8[[#This Row],[Cód.]],#REF!,7,0)</f>
        <v>#REF!</v>
      </c>
      <c r="E1027" s="9"/>
      <c r="F1027" s="10"/>
      <c r="G1027" s="8" t="e">
        <f>VLOOKUP(Tabela8[[#This Row],[Cód.]],CENTRAL[#All],9,0)</f>
        <v>#REF!</v>
      </c>
    </row>
    <row r="1028" spans="1:7" ht="16.5" thickTop="1" thickBot="1" x14ac:dyDescent="0.3">
      <c r="A1028">
        <v>200005411</v>
      </c>
      <c r="B1028" t="s">
        <v>851</v>
      </c>
      <c r="C1028" t="s">
        <v>9</v>
      </c>
      <c r="D1028" s="10" t="e">
        <f>VLOOKUP(Tabela8[[#This Row],[Cód.]],#REF!,7,0)</f>
        <v>#REF!</v>
      </c>
      <c r="E1028" s="9"/>
      <c r="F1028" s="10"/>
      <c r="G1028" s="8" t="e">
        <f>VLOOKUP(Tabela8[[#This Row],[Cód.]],CENTRAL[#All],9,0)</f>
        <v>#REF!</v>
      </c>
    </row>
    <row r="1029" spans="1:7" ht="16.5" thickTop="1" thickBot="1" x14ac:dyDescent="0.3">
      <c r="A1029">
        <v>200006357</v>
      </c>
      <c r="B1029" t="s">
        <v>852</v>
      </c>
      <c r="C1029" t="s">
        <v>9</v>
      </c>
      <c r="D1029" s="10" t="e">
        <f>VLOOKUP(Tabela8[[#This Row],[Cód.]],#REF!,7,0)</f>
        <v>#REF!</v>
      </c>
      <c r="E1029" s="9"/>
      <c r="F1029" s="10"/>
      <c r="G1029" s="8" t="e">
        <f>VLOOKUP(Tabela8[[#This Row],[Cód.]],CENTRAL[#All],9,0)</f>
        <v>#REF!</v>
      </c>
    </row>
    <row r="1030" spans="1:7" ht="16.5" thickTop="1" thickBot="1" x14ac:dyDescent="0.3">
      <c r="A1030">
        <v>200004020</v>
      </c>
      <c r="B1030" t="s">
        <v>853</v>
      </c>
      <c r="C1030" t="s">
        <v>9</v>
      </c>
      <c r="D1030" s="10" t="e">
        <f>VLOOKUP(Tabela8[[#This Row],[Cód.]],#REF!,7,0)</f>
        <v>#REF!</v>
      </c>
      <c r="E1030" s="9"/>
      <c r="F1030" s="10"/>
      <c r="G1030" s="8" t="e">
        <f>VLOOKUP(Tabela8[[#This Row],[Cód.]],CENTRAL[#All],9,0)</f>
        <v>#REF!</v>
      </c>
    </row>
    <row r="1031" spans="1:7" ht="16.5" thickTop="1" thickBot="1" x14ac:dyDescent="0.3">
      <c r="A1031">
        <v>200006330</v>
      </c>
      <c r="B1031" t="s">
        <v>854</v>
      </c>
      <c r="C1031" t="s">
        <v>9</v>
      </c>
      <c r="D1031" s="10" t="e">
        <f>VLOOKUP(Tabela8[[#This Row],[Cód.]],#REF!,7,0)</f>
        <v>#REF!</v>
      </c>
      <c r="E1031" s="9"/>
      <c r="F1031" s="10"/>
      <c r="G1031" s="8" t="e">
        <f>VLOOKUP(Tabela8[[#This Row],[Cód.]],CENTRAL[#All],9,0)</f>
        <v>#REF!</v>
      </c>
    </row>
    <row r="1032" spans="1:7" ht="16.5" thickTop="1" thickBot="1" x14ac:dyDescent="0.3">
      <c r="A1032">
        <v>200007172</v>
      </c>
      <c r="B1032" t="s">
        <v>859</v>
      </c>
      <c r="C1032" t="s">
        <v>9</v>
      </c>
      <c r="D1032" s="10" t="e">
        <f>VLOOKUP(Tabela8[[#This Row],[Cód.]],#REF!,7,0)</f>
        <v>#REF!</v>
      </c>
      <c r="E1032" s="9"/>
      <c r="F1032" s="10"/>
      <c r="G1032" s="8" t="e">
        <f>VLOOKUP(Tabela8[[#This Row],[Cód.]],CENTRAL[#All],9,0)</f>
        <v>#REF!</v>
      </c>
    </row>
    <row r="1033" spans="1:7" ht="16.5" thickTop="1" thickBot="1" x14ac:dyDescent="0.3">
      <c r="A1033">
        <v>200006035</v>
      </c>
      <c r="B1033" t="s">
        <v>861</v>
      </c>
      <c r="C1033" t="s">
        <v>9</v>
      </c>
      <c r="D1033" s="10" t="e">
        <f>VLOOKUP(Tabela8[[#This Row],[Cód.]],#REF!,7,0)</f>
        <v>#REF!</v>
      </c>
      <c r="E1033" s="9"/>
      <c r="F1033" s="10"/>
      <c r="G1033" s="8" t="e">
        <f>VLOOKUP(Tabela8[[#This Row],[Cód.]],CENTRAL[#All],9,0)</f>
        <v>#REF!</v>
      </c>
    </row>
    <row r="1034" spans="1:7" ht="16.5" thickTop="1" thickBot="1" x14ac:dyDescent="0.3">
      <c r="A1034">
        <v>200004959</v>
      </c>
      <c r="B1034" t="s">
        <v>863</v>
      </c>
      <c r="C1034" t="s">
        <v>9</v>
      </c>
      <c r="D1034" s="10" t="e">
        <f>VLOOKUP(Tabela8[[#This Row],[Cód.]],#REF!,7,0)</f>
        <v>#REF!</v>
      </c>
      <c r="E1034" s="9"/>
      <c r="F1034" s="10"/>
      <c r="G1034" s="8" t="e">
        <f>VLOOKUP(Tabela8[[#This Row],[Cód.]],CENTRAL[#All],9,0)</f>
        <v>#REF!</v>
      </c>
    </row>
    <row r="1035" spans="1:7" ht="16.5" thickTop="1" thickBot="1" x14ac:dyDescent="0.3">
      <c r="A1035">
        <v>200004960</v>
      </c>
      <c r="B1035" t="s">
        <v>864</v>
      </c>
      <c r="C1035" t="s">
        <v>9</v>
      </c>
      <c r="D1035" s="10" t="e">
        <f>VLOOKUP(Tabela8[[#This Row],[Cód.]],#REF!,7,0)</f>
        <v>#REF!</v>
      </c>
      <c r="E1035" s="9"/>
      <c r="F1035" s="10"/>
      <c r="G1035" s="8" t="e">
        <f>VLOOKUP(Tabela8[[#This Row],[Cód.]],CENTRAL[#All],9,0)</f>
        <v>#REF!</v>
      </c>
    </row>
    <row r="1036" spans="1:7" ht="16.5" thickTop="1" thickBot="1" x14ac:dyDescent="0.3">
      <c r="A1036">
        <v>200004233</v>
      </c>
      <c r="B1036" t="s">
        <v>865</v>
      </c>
      <c r="C1036" t="s">
        <v>9</v>
      </c>
      <c r="D1036" s="10" t="e">
        <f>VLOOKUP(Tabela8[[#This Row],[Cód.]],#REF!,7,0)</f>
        <v>#REF!</v>
      </c>
      <c r="E1036" s="9"/>
      <c r="F1036" s="10"/>
      <c r="G1036" s="8" t="e">
        <f>VLOOKUP(Tabela8[[#This Row],[Cód.]],CENTRAL[#All],9,0)</f>
        <v>#REF!</v>
      </c>
    </row>
    <row r="1037" spans="1:7" ht="16.5" thickTop="1" thickBot="1" x14ac:dyDescent="0.3">
      <c r="A1037">
        <v>200004233</v>
      </c>
      <c r="B1037" t="s">
        <v>865</v>
      </c>
      <c r="C1037" t="s">
        <v>9</v>
      </c>
      <c r="D1037" s="10" t="e">
        <f>VLOOKUP(Tabela8[[#This Row],[Cód.]],#REF!,7,0)</f>
        <v>#REF!</v>
      </c>
      <c r="E1037" s="9"/>
      <c r="F1037" s="10"/>
      <c r="G1037" s="8" t="e">
        <f>VLOOKUP(Tabela8[[#This Row],[Cód.]],CENTRAL[#All],9,0)</f>
        <v>#REF!</v>
      </c>
    </row>
    <row r="1038" spans="1:7" ht="16.5" thickTop="1" thickBot="1" x14ac:dyDescent="0.3">
      <c r="A1038">
        <v>200003117</v>
      </c>
      <c r="B1038" t="s">
        <v>870</v>
      </c>
      <c r="C1038" t="s">
        <v>871</v>
      </c>
      <c r="D1038" s="10" t="e">
        <f>VLOOKUP(Tabela8[[#This Row],[Cód.]],#REF!,7,0)</f>
        <v>#REF!</v>
      </c>
      <c r="E1038" s="9"/>
      <c r="F1038" s="10"/>
      <c r="G1038" s="8" t="e">
        <f>VLOOKUP(Tabela8[[#This Row],[Cód.]],CENTRAL[#All],9,0)</f>
        <v>#REF!</v>
      </c>
    </row>
    <row r="1039" spans="1:7" ht="16.5" thickTop="1" thickBot="1" x14ac:dyDescent="0.3">
      <c r="A1039">
        <v>200000619</v>
      </c>
      <c r="B1039" t="s">
        <v>872</v>
      </c>
      <c r="C1039" t="s">
        <v>9</v>
      </c>
      <c r="D1039" s="10" t="e">
        <f>VLOOKUP(Tabela8[[#This Row],[Cód.]],#REF!,7,0)</f>
        <v>#REF!</v>
      </c>
      <c r="E1039" s="9"/>
      <c r="F1039" s="10"/>
      <c r="G1039" s="8" t="e">
        <f>VLOOKUP(Tabela8[[#This Row],[Cód.]],CENTRAL[#All],9,0)</f>
        <v>#REF!</v>
      </c>
    </row>
    <row r="1040" spans="1:7" ht="16.5" thickTop="1" thickBot="1" x14ac:dyDescent="0.3">
      <c r="A1040">
        <v>200004892</v>
      </c>
      <c r="B1040" t="s">
        <v>874</v>
      </c>
      <c r="C1040" t="s">
        <v>9</v>
      </c>
      <c r="D1040" s="10" t="e">
        <f>VLOOKUP(Tabela8[[#This Row],[Cód.]],#REF!,7,0)</f>
        <v>#REF!</v>
      </c>
      <c r="E1040" s="9"/>
      <c r="F1040" s="10"/>
      <c r="G1040" s="8" t="e">
        <f>VLOOKUP(Tabela8[[#This Row],[Cód.]],CENTRAL[#All],9,0)</f>
        <v>#REF!</v>
      </c>
    </row>
    <row r="1041" spans="1:7" ht="16.5" thickTop="1" thickBot="1" x14ac:dyDescent="0.3">
      <c r="A1041">
        <v>200002020</v>
      </c>
      <c r="B1041" t="s">
        <v>878</v>
      </c>
      <c r="C1041" t="s">
        <v>9</v>
      </c>
      <c r="D1041" s="10" t="e">
        <f>VLOOKUP(Tabela8[[#This Row],[Cód.]],#REF!,7,0)</f>
        <v>#REF!</v>
      </c>
      <c r="E1041" s="9"/>
      <c r="F1041" s="10"/>
      <c r="G1041" s="8" t="e">
        <f>VLOOKUP(Tabela8[[#This Row],[Cód.]],CENTRAL[#All],9,0)</f>
        <v>#REF!</v>
      </c>
    </row>
    <row r="1042" spans="1:7" ht="16.5" thickTop="1" thickBot="1" x14ac:dyDescent="0.3">
      <c r="A1042">
        <v>200004669</v>
      </c>
      <c r="B1042" t="s">
        <v>879</v>
      </c>
      <c r="C1042" t="s">
        <v>9</v>
      </c>
      <c r="D1042" s="10" t="e">
        <f>VLOOKUP(Tabela8[[#This Row],[Cód.]],#REF!,7,0)</f>
        <v>#REF!</v>
      </c>
      <c r="E1042" s="9"/>
      <c r="F1042" s="10"/>
      <c r="G1042" s="8" t="e">
        <f>VLOOKUP(Tabela8[[#This Row],[Cód.]],CENTRAL[#All],9,0)</f>
        <v>#REF!</v>
      </c>
    </row>
    <row r="1043" spans="1:7" ht="16.5" thickTop="1" thickBot="1" x14ac:dyDescent="0.3">
      <c r="A1043">
        <v>200000620</v>
      </c>
      <c r="B1043" t="s">
        <v>881</v>
      </c>
      <c r="C1043" t="s">
        <v>82</v>
      </c>
      <c r="D1043" s="10" t="e">
        <f>VLOOKUP(Tabela8[[#This Row],[Cód.]],#REF!,7,0)</f>
        <v>#REF!</v>
      </c>
      <c r="E1043" s="9"/>
      <c r="F1043" s="10"/>
      <c r="G1043" s="8" t="e">
        <f>VLOOKUP(Tabela8[[#This Row],[Cód.]],CENTRAL[#All],9,0)</f>
        <v>#REF!</v>
      </c>
    </row>
    <row r="1044" spans="1:7" ht="16.5" thickTop="1" thickBot="1" x14ac:dyDescent="0.3">
      <c r="A1044">
        <v>200002286</v>
      </c>
      <c r="B1044" t="s">
        <v>882</v>
      </c>
      <c r="C1044" t="s">
        <v>9</v>
      </c>
      <c r="D1044" s="10" t="e">
        <f>VLOOKUP(Tabela8[[#This Row],[Cód.]],#REF!,7,0)</f>
        <v>#REF!</v>
      </c>
      <c r="E1044" s="9"/>
      <c r="F1044" s="10"/>
      <c r="G1044" s="8" t="e">
        <f>VLOOKUP(Tabela8[[#This Row],[Cód.]],CENTRAL[#All],9,0)</f>
        <v>#REF!</v>
      </c>
    </row>
    <row r="1045" spans="1:7" ht="16.5" thickTop="1" thickBot="1" x14ac:dyDescent="0.3">
      <c r="A1045">
        <v>200001558</v>
      </c>
      <c r="B1045" t="s">
        <v>883</v>
      </c>
      <c r="C1045" t="s">
        <v>9</v>
      </c>
      <c r="D1045" s="10" t="e">
        <f>VLOOKUP(Tabela8[[#This Row],[Cód.]],#REF!,7,0)</f>
        <v>#REF!</v>
      </c>
      <c r="E1045" s="9"/>
      <c r="F1045" s="10"/>
      <c r="G1045" s="8" t="e">
        <f>VLOOKUP(Tabela8[[#This Row],[Cód.]],CENTRAL[#All],9,0)</f>
        <v>#REF!</v>
      </c>
    </row>
    <row r="1046" spans="1:7" ht="16.5" thickTop="1" thickBot="1" x14ac:dyDescent="0.3">
      <c r="A1046">
        <v>200001558</v>
      </c>
      <c r="B1046" t="s">
        <v>883</v>
      </c>
      <c r="C1046" t="s">
        <v>9</v>
      </c>
      <c r="D1046" s="10" t="e">
        <f>VLOOKUP(Tabela8[[#This Row],[Cód.]],#REF!,7,0)</f>
        <v>#REF!</v>
      </c>
      <c r="E1046" s="9"/>
      <c r="F1046" s="10"/>
      <c r="G1046" s="8" t="e">
        <f>VLOOKUP(Tabela8[[#This Row],[Cód.]],CENTRAL[#All],9,0)</f>
        <v>#REF!</v>
      </c>
    </row>
    <row r="1047" spans="1:7" ht="16.5" thickTop="1" thickBot="1" x14ac:dyDescent="0.3">
      <c r="A1047">
        <v>200001090</v>
      </c>
      <c r="B1047" t="s">
        <v>886</v>
      </c>
      <c r="C1047" t="s">
        <v>9</v>
      </c>
      <c r="D1047" s="10" t="e">
        <f>VLOOKUP(Tabela8[[#This Row],[Cód.]],#REF!,7,0)</f>
        <v>#REF!</v>
      </c>
      <c r="E1047" s="9"/>
      <c r="F1047" s="10"/>
      <c r="G1047" s="8" t="e">
        <f>VLOOKUP(Tabela8[[#This Row],[Cód.]],CENTRAL[#All],9,0)</f>
        <v>#REF!</v>
      </c>
    </row>
    <row r="1048" spans="1:7" ht="16.5" thickTop="1" thickBot="1" x14ac:dyDescent="0.3">
      <c r="A1048">
        <v>200001090</v>
      </c>
      <c r="B1048" t="s">
        <v>886</v>
      </c>
      <c r="C1048" t="s">
        <v>9</v>
      </c>
      <c r="D1048" s="10" t="e">
        <f>VLOOKUP(Tabela8[[#This Row],[Cód.]],#REF!,7,0)</f>
        <v>#REF!</v>
      </c>
      <c r="E1048" s="9"/>
      <c r="F1048" s="10"/>
      <c r="G1048" s="8" t="e">
        <f>VLOOKUP(Tabela8[[#This Row],[Cód.]],CENTRAL[#All],9,0)</f>
        <v>#REF!</v>
      </c>
    </row>
    <row r="1049" spans="1:7" ht="16.5" thickTop="1" thickBot="1" x14ac:dyDescent="0.3">
      <c r="A1049">
        <v>200005835</v>
      </c>
      <c r="B1049" t="s">
        <v>890</v>
      </c>
      <c r="C1049" t="s">
        <v>9</v>
      </c>
      <c r="D1049" s="10" t="e">
        <f>VLOOKUP(Tabela8[[#This Row],[Cód.]],#REF!,7,0)</f>
        <v>#REF!</v>
      </c>
      <c r="E1049" s="9"/>
      <c r="F1049" s="10"/>
      <c r="G1049" s="8" t="e">
        <f>VLOOKUP(Tabela8[[#This Row],[Cód.]],CENTRAL[#All],9,0)</f>
        <v>#REF!</v>
      </c>
    </row>
    <row r="1050" spans="1:7" ht="16.5" thickTop="1" thickBot="1" x14ac:dyDescent="0.3">
      <c r="A1050">
        <v>200004253</v>
      </c>
      <c r="B1050" t="s">
        <v>891</v>
      </c>
      <c r="C1050" t="s">
        <v>9</v>
      </c>
      <c r="D1050" s="10" t="e">
        <f>VLOOKUP(Tabela8[[#This Row],[Cód.]],#REF!,7,0)</f>
        <v>#REF!</v>
      </c>
      <c r="E1050" s="9"/>
      <c r="F1050" s="10"/>
      <c r="G1050" s="8" t="e">
        <f>VLOOKUP(Tabela8[[#This Row],[Cód.]],CENTRAL[#All],9,0)</f>
        <v>#REF!</v>
      </c>
    </row>
    <row r="1051" spans="1:7" ht="16.5" thickTop="1" thickBot="1" x14ac:dyDescent="0.3">
      <c r="A1051">
        <v>200004252</v>
      </c>
      <c r="B1051" t="s">
        <v>892</v>
      </c>
      <c r="C1051" t="s">
        <v>9</v>
      </c>
      <c r="D1051" s="10" t="e">
        <f>VLOOKUP(Tabela8[[#This Row],[Cód.]],#REF!,7,0)</f>
        <v>#REF!</v>
      </c>
      <c r="E1051" s="9"/>
      <c r="F1051" s="10"/>
      <c r="G1051" s="8" t="e">
        <f>VLOOKUP(Tabela8[[#This Row],[Cód.]],CENTRAL[#All],9,0)</f>
        <v>#REF!</v>
      </c>
    </row>
    <row r="1052" spans="1:7" ht="16.5" thickTop="1" thickBot="1" x14ac:dyDescent="0.3">
      <c r="A1052">
        <v>200004246</v>
      </c>
      <c r="B1052" t="s">
        <v>893</v>
      </c>
      <c r="C1052" t="s">
        <v>9</v>
      </c>
      <c r="D1052" s="10" t="e">
        <f>VLOOKUP(Tabela8[[#This Row],[Cód.]],#REF!,7,0)</f>
        <v>#REF!</v>
      </c>
      <c r="E1052" s="9"/>
      <c r="F1052" s="10"/>
      <c r="G1052" s="8" t="e">
        <f>VLOOKUP(Tabela8[[#This Row],[Cód.]],CENTRAL[#All],9,0)</f>
        <v>#REF!</v>
      </c>
    </row>
    <row r="1053" spans="1:7" ht="16.5" thickTop="1" thickBot="1" x14ac:dyDescent="0.3">
      <c r="A1053">
        <v>200004247</v>
      </c>
      <c r="B1053" t="s">
        <v>894</v>
      </c>
      <c r="C1053" t="s">
        <v>9</v>
      </c>
      <c r="D1053" s="10" t="e">
        <f>VLOOKUP(Tabela8[[#This Row],[Cód.]],#REF!,7,0)</f>
        <v>#REF!</v>
      </c>
      <c r="E1053" s="9"/>
      <c r="F1053" s="10"/>
      <c r="G1053" s="8" t="e">
        <f>VLOOKUP(Tabela8[[#This Row],[Cód.]],CENTRAL[#All],9,0)</f>
        <v>#REF!</v>
      </c>
    </row>
    <row r="1054" spans="1:7" ht="16.5" thickTop="1" thickBot="1" x14ac:dyDescent="0.3">
      <c r="A1054">
        <v>200004250</v>
      </c>
      <c r="B1054" t="s">
        <v>896</v>
      </c>
      <c r="C1054" t="s">
        <v>9</v>
      </c>
      <c r="D1054" s="10" t="e">
        <f>VLOOKUP(Tabela8[[#This Row],[Cód.]],#REF!,7,0)</f>
        <v>#REF!</v>
      </c>
      <c r="E1054" s="9"/>
      <c r="F1054" s="10"/>
      <c r="G1054" s="8" t="e">
        <f>VLOOKUP(Tabela8[[#This Row],[Cód.]],CENTRAL[#All],9,0)</f>
        <v>#REF!</v>
      </c>
    </row>
    <row r="1055" spans="1:7" ht="16.5" thickTop="1" thickBot="1" x14ac:dyDescent="0.3">
      <c r="A1055">
        <v>200004249</v>
      </c>
      <c r="B1055" t="s">
        <v>897</v>
      </c>
      <c r="C1055" t="s">
        <v>9</v>
      </c>
      <c r="D1055" s="10" t="e">
        <f>VLOOKUP(Tabela8[[#This Row],[Cód.]],#REF!,7,0)</f>
        <v>#REF!</v>
      </c>
      <c r="E1055" s="9"/>
      <c r="F1055" s="10"/>
      <c r="G1055" s="8" t="e">
        <f>VLOOKUP(Tabela8[[#This Row],[Cód.]],CENTRAL[#All],9,0)</f>
        <v>#REF!</v>
      </c>
    </row>
    <row r="1056" spans="1:7" ht="16.5" thickTop="1" thickBot="1" x14ac:dyDescent="0.3">
      <c r="A1056">
        <v>200004248</v>
      </c>
      <c r="B1056" t="s">
        <v>898</v>
      </c>
      <c r="C1056" t="s">
        <v>9</v>
      </c>
      <c r="D1056" s="10" t="e">
        <f>VLOOKUP(Tabela8[[#This Row],[Cód.]],#REF!,7,0)</f>
        <v>#REF!</v>
      </c>
      <c r="E1056" s="9"/>
      <c r="F1056" s="10"/>
      <c r="G1056" s="8" t="e">
        <f>VLOOKUP(Tabela8[[#This Row],[Cód.]],CENTRAL[#All],9,0)</f>
        <v>#REF!</v>
      </c>
    </row>
    <row r="1057" spans="1:7" ht="16.5" thickTop="1" thickBot="1" x14ac:dyDescent="0.3">
      <c r="A1057">
        <v>200003545</v>
      </c>
      <c r="B1057" t="s">
        <v>899</v>
      </c>
      <c r="C1057" t="s">
        <v>9</v>
      </c>
      <c r="D1057" s="10" t="e">
        <f>VLOOKUP(Tabela8[[#This Row],[Cód.]],#REF!,7,0)</f>
        <v>#REF!</v>
      </c>
      <c r="E1057" s="9"/>
      <c r="F1057" s="10"/>
      <c r="G1057" s="8" t="e">
        <f>VLOOKUP(Tabela8[[#This Row],[Cód.]],CENTRAL[#All],9,0)</f>
        <v>#REF!</v>
      </c>
    </row>
    <row r="1058" spans="1:7" ht="16.5" thickTop="1" thickBot="1" x14ac:dyDescent="0.3">
      <c r="A1058">
        <v>200003546</v>
      </c>
      <c r="B1058" t="s">
        <v>900</v>
      </c>
      <c r="C1058" t="s">
        <v>9</v>
      </c>
      <c r="D1058" s="10" t="e">
        <f>VLOOKUP(Tabela8[[#This Row],[Cód.]],#REF!,7,0)</f>
        <v>#REF!</v>
      </c>
      <c r="E1058" s="9"/>
      <c r="F1058" s="10"/>
      <c r="G1058" s="8" t="e">
        <f>VLOOKUP(Tabela8[[#This Row],[Cód.]],CENTRAL[#All],9,0)</f>
        <v>#REF!</v>
      </c>
    </row>
    <row r="1059" spans="1:7" ht="16.5" thickTop="1" thickBot="1" x14ac:dyDescent="0.3">
      <c r="A1059">
        <v>200003732</v>
      </c>
      <c r="B1059" t="s">
        <v>901</v>
      </c>
      <c r="C1059" t="s">
        <v>9</v>
      </c>
      <c r="D1059" s="10" t="e">
        <f>VLOOKUP(Tabela8[[#This Row],[Cód.]],#REF!,7,0)</f>
        <v>#REF!</v>
      </c>
      <c r="E1059" s="9"/>
      <c r="F1059" s="10"/>
      <c r="G1059" s="8" t="e">
        <f>VLOOKUP(Tabela8[[#This Row],[Cód.]],CENTRAL[#All],9,0)</f>
        <v>#REF!</v>
      </c>
    </row>
    <row r="1060" spans="1:7" ht="16.5" thickTop="1" thickBot="1" x14ac:dyDescent="0.3">
      <c r="A1060">
        <v>200002813</v>
      </c>
      <c r="B1060" t="s">
        <v>902</v>
      </c>
      <c r="C1060" t="s">
        <v>9</v>
      </c>
      <c r="D1060" s="10" t="e">
        <f>VLOOKUP(Tabela8[[#This Row],[Cód.]],#REF!,7,0)</f>
        <v>#REF!</v>
      </c>
      <c r="E1060" s="9"/>
      <c r="F1060" s="10"/>
      <c r="G1060" s="8" t="e">
        <f>VLOOKUP(Tabela8[[#This Row],[Cód.]],CENTRAL[#All],9,0)</f>
        <v>#REF!</v>
      </c>
    </row>
    <row r="1061" spans="1:7" ht="16.5" thickTop="1" thickBot="1" x14ac:dyDescent="0.3">
      <c r="A1061">
        <v>200002813</v>
      </c>
      <c r="B1061" t="s">
        <v>902</v>
      </c>
      <c r="C1061" t="s">
        <v>9</v>
      </c>
      <c r="D1061" s="10" t="e">
        <f>VLOOKUP(Tabela8[[#This Row],[Cód.]],#REF!,7,0)</f>
        <v>#REF!</v>
      </c>
      <c r="E1061" s="9"/>
      <c r="F1061" s="10"/>
      <c r="G1061" s="8" t="e">
        <f>VLOOKUP(Tabela8[[#This Row],[Cód.]],CENTRAL[#All],9,0)</f>
        <v>#REF!</v>
      </c>
    </row>
    <row r="1062" spans="1:7" ht="16.5" thickTop="1" thickBot="1" x14ac:dyDescent="0.3">
      <c r="A1062">
        <v>200002812</v>
      </c>
      <c r="B1062" t="s">
        <v>903</v>
      </c>
      <c r="C1062" t="s">
        <v>9</v>
      </c>
      <c r="D1062" s="10" t="e">
        <f>VLOOKUP(Tabela8[[#This Row],[Cód.]],#REF!,7,0)</f>
        <v>#REF!</v>
      </c>
      <c r="E1062" s="9"/>
      <c r="F1062" s="10"/>
      <c r="G1062" s="8" t="e">
        <f>VLOOKUP(Tabela8[[#This Row],[Cód.]],CENTRAL[#All],9,0)</f>
        <v>#REF!</v>
      </c>
    </row>
    <row r="1063" spans="1:7" ht="16.5" thickTop="1" thickBot="1" x14ac:dyDescent="0.3">
      <c r="A1063">
        <v>200002812</v>
      </c>
      <c r="B1063" t="s">
        <v>903</v>
      </c>
      <c r="C1063" t="s">
        <v>9</v>
      </c>
      <c r="D1063" s="10" t="e">
        <f>VLOOKUP(Tabela8[[#This Row],[Cód.]],#REF!,7,0)</f>
        <v>#REF!</v>
      </c>
      <c r="E1063" s="9"/>
      <c r="F1063" s="10"/>
      <c r="G1063" s="8" t="e">
        <f>VLOOKUP(Tabela8[[#This Row],[Cód.]],CENTRAL[#All],9,0)</f>
        <v>#REF!</v>
      </c>
    </row>
    <row r="1064" spans="1:7" ht="16.5" thickTop="1" thickBot="1" x14ac:dyDescent="0.3">
      <c r="A1064">
        <v>200003725</v>
      </c>
      <c r="B1064" t="s">
        <v>904</v>
      </c>
      <c r="C1064" t="s">
        <v>9</v>
      </c>
      <c r="D1064" s="10" t="e">
        <f>VLOOKUP(Tabela8[[#This Row],[Cód.]],#REF!,7,0)</f>
        <v>#REF!</v>
      </c>
      <c r="E1064" s="9"/>
      <c r="F1064" s="10"/>
      <c r="G1064" s="8" t="e">
        <f>VLOOKUP(Tabela8[[#This Row],[Cód.]],CENTRAL[#All],9,0)</f>
        <v>#REF!</v>
      </c>
    </row>
    <row r="1065" spans="1:7" ht="16.5" thickTop="1" thickBot="1" x14ac:dyDescent="0.3">
      <c r="A1065">
        <v>200003731</v>
      </c>
      <c r="B1065" t="s">
        <v>905</v>
      </c>
      <c r="C1065" t="s">
        <v>9</v>
      </c>
      <c r="D1065" s="10" t="e">
        <f>VLOOKUP(Tabela8[[#This Row],[Cód.]],#REF!,7,0)</f>
        <v>#REF!</v>
      </c>
      <c r="E1065" s="9"/>
      <c r="F1065" s="10"/>
      <c r="G1065" s="8" t="e">
        <f>VLOOKUP(Tabela8[[#This Row],[Cód.]],CENTRAL[#All],9,0)</f>
        <v>#REF!</v>
      </c>
    </row>
    <row r="1066" spans="1:7" ht="15.75" thickTop="1" x14ac:dyDescent="0.25">
      <c r="A1066">
        <v>200006048</v>
      </c>
      <c r="B1066" t="s">
        <v>906</v>
      </c>
      <c r="C1066" t="s">
        <v>9</v>
      </c>
      <c r="D1066" s="10" t="e">
        <f>VLOOKUP(Tabela8[[#This Row],[Cód.]],#REF!,7,0)</f>
        <v>#REF!</v>
      </c>
      <c r="E1066" s="9"/>
      <c r="F1066" s="10"/>
      <c r="G1066" s="8" t="e">
        <f>VLOOKUP(Tabela8[[#This Row],[Cód.]],CENTRAL[#All],9,0)</f>
        <v>#REF!</v>
      </c>
    </row>
    <row r="1067" spans="1:7" x14ac:dyDescent="0.25">
      <c r="A1067">
        <v>200006282</v>
      </c>
      <c r="B1067" t="s">
        <v>907</v>
      </c>
      <c r="C1067" t="s">
        <v>9</v>
      </c>
      <c r="D1067" s="10" t="e">
        <f>VLOOKUP(Tabela8[[#This Row],[Cód.]],#REF!,7,0)</f>
        <v>#REF!</v>
      </c>
      <c r="E1067" s="10"/>
      <c r="F1067" s="10"/>
      <c r="G1067" s="8" t="e">
        <f>VLOOKUP(Tabela8[[#This Row],[Cód.]],CENTRAL[#All],9,0)</f>
        <v>#REF!</v>
      </c>
    </row>
    <row r="1068" spans="1:7" x14ac:dyDescent="0.25">
      <c r="A1068">
        <v>200006848</v>
      </c>
      <c r="B1068" t="s">
        <v>908</v>
      </c>
      <c r="C1068" t="s">
        <v>9</v>
      </c>
      <c r="D1068" s="10" t="e">
        <f>VLOOKUP(Tabela8[[#This Row],[Cód.]],#REF!,7,0)</f>
        <v>#REF!</v>
      </c>
      <c r="E1068" s="10"/>
      <c r="F1068" s="10"/>
      <c r="G1068" s="8" t="e">
        <f>VLOOKUP(Tabela8[[#This Row],[Cód.]],CENTRAL[#All],9,0)</f>
        <v>#REF!</v>
      </c>
    </row>
    <row r="1069" spans="1:7" x14ac:dyDescent="0.25">
      <c r="A1069">
        <v>200003315</v>
      </c>
      <c r="B1069" t="s">
        <v>909</v>
      </c>
      <c r="C1069" t="s">
        <v>910</v>
      </c>
      <c r="D1069" s="10" t="e">
        <f>VLOOKUP(Tabela8[[#This Row],[Cód.]],#REF!,7,0)</f>
        <v>#REF!</v>
      </c>
      <c r="E1069" s="10"/>
      <c r="F1069" s="10"/>
      <c r="G1069" s="8" t="e">
        <f>VLOOKUP(Tabela8[[#This Row],[Cód.]],CENTRAL[#All],9,0)</f>
        <v>#REF!</v>
      </c>
    </row>
    <row r="1070" spans="1:7" x14ac:dyDescent="0.25">
      <c r="A1070">
        <v>200006758</v>
      </c>
      <c r="B1070" t="s">
        <v>912</v>
      </c>
      <c r="C1070" t="s">
        <v>294</v>
      </c>
      <c r="D1070" s="10" t="e">
        <f>VLOOKUP(Tabela8[[#This Row],[Cód.]],#REF!,7,0)</f>
        <v>#REF!</v>
      </c>
      <c r="E1070" s="10"/>
      <c r="F1070" s="10"/>
      <c r="G1070" s="8" t="e">
        <f>VLOOKUP(Tabela8[[#This Row],[Cód.]],CENTRAL[#All],9,0)</f>
        <v>#REF!</v>
      </c>
    </row>
    <row r="1071" spans="1:7" ht="15.75" thickBot="1" x14ac:dyDescent="0.3">
      <c r="A1071">
        <v>200003316</v>
      </c>
      <c r="B1071" t="s">
        <v>913</v>
      </c>
      <c r="C1071" t="s">
        <v>910</v>
      </c>
      <c r="D1071" s="10" t="e">
        <f>VLOOKUP(Tabela8[[#This Row],[Cód.]],#REF!,7,0)</f>
        <v>#REF!</v>
      </c>
      <c r="E1071" s="10"/>
      <c r="F1071" s="10"/>
      <c r="G1071" s="8" t="e">
        <f>VLOOKUP(Tabela8[[#This Row],[Cód.]],CENTRAL[#All],9,0)</f>
        <v>#REF!</v>
      </c>
    </row>
    <row r="1072" spans="1:7" ht="16.5" thickTop="1" thickBot="1" x14ac:dyDescent="0.3">
      <c r="A1072">
        <v>200002038</v>
      </c>
      <c r="B1072" t="s">
        <v>915</v>
      </c>
      <c r="C1072" t="s">
        <v>9</v>
      </c>
      <c r="D1072" s="10" t="e">
        <f>VLOOKUP(Tabela8[[#This Row],[Cód.]],#REF!,7,0)</f>
        <v>#REF!</v>
      </c>
      <c r="E1072" s="9"/>
      <c r="F1072" s="10"/>
      <c r="G1072" s="8" t="e">
        <f>VLOOKUP(Tabela8[[#This Row],[Cód.]],CENTRAL[#All],9,0)</f>
        <v>#REF!</v>
      </c>
    </row>
    <row r="1073" spans="1:7" ht="15.75" thickTop="1" x14ac:dyDescent="0.25">
      <c r="A1073">
        <v>200002039</v>
      </c>
      <c r="B1073" t="s">
        <v>916</v>
      </c>
      <c r="C1073" t="s">
        <v>9</v>
      </c>
      <c r="D1073" s="10" t="e">
        <f>VLOOKUP(Tabela8[[#This Row],[Cód.]],#REF!,7,0)</f>
        <v>#REF!</v>
      </c>
      <c r="E1073" s="9"/>
      <c r="F1073" s="10"/>
      <c r="G1073" s="8" t="e">
        <f>VLOOKUP(Tabela8[[#This Row],[Cód.]],CENTRAL[#All],9,0)</f>
        <v>#REF!</v>
      </c>
    </row>
    <row r="1074" spans="1:7" ht="15.75" thickBot="1" x14ac:dyDescent="0.3">
      <c r="A1074">
        <v>200002037</v>
      </c>
      <c r="B1074" t="s">
        <v>917</v>
      </c>
      <c r="C1074" t="s">
        <v>9</v>
      </c>
      <c r="D1074" s="10" t="e">
        <f>VLOOKUP(Tabela8[[#This Row],[Cód.]],#REF!,7,0)</f>
        <v>#REF!</v>
      </c>
      <c r="E1074" s="10"/>
      <c r="F1074" s="10"/>
      <c r="G1074" s="8" t="e">
        <f>VLOOKUP(Tabela8[[#This Row],[Cód.]],CENTRAL[#All],9,0)</f>
        <v>#REF!</v>
      </c>
    </row>
    <row r="1075" spans="1:7" ht="16.5" thickTop="1" thickBot="1" x14ac:dyDescent="0.3">
      <c r="A1075">
        <v>200002025</v>
      </c>
      <c r="B1075" t="s">
        <v>918</v>
      </c>
      <c r="C1075" t="s">
        <v>9</v>
      </c>
      <c r="D1075" s="10" t="e">
        <f>VLOOKUP(Tabela8[[#This Row],[Cód.]],#REF!,7,0)</f>
        <v>#REF!</v>
      </c>
      <c r="E1075" s="9"/>
      <c r="F1075" s="10"/>
      <c r="G1075" s="8" t="e">
        <f>VLOOKUP(Tabela8[[#This Row],[Cód.]],CENTRAL[#All],9,0)</f>
        <v>#REF!</v>
      </c>
    </row>
    <row r="1076" spans="1:7" ht="16.5" thickTop="1" thickBot="1" x14ac:dyDescent="0.3">
      <c r="A1076">
        <v>200002031</v>
      </c>
      <c r="B1076" t="s">
        <v>919</v>
      </c>
      <c r="C1076" t="s">
        <v>9</v>
      </c>
      <c r="D1076" s="10" t="e">
        <f>VLOOKUP(Tabela8[[#This Row],[Cód.]],#REF!,7,0)</f>
        <v>#REF!</v>
      </c>
      <c r="E1076" s="9"/>
      <c r="F1076" s="10"/>
      <c r="G1076" s="8" t="e">
        <f>VLOOKUP(Tabela8[[#This Row],[Cód.]],CENTRAL[#All],9,0)</f>
        <v>#REF!</v>
      </c>
    </row>
    <row r="1077" spans="1:7" ht="16.5" thickTop="1" thickBot="1" x14ac:dyDescent="0.3">
      <c r="A1077">
        <v>200002821</v>
      </c>
      <c r="B1077" t="s">
        <v>920</v>
      </c>
      <c r="C1077" t="s">
        <v>9</v>
      </c>
      <c r="D1077" s="10" t="e">
        <f>VLOOKUP(Tabela8[[#This Row],[Cód.]],#REF!,7,0)</f>
        <v>#REF!</v>
      </c>
      <c r="E1077" s="9"/>
      <c r="F1077" s="10"/>
      <c r="G1077" s="8" t="e">
        <f>VLOOKUP(Tabela8[[#This Row],[Cód.]],CENTRAL[#All],9,0)</f>
        <v>#REF!</v>
      </c>
    </row>
    <row r="1078" spans="1:7" ht="16.5" thickTop="1" thickBot="1" x14ac:dyDescent="0.3">
      <c r="A1078">
        <v>200002023</v>
      </c>
      <c r="B1078" t="s">
        <v>921</v>
      </c>
      <c r="C1078" t="s">
        <v>9</v>
      </c>
      <c r="D1078" s="10" t="e">
        <f>VLOOKUP(Tabela8[[#This Row],[Cód.]],#REF!,7,0)</f>
        <v>#REF!</v>
      </c>
      <c r="E1078" s="9"/>
      <c r="F1078" s="10"/>
      <c r="G1078" s="8" t="e">
        <f>VLOOKUP(Tabela8[[#This Row],[Cód.]],CENTRAL[#All],9,0)</f>
        <v>#REF!</v>
      </c>
    </row>
    <row r="1079" spans="1:7" ht="16.5" thickTop="1" thickBot="1" x14ac:dyDescent="0.3">
      <c r="A1079">
        <v>200003662</v>
      </c>
      <c r="B1079" t="s">
        <v>922</v>
      </c>
      <c r="C1079" t="s">
        <v>9</v>
      </c>
      <c r="D1079" s="10" t="e">
        <f>VLOOKUP(Tabela8[[#This Row],[Cód.]],#REF!,7,0)</f>
        <v>#REF!</v>
      </c>
      <c r="E1079" s="9"/>
      <c r="F1079" s="10"/>
      <c r="G1079" s="8" t="e">
        <f>VLOOKUP(Tabela8[[#This Row],[Cód.]],CENTRAL[#All],9,0)</f>
        <v>#REF!</v>
      </c>
    </row>
    <row r="1080" spans="1:7" ht="16.5" thickTop="1" thickBot="1" x14ac:dyDescent="0.3">
      <c r="A1080">
        <v>200003663</v>
      </c>
      <c r="B1080" t="s">
        <v>923</v>
      </c>
      <c r="C1080" t="s">
        <v>9</v>
      </c>
      <c r="D1080" s="10" t="e">
        <f>VLOOKUP(Tabela8[[#This Row],[Cód.]],#REF!,7,0)</f>
        <v>#REF!</v>
      </c>
      <c r="E1080" s="9"/>
      <c r="F1080" s="10"/>
      <c r="G1080" s="8" t="e">
        <f>VLOOKUP(Tabela8[[#This Row],[Cód.]],CENTRAL[#All],9,0)</f>
        <v>#REF!</v>
      </c>
    </row>
    <row r="1081" spans="1:7" ht="16.5" thickTop="1" thickBot="1" x14ac:dyDescent="0.3">
      <c r="A1081">
        <v>200001037</v>
      </c>
      <c r="B1081" t="s">
        <v>924</v>
      </c>
      <c r="C1081" t="s">
        <v>9</v>
      </c>
      <c r="D1081" s="10" t="e">
        <f>VLOOKUP(Tabela8[[#This Row],[Cód.]],#REF!,7,0)</f>
        <v>#REF!</v>
      </c>
      <c r="E1081" s="9"/>
      <c r="F1081" s="10"/>
      <c r="G1081" s="8" t="e">
        <f>VLOOKUP(Tabela8[[#This Row],[Cód.]],CENTRAL[#All],9,0)</f>
        <v>#REF!</v>
      </c>
    </row>
    <row r="1082" spans="1:7" ht="16.5" thickTop="1" thickBot="1" x14ac:dyDescent="0.3">
      <c r="A1082">
        <v>200003664</v>
      </c>
      <c r="B1082" t="s">
        <v>925</v>
      </c>
      <c r="C1082" t="s">
        <v>9</v>
      </c>
      <c r="D1082" s="10" t="e">
        <f>VLOOKUP(Tabela8[[#This Row],[Cód.]],#REF!,7,0)</f>
        <v>#REF!</v>
      </c>
      <c r="E1082" s="9"/>
      <c r="F1082" s="10"/>
      <c r="G1082" s="8" t="e">
        <f>VLOOKUP(Tabela8[[#This Row],[Cód.]],CENTRAL[#All],9,0)</f>
        <v>#REF!</v>
      </c>
    </row>
    <row r="1083" spans="1:7" ht="16.5" thickTop="1" thickBot="1" x14ac:dyDescent="0.3">
      <c r="A1083">
        <v>200001038</v>
      </c>
      <c r="B1083" t="s">
        <v>926</v>
      </c>
      <c r="C1083" t="s">
        <v>9</v>
      </c>
      <c r="D1083" s="10" t="e">
        <f>VLOOKUP(Tabela8[[#This Row],[Cód.]],#REF!,7,0)</f>
        <v>#REF!</v>
      </c>
      <c r="E1083" s="9"/>
      <c r="F1083" s="10"/>
      <c r="G1083" s="8" t="e">
        <f>VLOOKUP(Tabela8[[#This Row],[Cód.]],CENTRAL[#All],9,0)</f>
        <v>#REF!</v>
      </c>
    </row>
    <row r="1084" spans="1:7" ht="16.5" thickTop="1" thickBot="1" x14ac:dyDescent="0.3">
      <c r="A1084">
        <v>200001038</v>
      </c>
      <c r="B1084" t="s">
        <v>926</v>
      </c>
      <c r="C1084" t="s">
        <v>9</v>
      </c>
      <c r="D1084" s="10" t="e">
        <f>VLOOKUP(Tabela8[[#This Row],[Cód.]],#REF!,7,0)</f>
        <v>#REF!</v>
      </c>
      <c r="E1084" s="9"/>
      <c r="F1084" s="10"/>
      <c r="G1084" s="8" t="e">
        <f>VLOOKUP(Tabela8[[#This Row],[Cód.]],CENTRAL[#All],9,0)</f>
        <v>#REF!</v>
      </c>
    </row>
    <row r="1085" spans="1:7" ht="15.75" thickTop="1" x14ac:dyDescent="0.25">
      <c r="A1085">
        <v>200002028</v>
      </c>
      <c r="B1085" t="s">
        <v>927</v>
      </c>
      <c r="C1085" t="s">
        <v>9</v>
      </c>
      <c r="D1085" s="10" t="e">
        <f>VLOOKUP(Tabela8[[#This Row],[Cód.]],#REF!,7,0)</f>
        <v>#REF!</v>
      </c>
      <c r="E1085" s="9"/>
      <c r="F1085" s="10"/>
      <c r="G1085" s="8" t="e">
        <f>VLOOKUP(Tabela8[[#This Row],[Cód.]],CENTRAL[#All],9,0)</f>
        <v>#REF!</v>
      </c>
    </row>
    <row r="1086" spans="1:7" ht="15.75" thickBot="1" x14ac:dyDescent="0.3">
      <c r="A1086">
        <v>200002036</v>
      </c>
      <c r="B1086" t="s">
        <v>935</v>
      </c>
      <c r="C1086" t="s">
        <v>9</v>
      </c>
      <c r="D1086" s="10" t="e">
        <f>VLOOKUP(Tabela8[[#This Row],[Cód.]],#REF!,7,0)</f>
        <v>#REF!</v>
      </c>
      <c r="E1086" s="10"/>
      <c r="F1086" s="10"/>
      <c r="G1086" s="8" t="e">
        <f>VLOOKUP(Tabela8[[#This Row],[Cód.]],CENTRAL[#All],9,0)</f>
        <v>#REF!</v>
      </c>
    </row>
    <row r="1087" spans="1:7" ht="16.5" thickTop="1" thickBot="1" x14ac:dyDescent="0.3">
      <c r="A1087">
        <v>200000641</v>
      </c>
      <c r="B1087" t="s">
        <v>937</v>
      </c>
      <c r="C1087" t="s">
        <v>9</v>
      </c>
      <c r="D1087" s="10" t="e">
        <f>VLOOKUP(Tabela8[[#This Row],[Cód.]],#REF!,7,0)</f>
        <v>#REF!</v>
      </c>
      <c r="E1087" s="9"/>
      <c r="F1087" s="10"/>
      <c r="G1087" s="8" t="e">
        <f>VLOOKUP(Tabela8[[#This Row],[Cód.]],CENTRAL[#All],9,0)</f>
        <v>#REF!</v>
      </c>
    </row>
    <row r="1088" spans="1:7" ht="16.5" thickTop="1" thickBot="1" x14ac:dyDescent="0.3">
      <c r="A1088">
        <v>200004890</v>
      </c>
      <c r="B1088" t="s">
        <v>940</v>
      </c>
      <c r="C1088" t="s">
        <v>9</v>
      </c>
      <c r="D1088" s="10" t="e">
        <f>VLOOKUP(Tabela8[[#This Row],[Cód.]],#REF!,7,0)</f>
        <v>#REF!</v>
      </c>
      <c r="E1088" s="9"/>
      <c r="F1088" s="10"/>
      <c r="G1088" s="8" t="e">
        <f>VLOOKUP(Tabela8[[#This Row],[Cód.]],CENTRAL[#All],9,0)</f>
        <v>#REF!</v>
      </c>
    </row>
    <row r="1089" spans="1:7" ht="15.75" thickTop="1" x14ac:dyDescent="0.25">
      <c r="A1089">
        <v>200006320</v>
      </c>
      <c r="B1089" t="s">
        <v>941</v>
      </c>
      <c r="C1089" t="s">
        <v>294</v>
      </c>
      <c r="D1089" s="10" t="e">
        <f>VLOOKUP(Tabela8[[#This Row],[Cód.]],#REF!,7,0)</f>
        <v>#REF!</v>
      </c>
      <c r="E1089" s="9"/>
      <c r="F1089" s="10"/>
      <c r="G1089" s="8" t="e">
        <f>VLOOKUP(Tabela8[[#This Row],[Cód.]],CENTRAL[#All],9,0)</f>
        <v>#REF!</v>
      </c>
    </row>
    <row r="1090" spans="1:7" ht="15.75" thickBot="1" x14ac:dyDescent="0.3">
      <c r="A1090">
        <v>200005511</v>
      </c>
      <c r="B1090" t="s">
        <v>942</v>
      </c>
      <c r="C1090" t="s">
        <v>9</v>
      </c>
      <c r="D1090" s="10" t="e">
        <f>VLOOKUP(Tabela8[[#This Row],[Cód.]],#REF!,7,0)</f>
        <v>#REF!</v>
      </c>
      <c r="E1090" s="10"/>
      <c r="F1090" s="10"/>
      <c r="G1090" s="8" t="e">
        <f>VLOOKUP(Tabela8[[#This Row],[Cód.]],CENTRAL[#All],9,0)</f>
        <v>#REF!</v>
      </c>
    </row>
    <row r="1091" spans="1:7" ht="16.5" thickTop="1" thickBot="1" x14ac:dyDescent="0.3">
      <c r="A1091">
        <v>200005408</v>
      </c>
      <c r="B1091" t="s">
        <v>943</v>
      </c>
      <c r="C1091" t="s">
        <v>9</v>
      </c>
      <c r="D1091" s="10" t="e">
        <f>VLOOKUP(Tabela8[[#This Row],[Cód.]],#REF!,7,0)</f>
        <v>#REF!</v>
      </c>
      <c r="E1091" s="9"/>
      <c r="F1091" s="10"/>
      <c r="G1091" s="8" t="e">
        <f>VLOOKUP(Tabela8[[#This Row],[Cód.]],CENTRAL[#All],9,0)</f>
        <v>#REF!</v>
      </c>
    </row>
    <row r="1092" spans="1:7" ht="16.5" thickTop="1" thickBot="1" x14ac:dyDescent="0.3">
      <c r="A1092">
        <v>200005432</v>
      </c>
      <c r="B1092" t="s">
        <v>946</v>
      </c>
      <c r="C1092" t="s">
        <v>9</v>
      </c>
      <c r="D1092" s="10" t="e">
        <f>VLOOKUP(Tabela8[[#This Row],[Cód.]],#REF!,7,0)</f>
        <v>#REF!</v>
      </c>
      <c r="E1092" s="9"/>
      <c r="F1092" s="10"/>
      <c r="G1092" s="8" t="e">
        <f>VLOOKUP(Tabela8[[#This Row],[Cód.]],CENTRAL[#All],9,0)</f>
        <v>#REF!</v>
      </c>
    </row>
    <row r="1093" spans="1:7" ht="16.5" thickTop="1" thickBot="1" x14ac:dyDescent="0.3">
      <c r="A1093">
        <v>200005407</v>
      </c>
      <c r="B1093" t="s">
        <v>948</v>
      </c>
      <c r="C1093" t="s">
        <v>9</v>
      </c>
      <c r="D1093" s="10" t="e">
        <f>VLOOKUP(Tabela8[[#This Row],[Cód.]],#REF!,7,0)</f>
        <v>#REF!</v>
      </c>
      <c r="E1093" s="9"/>
      <c r="F1093" s="10"/>
      <c r="G1093" s="8" t="e">
        <f>VLOOKUP(Tabela8[[#This Row],[Cód.]],CENTRAL[#All],9,0)</f>
        <v>#REF!</v>
      </c>
    </row>
    <row r="1094" spans="1:7" ht="16.5" thickTop="1" thickBot="1" x14ac:dyDescent="0.3">
      <c r="A1094">
        <v>200004088</v>
      </c>
      <c r="B1094" t="s">
        <v>949</v>
      </c>
      <c r="C1094" t="s">
        <v>9</v>
      </c>
      <c r="D1094" s="10" t="e">
        <f>VLOOKUP(Tabela8[[#This Row],[Cód.]],#REF!,7,0)</f>
        <v>#REF!</v>
      </c>
      <c r="E1094" s="9"/>
      <c r="F1094" s="10"/>
      <c r="G1094" s="8" t="e">
        <f>VLOOKUP(Tabela8[[#This Row],[Cód.]],CENTRAL[#All],9,0)</f>
        <v>#REF!</v>
      </c>
    </row>
    <row r="1095" spans="1:7" ht="16.5" thickTop="1" thickBot="1" x14ac:dyDescent="0.3">
      <c r="A1095">
        <v>200006575</v>
      </c>
      <c r="B1095" t="s">
        <v>950</v>
      </c>
      <c r="C1095" t="s">
        <v>108</v>
      </c>
      <c r="D1095" s="10" t="e">
        <f>VLOOKUP(Tabela8[[#This Row],[Cód.]],#REF!,7,0)</f>
        <v>#REF!</v>
      </c>
      <c r="E1095" s="9"/>
      <c r="F1095" s="10"/>
      <c r="G1095" s="8" t="e">
        <f>VLOOKUP(Tabela8[[#This Row],[Cód.]],CENTRAL[#All],9,0)</f>
        <v>#REF!</v>
      </c>
    </row>
    <row r="1096" spans="1:7" ht="16.5" thickTop="1" thickBot="1" x14ac:dyDescent="0.3">
      <c r="A1096">
        <v>200004232</v>
      </c>
      <c r="B1096" t="s">
        <v>951</v>
      </c>
      <c r="C1096" t="s">
        <v>9</v>
      </c>
      <c r="D1096" s="10" t="e">
        <f>VLOOKUP(Tabela8[[#This Row],[Cód.]],#REF!,7,0)</f>
        <v>#REF!</v>
      </c>
      <c r="E1096" s="9"/>
      <c r="F1096" s="10"/>
      <c r="G1096" s="8" t="e">
        <f>VLOOKUP(Tabela8[[#This Row],[Cód.]],CENTRAL[#All],9,0)</f>
        <v>#REF!</v>
      </c>
    </row>
    <row r="1097" spans="1:7" ht="16.5" thickTop="1" thickBot="1" x14ac:dyDescent="0.3">
      <c r="A1097">
        <v>200005226</v>
      </c>
      <c r="B1097" t="s">
        <v>952</v>
      </c>
      <c r="C1097" t="s">
        <v>9</v>
      </c>
      <c r="D1097" s="10" t="e">
        <f>VLOOKUP(Tabela8[[#This Row],[Cód.]],#REF!,7,0)</f>
        <v>#REF!</v>
      </c>
      <c r="E1097" s="9"/>
      <c r="F1097" s="10"/>
      <c r="G1097" s="8" t="e">
        <f>VLOOKUP(Tabela8[[#This Row],[Cód.]],CENTRAL[#All],9,0)</f>
        <v>#REF!</v>
      </c>
    </row>
    <row r="1098" spans="1:7" ht="16.5" thickTop="1" thickBot="1" x14ac:dyDescent="0.3">
      <c r="A1098">
        <v>200006842</v>
      </c>
      <c r="B1098" t="s">
        <v>953</v>
      </c>
      <c r="C1098" t="s">
        <v>63</v>
      </c>
      <c r="D1098" s="10" t="e">
        <f>VLOOKUP(Tabela8[[#This Row],[Cód.]],#REF!,7,0)</f>
        <v>#REF!</v>
      </c>
      <c r="E1098" s="9"/>
      <c r="F1098" s="10"/>
      <c r="G1098" s="8" t="e">
        <f>VLOOKUP(Tabela8[[#This Row],[Cód.]],CENTRAL[#All],9,0)</f>
        <v>#REF!</v>
      </c>
    </row>
    <row r="1099" spans="1:7" ht="16.5" thickTop="1" thickBot="1" x14ac:dyDescent="0.3">
      <c r="A1099">
        <v>200006843</v>
      </c>
      <c r="B1099" t="s">
        <v>954</v>
      </c>
      <c r="C1099" t="s">
        <v>63</v>
      </c>
      <c r="D1099" s="10" t="e">
        <f>VLOOKUP(Tabela8[[#This Row],[Cód.]],#REF!,7,0)</f>
        <v>#REF!</v>
      </c>
      <c r="E1099" s="9"/>
      <c r="F1099" s="10"/>
      <c r="G1099" s="8" t="e">
        <f>VLOOKUP(Tabela8[[#This Row],[Cód.]],CENTRAL[#All],9,0)</f>
        <v>#REF!</v>
      </c>
    </row>
    <row r="1100" spans="1:7" ht="16.5" thickTop="1" thickBot="1" x14ac:dyDescent="0.3">
      <c r="A1100">
        <v>200006844</v>
      </c>
      <c r="B1100" t="s">
        <v>955</v>
      </c>
      <c r="C1100" t="s">
        <v>63</v>
      </c>
      <c r="D1100" s="10" t="e">
        <f>VLOOKUP(Tabela8[[#This Row],[Cód.]],#REF!,7,0)</f>
        <v>#REF!</v>
      </c>
      <c r="E1100" s="9"/>
      <c r="F1100" s="10"/>
      <c r="G1100" s="8" t="e">
        <f>VLOOKUP(Tabela8[[#This Row],[Cód.]],CENTRAL[#All],9,0)</f>
        <v>#REF!</v>
      </c>
    </row>
    <row r="1101" spans="1:7" ht="16.5" thickTop="1" thickBot="1" x14ac:dyDescent="0.3">
      <c r="A1101">
        <v>200000650</v>
      </c>
      <c r="B1101" t="s">
        <v>956</v>
      </c>
      <c r="C1101" t="s">
        <v>67</v>
      </c>
      <c r="D1101" s="10" t="e">
        <f>VLOOKUP(Tabela8[[#This Row],[Cód.]],#REF!,7,0)</f>
        <v>#REF!</v>
      </c>
      <c r="E1101" s="9"/>
      <c r="F1101" s="10"/>
      <c r="G1101" s="10" t="e">
        <f>VLOOKUP(Tabela8[[#This Row],[Cód.]],CENTRAL[#All],9,0)</f>
        <v>#REF!</v>
      </c>
    </row>
    <row r="1102" spans="1:7" ht="16.5" thickTop="1" thickBot="1" x14ac:dyDescent="0.3">
      <c r="A1102">
        <v>200006324</v>
      </c>
      <c r="B1102" t="s">
        <v>957</v>
      </c>
      <c r="C1102" t="s">
        <v>67</v>
      </c>
      <c r="D1102" s="10" t="e">
        <f>VLOOKUP(Tabela8[[#This Row],[Cód.]],#REF!,7,0)</f>
        <v>#REF!</v>
      </c>
      <c r="E1102" s="9"/>
      <c r="F1102" s="10"/>
      <c r="G1102" s="10" t="e">
        <f>VLOOKUP(Tabela8[[#This Row],[Cód.]],CENTRAL[#All],9,0)</f>
        <v>#REF!</v>
      </c>
    </row>
    <row r="1103" spans="1:7" ht="16.5" thickTop="1" thickBot="1" x14ac:dyDescent="0.3">
      <c r="A1103">
        <v>200000649</v>
      </c>
      <c r="B1103" t="s">
        <v>958</v>
      </c>
      <c r="C1103" t="s">
        <v>67</v>
      </c>
      <c r="D1103" s="10" t="e">
        <f>VLOOKUP(Tabela8[[#This Row],[Cód.]],#REF!,7,0)</f>
        <v>#REF!</v>
      </c>
      <c r="E1103" s="9"/>
      <c r="F1103" s="10"/>
      <c r="G1103" s="10" t="e">
        <f>VLOOKUP(Tabela8[[#This Row],[Cód.]],CENTRAL[#All],9,0)</f>
        <v>#REF!</v>
      </c>
    </row>
    <row r="1104" spans="1:7" ht="16.5" thickTop="1" thickBot="1" x14ac:dyDescent="0.3">
      <c r="A1104">
        <v>200001091</v>
      </c>
      <c r="B1104" t="s">
        <v>959</v>
      </c>
      <c r="C1104" t="s">
        <v>63</v>
      </c>
      <c r="D1104" s="10" t="e">
        <f>VLOOKUP(Tabela8[[#This Row],[Cód.]],#REF!,7,0)</f>
        <v>#REF!</v>
      </c>
      <c r="E1104" s="9"/>
      <c r="F1104" s="10"/>
      <c r="G1104" s="10" t="e">
        <f>VLOOKUP(Tabela8[[#This Row],[Cód.]],CENTRAL[#All],9,0)</f>
        <v>#REF!</v>
      </c>
    </row>
    <row r="1105" spans="1:7" ht="16.5" thickTop="1" thickBot="1" x14ac:dyDescent="0.3">
      <c r="A1105">
        <v>200000661</v>
      </c>
      <c r="B1105" t="s">
        <v>960</v>
      </c>
      <c r="C1105" t="s">
        <v>67</v>
      </c>
      <c r="D1105" s="10" t="e">
        <f>VLOOKUP(Tabela8[[#This Row],[Cód.]],#REF!,7,0)</f>
        <v>#REF!</v>
      </c>
      <c r="E1105" s="9"/>
      <c r="F1105" s="10"/>
      <c r="G1105" s="10" t="e">
        <f>VLOOKUP(Tabela8[[#This Row],[Cód.]],CENTRAL[#All],9,0)</f>
        <v>#REF!</v>
      </c>
    </row>
    <row r="1106" spans="1:7" ht="16.5" thickTop="1" thickBot="1" x14ac:dyDescent="0.3">
      <c r="A1106">
        <v>200000662</v>
      </c>
      <c r="B1106" t="s">
        <v>962</v>
      </c>
      <c r="C1106" t="s">
        <v>67</v>
      </c>
      <c r="D1106" s="10" t="e">
        <f>VLOOKUP(Tabela8[[#This Row],[Cód.]],#REF!,7,0)</f>
        <v>#REF!</v>
      </c>
      <c r="E1106" s="9"/>
      <c r="F1106" s="10"/>
      <c r="G1106" s="10" t="e">
        <f>VLOOKUP(Tabela8[[#This Row],[Cód.]],CENTRAL[#All],9,0)</f>
        <v>#REF!</v>
      </c>
    </row>
    <row r="1107" spans="1:7" ht="16.5" thickTop="1" thickBot="1" x14ac:dyDescent="0.3">
      <c r="A1107">
        <v>200006329</v>
      </c>
      <c r="B1107" t="s">
        <v>964</v>
      </c>
      <c r="C1107" t="s">
        <v>9</v>
      </c>
      <c r="D1107" s="10" t="e">
        <f>VLOOKUP(Tabela8[[#This Row],[Cód.]],#REF!,7,0)</f>
        <v>#REF!</v>
      </c>
      <c r="E1107" s="9"/>
      <c r="F1107" s="10"/>
      <c r="G1107" s="10" t="e">
        <f>VLOOKUP(Tabela8[[#This Row],[Cód.]],CENTRAL[#All],9,0)</f>
        <v>#REF!</v>
      </c>
    </row>
    <row r="1108" spans="1:7" ht="16.5" thickTop="1" thickBot="1" x14ac:dyDescent="0.3">
      <c r="A1108">
        <v>200000663</v>
      </c>
      <c r="B1108" t="s">
        <v>965</v>
      </c>
      <c r="C1108" t="s">
        <v>67</v>
      </c>
      <c r="D1108" s="10" t="e">
        <f>VLOOKUP(Tabela8[[#This Row],[Cód.]],#REF!,7,0)</f>
        <v>#REF!</v>
      </c>
      <c r="E1108" s="9"/>
      <c r="F1108" s="10"/>
      <c r="G1108" s="10" t="e">
        <f>VLOOKUP(Tabela8[[#This Row],[Cód.]],CENTRAL[#All],9,0)</f>
        <v>#REF!</v>
      </c>
    </row>
    <row r="1109" spans="1:7" ht="16.5" thickTop="1" thickBot="1" x14ac:dyDescent="0.3">
      <c r="A1109">
        <v>200000664</v>
      </c>
      <c r="B1109" t="s">
        <v>967</v>
      </c>
      <c r="C1109" t="s">
        <v>67</v>
      </c>
      <c r="D1109" s="10" t="e">
        <f>VLOOKUP(Tabela8[[#This Row],[Cód.]],#REF!,7,0)</f>
        <v>#REF!</v>
      </c>
      <c r="E1109" s="9"/>
      <c r="F1109" s="10"/>
      <c r="G1109" s="10" t="e">
        <f>VLOOKUP(Tabela8[[#This Row],[Cód.]],CENTRAL[#All],9,0)</f>
        <v>#REF!</v>
      </c>
    </row>
    <row r="1110" spans="1:7" ht="16.5" thickTop="1" thickBot="1" x14ac:dyDescent="0.3">
      <c r="A1110">
        <v>200001092</v>
      </c>
      <c r="B1110" t="s">
        <v>968</v>
      </c>
      <c r="C1110" t="s">
        <v>63</v>
      </c>
      <c r="D1110" s="10" t="e">
        <f>VLOOKUP(Tabela8[[#This Row],[Cód.]],#REF!,7,0)</f>
        <v>#REF!</v>
      </c>
      <c r="E1110" s="9"/>
      <c r="F1110" s="10"/>
      <c r="G1110" s="10" t="e">
        <f>VLOOKUP(Tabela8[[#This Row],[Cód.]],CENTRAL[#All],9,0)</f>
        <v>#REF!</v>
      </c>
    </row>
    <row r="1111" spans="1:7" ht="16.5" thickTop="1" thickBot="1" x14ac:dyDescent="0.3">
      <c r="A1111">
        <v>200003809</v>
      </c>
      <c r="B1111" t="s">
        <v>969</v>
      </c>
      <c r="C1111" t="s">
        <v>63</v>
      </c>
      <c r="D1111" s="10" t="e">
        <f>VLOOKUP(Tabela8[[#This Row],[Cód.]],#REF!,7,0)</f>
        <v>#REF!</v>
      </c>
      <c r="E1111" s="9"/>
      <c r="F1111" s="10"/>
      <c r="G1111" s="10" t="e">
        <f>VLOOKUP(Tabela8[[#This Row],[Cód.]],CENTRAL[#All],9,0)</f>
        <v>#REF!</v>
      </c>
    </row>
    <row r="1112" spans="1:7" ht="16.5" thickTop="1" thickBot="1" x14ac:dyDescent="0.3">
      <c r="A1112">
        <v>200004190</v>
      </c>
      <c r="B1112" t="s">
        <v>970</v>
      </c>
      <c r="C1112" t="s">
        <v>63</v>
      </c>
      <c r="D1112" s="10" t="e">
        <f>VLOOKUP(Tabela8[[#This Row],[Cód.]],#REF!,7,0)</f>
        <v>#REF!</v>
      </c>
      <c r="E1112" s="9"/>
      <c r="F1112" s="10"/>
      <c r="G1112" s="10" t="e">
        <f>VLOOKUP(Tabela8[[#This Row],[Cód.]],CENTRAL[#All],9,0)</f>
        <v>#REF!</v>
      </c>
    </row>
    <row r="1113" spans="1:7" ht="16.5" thickTop="1" thickBot="1" x14ac:dyDescent="0.3">
      <c r="A1113">
        <v>200001601</v>
      </c>
      <c r="B1113" t="s">
        <v>975</v>
      </c>
      <c r="C1113" t="s">
        <v>63</v>
      </c>
      <c r="D1113" s="10" t="e">
        <f>VLOOKUP(Tabela8[[#This Row],[Cód.]],#REF!,7,0)</f>
        <v>#REF!</v>
      </c>
      <c r="E1113" s="9"/>
      <c r="F1113" s="10"/>
      <c r="G1113" s="10" t="e">
        <f>VLOOKUP(Tabela8[[#This Row],[Cód.]],CENTRAL[#All],9,0)</f>
        <v>#REF!</v>
      </c>
    </row>
    <row r="1114" spans="1:7" ht="16.5" thickTop="1" thickBot="1" x14ac:dyDescent="0.3">
      <c r="A1114">
        <v>200001215</v>
      </c>
      <c r="B1114" t="s">
        <v>976</v>
      </c>
      <c r="C1114" t="s">
        <v>63</v>
      </c>
      <c r="D1114" s="10" t="e">
        <f>VLOOKUP(Tabela8[[#This Row],[Cód.]],#REF!,7,0)</f>
        <v>#REF!</v>
      </c>
      <c r="E1114" s="9"/>
      <c r="F1114" s="10"/>
      <c r="G1114" s="10" t="e">
        <f>VLOOKUP(Tabela8[[#This Row],[Cód.]],CENTRAL[#All],9,0)</f>
        <v>#REF!</v>
      </c>
    </row>
    <row r="1115" spans="1:7" ht="16.5" thickTop="1" thickBot="1" x14ac:dyDescent="0.3">
      <c r="A1115">
        <v>200001214</v>
      </c>
      <c r="B1115" t="s">
        <v>977</v>
      </c>
      <c r="C1115" t="s">
        <v>63</v>
      </c>
      <c r="D1115" s="10" t="e">
        <f>VLOOKUP(Tabela8[[#This Row],[Cód.]],#REF!,7,0)</f>
        <v>#REF!</v>
      </c>
      <c r="E1115" s="9"/>
      <c r="F1115" s="10"/>
      <c r="G1115" s="10" t="e">
        <f>VLOOKUP(Tabela8[[#This Row],[Cód.]],CENTRAL[#All],9,0)</f>
        <v>#REF!</v>
      </c>
    </row>
    <row r="1116" spans="1:7" ht="16.5" thickTop="1" thickBot="1" x14ac:dyDescent="0.3">
      <c r="A1116">
        <v>200001213</v>
      </c>
      <c r="B1116" t="s">
        <v>978</v>
      </c>
      <c r="C1116" t="s">
        <v>63</v>
      </c>
      <c r="D1116" s="10" t="e">
        <f>VLOOKUP(Tabela8[[#This Row],[Cód.]],#REF!,7,0)</f>
        <v>#REF!</v>
      </c>
      <c r="E1116" s="9"/>
      <c r="F1116" s="10"/>
      <c r="G1116" s="10" t="e">
        <f>VLOOKUP(Tabela8[[#This Row],[Cód.]],CENTRAL[#All],9,0)</f>
        <v>#REF!</v>
      </c>
    </row>
    <row r="1117" spans="1:7" ht="16.5" thickTop="1" thickBot="1" x14ac:dyDescent="0.3">
      <c r="A1117">
        <v>200001212</v>
      </c>
      <c r="B1117" t="s">
        <v>979</v>
      </c>
      <c r="C1117" t="s">
        <v>63</v>
      </c>
      <c r="D1117" s="10" t="e">
        <f>VLOOKUP(Tabela8[[#This Row],[Cód.]],#REF!,7,0)</f>
        <v>#REF!</v>
      </c>
      <c r="E1117" s="9"/>
      <c r="F1117" s="10"/>
      <c r="G1117" s="10" t="e">
        <f>VLOOKUP(Tabela8[[#This Row],[Cód.]],CENTRAL[#All],9,0)</f>
        <v>#REF!</v>
      </c>
    </row>
    <row r="1118" spans="1:7" ht="16.5" thickTop="1" thickBot="1" x14ac:dyDescent="0.3">
      <c r="A1118">
        <v>200004148</v>
      </c>
      <c r="B1118" t="s">
        <v>980</v>
      </c>
      <c r="C1118" t="s">
        <v>9</v>
      </c>
      <c r="D1118" s="10" t="e">
        <f>VLOOKUP(Tabela8[[#This Row],[Cód.]],#REF!,7,0)</f>
        <v>#REF!</v>
      </c>
      <c r="E1118" s="9"/>
      <c r="F1118" s="10"/>
      <c r="G1118" s="10" t="e">
        <f>VLOOKUP(Tabela8[[#This Row],[Cód.]],CENTRAL[#All],9,0)</f>
        <v>#REF!</v>
      </c>
    </row>
    <row r="1119" spans="1:7" ht="16.5" thickTop="1" thickBot="1" x14ac:dyDescent="0.3">
      <c r="A1119">
        <v>200005525</v>
      </c>
      <c r="B1119" t="s">
        <v>981</v>
      </c>
      <c r="C1119" t="s">
        <v>9</v>
      </c>
      <c r="D1119" s="10" t="e">
        <f>VLOOKUP(Tabela8[[#This Row],[Cód.]],#REF!,7,0)</f>
        <v>#REF!</v>
      </c>
      <c r="E1119" s="9"/>
      <c r="F1119" s="10"/>
      <c r="G1119" s="10" t="e">
        <f>VLOOKUP(Tabela8[[#This Row],[Cód.]],CENTRAL[#All],9,0)</f>
        <v>#REF!</v>
      </c>
    </row>
    <row r="1120" spans="1:7" ht="16.5" thickTop="1" thickBot="1" x14ac:dyDescent="0.3">
      <c r="A1120">
        <v>200004147</v>
      </c>
      <c r="B1120" t="s">
        <v>982</v>
      </c>
      <c r="C1120" t="s">
        <v>67</v>
      </c>
      <c r="D1120" s="10" t="e">
        <f>VLOOKUP(Tabela8[[#This Row],[Cód.]],#REF!,7,0)</f>
        <v>#REF!</v>
      </c>
      <c r="E1120" s="9"/>
      <c r="F1120" s="10"/>
      <c r="G1120" s="10" t="e">
        <f>VLOOKUP(Tabela8[[#This Row],[Cód.]],CENTRAL[#All],9,0)</f>
        <v>#REF!</v>
      </c>
    </row>
    <row r="1121" spans="1:7" ht="16.5" thickTop="1" thickBot="1" x14ac:dyDescent="0.3">
      <c r="A1121">
        <v>200003940</v>
      </c>
      <c r="B1121" t="s">
        <v>983</v>
      </c>
      <c r="C1121" t="s">
        <v>63</v>
      </c>
      <c r="D1121" s="10" t="e">
        <f>VLOOKUP(Tabela8[[#This Row],[Cód.]],#REF!,7,0)</f>
        <v>#REF!</v>
      </c>
      <c r="E1121" s="9"/>
      <c r="F1121" s="10"/>
      <c r="G1121" s="10" t="e">
        <f>VLOOKUP(Tabela8[[#This Row],[Cód.]],CENTRAL[#All],9,0)</f>
        <v>#REF!</v>
      </c>
    </row>
    <row r="1122" spans="1:7" ht="16.5" thickTop="1" thickBot="1" x14ac:dyDescent="0.3">
      <c r="A1122">
        <v>200002718</v>
      </c>
      <c r="B1122" t="s">
        <v>987</v>
      </c>
      <c r="C1122" t="s">
        <v>63</v>
      </c>
      <c r="D1122" s="10" t="e">
        <f>VLOOKUP(Tabela8[[#This Row],[Cód.]],#REF!,7,0)</f>
        <v>#REF!</v>
      </c>
      <c r="E1122" s="9"/>
      <c r="F1122" s="10"/>
      <c r="G1122" s="10" t="e">
        <f>VLOOKUP(Tabela8[[#This Row],[Cód.]],CENTRAL[#All],9,0)</f>
        <v>#REF!</v>
      </c>
    </row>
    <row r="1123" spans="1:7" ht="16.5" thickTop="1" thickBot="1" x14ac:dyDescent="0.3">
      <c r="A1123">
        <v>200002719</v>
      </c>
      <c r="B1123" t="s">
        <v>988</v>
      </c>
      <c r="C1123" t="s">
        <v>63</v>
      </c>
      <c r="D1123" s="10" t="e">
        <f>VLOOKUP(Tabela8[[#This Row],[Cód.]],#REF!,7,0)</f>
        <v>#REF!</v>
      </c>
      <c r="E1123" s="9"/>
      <c r="F1123" s="10"/>
      <c r="G1123" s="10" t="e">
        <f>VLOOKUP(Tabela8[[#This Row],[Cód.]],CENTRAL[#All],9,0)</f>
        <v>#REF!</v>
      </c>
    </row>
    <row r="1124" spans="1:7" ht="16.5" thickTop="1" thickBot="1" x14ac:dyDescent="0.3">
      <c r="A1124">
        <v>200001621</v>
      </c>
      <c r="B1124" t="s">
        <v>990</v>
      </c>
      <c r="C1124" t="s">
        <v>63</v>
      </c>
      <c r="D1124" s="10" t="e">
        <f>VLOOKUP(Tabela8[[#This Row],[Cód.]],#REF!,7,0)</f>
        <v>#REF!</v>
      </c>
      <c r="E1124" s="9"/>
      <c r="F1124" s="10"/>
      <c r="G1124" s="10" t="e">
        <f>VLOOKUP(Tabela8[[#This Row],[Cód.]],CENTRAL[#All],9,0)</f>
        <v>#REF!</v>
      </c>
    </row>
    <row r="1125" spans="1:7" ht="16.5" thickTop="1" thickBot="1" x14ac:dyDescent="0.3">
      <c r="A1125">
        <v>200001622</v>
      </c>
      <c r="B1125" t="s">
        <v>993</v>
      </c>
      <c r="C1125" t="s">
        <v>63</v>
      </c>
      <c r="D1125" s="10" t="e">
        <f>VLOOKUP(Tabela8[[#This Row],[Cód.]],#REF!,7,0)</f>
        <v>#REF!</v>
      </c>
      <c r="E1125" s="9"/>
      <c r="F1125" s="10"/>
      <c r="G1125" s="10" t="e">
        <f>VLOOKUP(Tabela8[[#This Row],[Cód.]],CENTRAL[#All],9,0)</f>
        <v>#REF!</v>
      </c>
    </row>
    <row r="1126" spans="1:7" ht="16.5" thickTop="1" thickBot="1" x14ac:dyDescent="0.3">
      <c r="A1126">
        <v>200001094</v>
      </c>
      <c r="B1126" t="s">
        <v>996</v>
      </c>
      <c r="C1126" t="s">
        <v>63</v>
      </c>
      <c r="D1126" s="10" t="e">
        <f>VLOOKUP(Tabela8[[#This Row],[Cód.]],#REF!,7,0)</f>
        <v>#REF!</v>
      </c>
      <c r="E1126" s="9"/>
      <c r="F1126" s="10"/>
      <c r="G1126" s="10" t="e">
        <f>VLOOKUP(Tabela8[[#This Row],[Cód.]],CENTRAL[#All],9,0)</f>
        <v>#REF!</v>
      </c>
    </row>
    <row r="1127" spans="1:7" ht="16.5" thickTop="1" thickBot="1" x14ac:dyDescent="0.3">
      <c r="A1127">
        <v>200005790</v>
      </c>
      <c r="B1127" t="s">
        <v>997</v>
      </c>
      <c r="C1127" t="s">
        <v>9</v>
      </c>
      <c r="D1127" s="10" t="e">
        <f>VLOOKUP(Tabela8[[#This Row],[Cód.]],#REF!,7,0)</f>
        <v>#REF!</v>
      </c>
      <c r="E1127" s="9"/>
      <c r="F1127" s="10"/>
      <c r="G1127" s="10" t="e">
        <f>VLOOKUP(Tabela8[[#This Row],[Cód.]],CENTRAL[#All],9,0)</f>
        <v>#REF!</v>
      </c>
    </row>
    <row r="1128" spans="1:7" ht="16.5" thickTop="1" thickBot="1" x14ac:dyDescent="0.3">
      <c r="A1128">
        <v>200005464</v>
      </c>
      <c r="B1128" t="s">
        <v>999</v>
      </c>
      <c r="C1128" t="s">
        <v>9</v>
      </c>
      <c r="D1128" s="10" t="e">
        <f>VLOOKUP(Tabela8[[#This Row],[Cód.]],#REF!,7,0)</f>
        <v>#REF!</v>
      </c>
      <c r="E1128" s="9"/>
      <c r="F1128" s="10"/>
      <c r="G1128" s="10" t="e">
        <f>VLOOKUP(Tabela8[[#This Row],[Cód.]],CENTRAL[#All],9,0)</f>
        <v>#REF!</v>
      </c>
    </row>
    <row r="1129" spans="1:7" ht="16.5" thickTop="1" thickBot="1" x14ac:dyDescent="0.3">
      <c r="A1129">
        <v>200003535</v>
      </c>
      <c r="B1129" t="s">
        <v>1000</v>
      </c>
      <c r="C1129" t="s">
        <v>9</v>
      </c>
      <c r="D1129" s="10" t="e">
        <f>VLOOKUP(Tabela8[[#This Row],[Cód.]],#REF!,7,0)</f>
        <v>#REF!</v>
      </c>
      <c r="E1129" s="9"/>
      <c r="F1129" s="10"/>
      <c r="G1129" s="10" t="e">
        <f>VLOOKUP(Tabela8[[#This Row],[Cód.]],CENTRAL[#All],9,0)</f>
        <v>#REF!</v>
      </c>
    </row>
    <row r="1130" spans="1:7" ht="16.5" thickTop="1" thickBot="1" x14ac:dyDescent="0.3">
      <c r="A1130">
        <v>200002823</v>
      </c>
      <c r="B1130" t="s">
        <v>1004</v>
      </c>
      <c r="C1130" t="s">
        <v>9</v>
      </c>
      <c r="D1130" s="10" t="e">
        <f>VLOOKUP(Tabela8[[#This Row],[Cód.]],#REF!,7,0)</f>
        <v>#REF!</v>
      </c>
      <c r="E1130" s="9"/>
      <c r="F1130" s="10"/>
      <c r="G1130" s="10" t="e">
        <f>VLOOKUP(Tabela8[[#This Row],[Cód.]],CENTRAL[#All],9,0)</f>
        <v>#REF!</v>
      </c>
    </row>
    <row r="1131" spans="1:7" ht="16.5" thickTop="1" thickBot="1" x14ac:dyDescent="0.3">
      <c r="A1131">
        <v>200002822</v>
      </c>
      <c r="B1131" t="s">
        <v>1005</v>
      </c>
      <c r="C1131" t="s">
        <v>9</v>
      </c>
      <c r="D1131" s="10" t="e">
        <f>VLOOKUP(Tabela8[[#This Row],[Cód.]],#REF!,7,0)</f>
        <v>#REF!</v>
      </c>
      <c r="E1131" s="9"/>
      <c r="F1131" s="10"/>
      <c r="G1131" s="10" t="e">
        <f>VLOOKUP(Tabela8[[#This Row],[Cód.]],CENTRAL[#All],9,0)</f>
        <v>#REF!</v>
      </c>
    </row>
    <row r="1132" spans="1:7" ht="16.5" thickTop="1" thickBot="1" x14ac:dyDescent="0.3">
      <c r="A1132">
        <v>200006036</v>
      </c>
      <c r="B1132" t="s">
        <v>1006</v>
      </c>
      <c r="C1132" t="s">
        <v>9</v>
      </c>
      <c r="D1132" s="10" t="e">
        <f>VLOOKUP(Tabela8[[#This Row],[Cód.]],#REF!,7,0)</f>
        <v>#REF!</v>
      </c>
      <c r="E1132" s="9"/>
      <c r="F1132" s="10"/>
      <c r="G1132" s="10" t="e">
        <f>VLOOKUP(Tabela8[[#This Row],[Cód.]],CENTRAL[#All],9,0)</f>
        <v>#REF!</v>
      </c>
    </row>
    <row r="1133" spans="1:7" ht="16.5" thickTop="1" thickBot="1" x14ac:dyDescent="0.3">
      <c r="A1133">
        <v>200006037</v>
      </c>
      <c r="B1133" t="s">
        <v>1012</v>
      </c>
      <c r="C1133" t="s">
        <v>9</v>
      </c>
      <c r="D1133" s="10" t="e">
        <f>VLOOKUP(Tabela8[[#This Row],[Cód.]],#REF!,7,0)</f>
        <v>#REF!</v>
      </c>
      <c r="E1133" s="9"/>
      <c r="F1133" s="10"/>
      <c r="G1133" s="10" t="e">
        <f>VLOOKUP(Tabela8[[#This Row],[Cód.]],CENTRAL[#All],9,0)</f>
        <v>#REF!</v>
      </c>
    </row>
    <row r="1134" spans="1:7" ht="16.5" thickTop="1" thickBot="1" x14ac:dyDescent="0.3">
      <c r="A1134">
        <v>200007034</v>
      </c>
      <c r="B1134" t="s">
        <v>1013</v>
      </c>
      <c r="C1134" t="s">
        <v>9</v>
      </c>
      <c r="D1134" s="10" t="e">
        <f>VLOOKUP(Tabela8[[#This Row],[Cód.]],#REF!,7,0)</f>
        <v>#REF!</v>
      </c>
      <c r="E1134" s="9"/>
      <c r="F1134" s="10"/>
      <c r="G1134" s="10" t="e">
        <f>VLOOKUP(Tabela8[[#This Row],[Cód.]],CENTRAL[#All],9,0)</f>
        <v>#REF!</v>
      </c>
    </row>
    <row r="1135" spans="1:7" ht="16.5" thickTop="1" thickBot="1" x14ac:dyDescent="0.3">
      <c r="A1135">
        <v>200001582</v>
      </c>
      <c r="B1135" t="s">
        <v>1015</v>
      </c>
      <c r="C1135" t="s">
        <v>9</v>
      </c>
      <c r="D1135" s="10" t="e">
        <f>VLOOKUP(Tabela8[[#This Row],[Cód.]],#REF!,7,0)</f>
        <v>#REF!</v>
      </c>
      <c r="E1135" s="9"/>
      <c r="F1135" s="10"/>
      <c r="G1135" s="10" t="e">
        <f>VLOOKUP(Tabela8[[#This Row],[Cód.]],CENTRAL[#All],9,0)</f>
        <v>#REF!</v>
      </c>
    </row>
    <row r="1136" spans="1:7" ht="16.5" thickTop="1" thickBot="1" x14ac:dyDescent="0.3">
      <c r="A1136">
        <v>200001581</v>
      </c>
      <c r="B1136" t="s">
        <v>1016</v>
      </c>
      <c r="C1136" t="s">
        <v>9</v>
      </c>
      <c r="D1136" s="10" t="e">
        <f>VLOOKUP(Tabela8[[#This Row],[Cód.]],#REF!,7,0)</f>
        <v>#REF!</v>
      </c>
      <c r="E1136" s="9"/>
      <c r="F1136" s="10"/>
      <c r="G1136" s="10" t="e">
        <f>VLOOKUP(Tabela8[[#This Row],[Cód.]],CENTRAL[#All],9,0)</f>
        <v>#REF!</v>
      </c>
    </row>
    <row r="1137" spans="1:7" ht="16.5" thickTop="1" thickBot="1" x14ac:dyDescent="0.3">
      <c r="A1137">
        <v>200002223</v>
      </c>
      <c r="B1137" t="s">
        <v>1017</v>
      </c>
      <c r="C1137" t="s">
        <v>9</v>
      </c>
      <c r="D1137" s="10" t="e">
        <f>VLOOKUP(Tabela8[[#This Row],[Cód.]],#REF!,7,0)</f>
        <v>#REF!</v>
      </c>
      <c r="E1137" s="9"/>
      <c r="F1137" s="10"/>
      <c r="G1137" s="10" t="e">
        <f>VLOOKUP(Tabela8[[#This Row],[Cód.]],CENTRAL[#All],9,0)</f>
        <v>#REF!</v>
      </c>
    </row>
    <row r="1138" spans="1:7" ht="16.5" thickTop="1" thickBot="1" x14ac:dyDescent="0.3">
      <c r="A1138">
        <v>200002225</v>
      </c>
      <c r="B1138" t="s">
        <v>1018</v>
      </c>
      <c r="C1138" t="s">
        <v>9</v>
      </c>
      <c r="D1138" s="10" t="e">
        <f>VLOOKUP(Tabela8[[#This Row],[Cód.]],#REF!,7,0)</f>
        <v>#REF!</v>
      </c>
      <c r="E1138" s="9"/>
      <c r="F1138" s="10"/>
      <c r="G1138" s="10" t="e">
        <f>VLOOKUP(Tabela8[[#This Row],[Cód.]],CENTRAL[#All],9,0)</f>
        <v>#REF!</v>
      </c>
    </row>
    <row r="1139" spans="1:7" ht="16.5" thickTop="1" thickBot="1" x14ac:dyDescent="0.3">
      <c r="A1139">
        <v>200001042</v>
      </c>
      <c r="B1139" t="s">
        <v>1019</v>
      </c>
      <c r="C1139" t="s">
        <v>9</v>
      </c>
      <c r="D1139" s="10" t="e">
        <f>VLOOKUP(Tabela8[[#This Row],[Cód.]],#REF!,7,0)</f>
        <v>#REF!</v>
      </c>
      <c r="E1139" s="9"/>
      <c r="F1139" s="10"/>
      <c r="G1139" s="10" t="e">
        <f>VLOOKUP(Tabela8[[#This Row],[Cód.]],CENTRAL[#All],9,0)</f>
        <v>#REF!</v>
      </c>
    </row>
    <row r="1140" spans="1:7" ht="16.5" thickTop="1" thickBot="1" x14ac:dyDescent="0.3">
      <c r="A1140">
        <v>200006426</v>
      </c>
      <c r="B1140" t="s">
        <v>1020</v>
      </c>
      <c r="C1140" t="s">
        <v>9</v>
      </c>
      <c r="D1140" s="10" t="e">
        <f>VLOOKUP(Tabela8[[#This Row],[Cód.]],#REF!,7,0)</f>
        <v>#REF!</v>
      </c>
      <c r="E1140" s="9"/>
      <c r="F1140" s="10"/>
      <c r="G1140" s="10" t="e">
        <f>VLOOKUP(Tabela8[[#This Row],[Cód.]],CENTRAL[#All],9,0)</f>
        <v>#REF!</v>
      </c>
    </row>
    <row r="1141" spans="1:7" ht="16.5" thickTop="1" thickBot="1" x14ac:dyDescent="0.3">
      <c r="A1141">
        <v>200002221</v>
      </c>
      <c r="B1141" t="s">
        <v>1021</v>
      </c>
      <c r="C1141" t="s">
        <v>9</v>
      </c>
      <c r="D1141" s="10" t="e">
        <f>VLOOKUP(Tabela8[[#This Row],[Cód.]],#REF!,7,0)</f>
        <v>#REF!</v>
      </c>
      <c r="E1141" s="9"/>
      <c r="F1141" s="10"/>
      <c r="G1141" s="10" t="e">
        <f>VLOOKUP(Tabela8[[#This Row],[Cód.]],CENTRAL[#All],9,0)</f>
        <v>#REF!</v>
      </c>
    </row>
    <row r="1142" spans="1:7" ht="16.5" thickTop="1" thickBot="1" x14ac:dyDescent="0.3">
      <c r="A1142">
        <v>200000677</v>
      </c>
      <c r="B1142" t="s">
        <v>1022</v>
      </c>
      <c r="C1142" t="s">
        <v>9</v>
      </c>
      <c r="D1142" s="10" t="e">
        <f>VLOOKUP(Tabela8[[#This Row],[Cód.]],#REF!,7,0)</f>
        <v>#REF!</v>
      </c>
      <c r="E1142" s="9"/>
      <c r="F1142" s="10"/>
      <c r="G1142" s="10" t="e">
        <f>VLOOKUP(Tabela8[[#This Row],[Cód.]],CENTRAL[#All],9,0)</f>
        <v>#REF!</v>
      </c>
    </row>
    <row r="1143" spans="1:7" ht="16.5" thickTop="1" thickBot="1" x14ac:dyDescent="0.3">
      <c r="A1143">
        <v>200000678</v>
      </c>
      <c r="B1143" t="s">
        <v>1023</v>
      </c>
      <c r="C1143" t="s">
        <v>9</v>
      </c>
      <c r="D1143" s="10" t="e">
        <f>VLOOKUP(Tabela8[[#This Row],[Cód.]],#REF!,7,0)</f>
        <v>#REF!</v>
      </c>
      <c r="E1143" s="9"/>
      <c r="F1143" s="10"/>
      <c r="G1143" s="10" t="e">
        <f>VLOOKUP(Tabela8[[#This Row],[Cód.]],CENTRAL[#All],9,0)</f>
        <v>#REF!</v>
      </c>
    </row>
    <row r="1144" spans="1:7" ht="16.5" thickTop="1" thickBot="1" x14ac:dyDescent="0.3">
      <c r="A1144">
        <v>200000679</v>
      </c>
      <c r="B1144" t="s">
        <v>1024</v>
      </c>
      <c r="C1144" t="s">
        <v>9</v>
      </c>
      <c r="D1144" s="10" t="e">
        <f>VLOOKUP(Tabela8[[#This Row],[Cód.]],#REF!,7,0)</f>
        <v>#REF!</v>
      </c>
      <c r="E1144" s="9"/>
      <c r="F1144" s="10"/>
      <c r="G1144" s="10" t="e">
        <f>VLOOKUP(Tabela8[[#This Row],[Cód.]],CENTRAL[#All],9,0)</f>
        <v>#REF!</v>
      </c>
    </row>
    <row r="1145" spans="1:7" ht="16.5" thickTop="1" thickBot="1" x14ac:dyDescent="0.3">
      <c r="A1145">
        <v>200001583</v>
      </c>
      <c r="B1145" t="s">
        <v>1025</v>
      </c>
      <c r="C1145" t="s">
        <v>9</v>
      </c>
      <c r="D1145" s="10" t="e">
        <f>VLOOKUP(Tabela8[[#This Row],[Cód.]],#REF!,7,0)</f>
        <v>#REF!</v>
      </c>
      <c r="E1145" s="9"/>
      <c r="F1145" s="10"/>
      <c r="G1145" s="10" t="e">
        <f>VLOOKUP(Tabela8[[#This Row],[Cód.]],CENTRAL[#All],9,0)</f>
        <v>#REF!</v>
      </c>
    </row>
    <row r="1146" spans="1:7" ht="16.5" thickTop="1" thickBot="1" x14ac:dyDescent="0.3">
      <c r="A1146">
        <v>200002222</v>
      </c>
      <c r="B1146" t="s">
        <v>1027</v>
      </c>
      <c r="C1146" t="s">
        <v>9</v>
      </c>
      <c r="D1146" s="10" t="e">
        <f>VLOOKUP(Tabela8[[#This Row],[Cód.]],#REF!,7,0)</f>
        <v>#REF!</v>
      </c>
      <c r="E1146" s="9"/>
      <c r="F1146" s="10"/>
      <c r="G1146" s="10" t="e">
        <f>VLOOKUP(Tabela8[[#This Row],[Cód.]],CENTRAL[#All],9,0)</f>
        <v>#REF!</v>
      </c>
    </row>
    <row r="1147" spans="1:7" ht="16.5" thickTop="1" thickBot="1" x14ac:dyDescent="0.3">
      <c r="A1147">
        <v>200005992</v>
      </c>
      <c r="B1147" t="s">
        <v>1028</v>
      </c>
      <c r="C1147" t="s">
        <v>9</v>
      </c>
      <c r="D1147" s="10" t="e">
        <f>VLOOKUP(Tabela8[[#This Row],[Cód.]],#REF!,7,0)</f>
        <v>#REF!</v>
      </c>
      <c r="E1147" s="9"/>
      <c r="F1147" s="10"/>
      <c r="G1147" s="10" t="e">
        <f>VLOOKUP(Tabela8[[#This Row],[Cód.]],CENTRAL[#All],9,0)</f>
        <v>#REF!</v>
      </c>
    </row>
    <row r="1148" spans="1:7" ht="16.5" thickTop="1" thickBot="1" x14ac:dyDescent="0.3">
      <c r="A1148">
        <v>200004314</v>
      </c>
      <c r="B1148" t="s">
        <v>1032</v>
      </c>
      <c r="C1148" t="s">
        <v>9</v>
      </c>
      <c r="D1148" s="10" t="e">
        <f>VLOOKUP(Tabela8[[#This Row],[Cód.]],#REF!,7,0)</f>
        <v>#REF!</v>
      </c>
      <c r="E1148" s="9"/>
      <c r="F1148" s="10"/>
      <c r="G1148" s="10" t="e">
        <f>VLOOKUP(Tabela8[[#This Row],[Cód.]],CENTRAL[#All],9,0)</f>
        <v>#REF!</v>
      </c>
    </row>
    <row r="1149" spans="1:7" ht="16.5" thickTop="1" thickBot="1" x14ac:dyDescent="0.3">
      <c r="A1149">
        <v>200000681</v>
      </c>
      <c r="B1149" t="s">
        <v>1034</v>
      </c>
      <c r="C1149" t="s">
        <v>9</v>
      </c>
      <c r="D1149" s="10" t="e">
        <f>VLOOKUP(Tabela8[[#This Row],[Cód.]],#REF!,7,0)</f>
        <v>#REF!</v>
      </c>
      <c r="E1149" s="9"/>
      <c r="F1149" s="10"/>
      <c r="G1149" s="10" t="e">
        <f>VLOOKUP(Tabela8[[#This Row],[Cód.]],CENTRAL[#All],9,0)</f>
        <v>#REF!</v>
      </c>
    </row>
    <row r="1150" spans="1:7" ht="16.5" thickTop="1" thickBot="1" x14ac:dyDescent="0.3">
      <c r="A1150">
        <v>200000684</v>
      </c>
      <c r="B1150" t="s">
        <v>1037</v>
      </c>
      <c r="C1150" t="s">
        <v>9</v>
      </c>
      <c r="D1150" s="10" t="e">
        <f>VLOOKUP(Tabela8[[#This Row],[Cód.]],#REF!,7,0)</f>
        <v>#REF!</v>
      </c>
      <c r="E1150" s="9"/>
      <c r="F1150" s="10"/>
      <c r="G1150" s="10" t="e">
        <f>VLOOKUP(Tabela8[[#This Row],[Cód.]],CENTRAL[#All],9,0)</f>
        <v>#REF!</v>
      </c>
    </row>
    <row r="1151" spans="1:7" ht="16.5" thickTop="1" thickBot="1" x14ac:dyDescent="0.3">
      <c r="A1151">
        <v>200006399</v>
      </c>
      <c r="B1151" t="s">
        <v>1038</v>
      </c>
      <c r="C1151" t="s">
        <v>9</v>
      </c>
      <c r="D1151" s="10" t="e">
        <f>VLOOKUP(Tabela8[[#This Row],[Cód.]],#REF!,7,0)</f>
        <v>#REF!</v>
      </c>
      <c r="E1151" s="9"/>
      <c r="F1151" s="10"/>
      <c r="G1151" s="10" t="e">
        <f>VLOOKUP(Tabela8[[#This Row],[Cód.]],CENTRAL[#All],9,0)</f>
        <v>#REF!</v>
      </c>
    </row>
    <row r="1152" spans="1:7" ht="16.5" thickTop="1" thickBot="1" x14ac:dyDescent="0.3">
      <c r="A1152">
        <v>200004671</v>
      </c>
      <c r="B1152" t="s">
        <v>1039</v>
      </c>
      <c r="C1152" t="s">
        <v>9</v>
      </c>
      <c r="D1152" s="10" t="e">
        <f>VLOOKUP(Tabela8[[#This Row],[Cód.]],#REF!,7,0)</f>
        <v>#REF!</v>
      </c>
      <c r="E1152" s="9"/>
      <c r="F1152" s="10"/>
      <c r="G1152" s="10" t="e">
        <f>VLOOKUP(Tabela8[[#This Row],[Cód.]],CENTRAL[#All],9,0)</f>
        <v>#REF!</v>
      </c>
    </row>
    <row r="1153" spans="1:7" ht="16.5" thickTop="1" thickBot="1" x14ac:dyDescent="0.3">
      <c r="A1153">
        <v>200000685</v>
      </c>
      <c r="B1153" t="s">
        <v>1040</v>
      </c>
      <c r="C1153" t="s">
        <v>9</v>
      </c>
      <c r="D1153" s="10" t="e">
        <f>VLOOKUP(Tabela8[[#This Row],[Cód.]],#REF!,7,0)</f>
        <v>#REF!</v>
      </c>
      <c r="E1153" s="9"/>
      <c r="F1153" s="10"/>
      <c r="G1153" s="10" t="e">
        <f>VLOOKUP(Tabela8[[#This Row],[Cód.]],CENTRAL[#All],9,0)</f>
        <v>#REF!</v>
      </c>
    </row>
    <row r="1154" spans="1:7" ht="16.5" thickTop="1" thickBot="1" x14ac:dyDescent="0.3">
      <c r="A1154">
        <v>200003533</v>
      </c>
      <c r="B1154" t="s">
        <v>1044</v>
      </c>
      <c r="C1154" t="s">
        <v>9</v>
      </c>
      <c r="D1154" s="10" t="e">
        <f>VLOOKUP(Tabela8[[#This Row],[Cód.]],#REF!,7,0)</f>
        <v>#REF!</v>
      </c>
      <c r="E1154" s="9"/>
      <c r="F1154" s="10"/>
      <c r="G1154" s="10" t="e">
        <f>VLOOKUP(Tabela8[[#This Row],[Cód.]],CENTRAL[#All],9,0)</f>
        <v>#REF!</v>
      </c>
    </row>
    <row r="1155" spans="1:7" ht="16.5" thickTop="1" thickBot="1" x14ac:dyDescent="0.3">
      <c r="A1155">
        <v>200000695</v>
      </c>
      <c r="B1155" t="s">
        <v>1046</v>
      </c>
      <c r="C1155" t="s">
        <v>9</v>
      </c>
      <c r="D1155" s="10" t="e">
        <f>VLOOKUP(Tabela8[[#This Row],[Cód.]],#REF!,7,0)</f>
        <v>#REF!</v>
      </c>
      <c r="E1155" s="9"/>
      <c r="F1155" s="10"/>
      <c r="G1155" s="10" t="e">
        <f>VLOOKUP(Tabela8[[#This Row],[Cód.]],CENTRAL[#All],9,0)</f>
        <v>#REF!</v>
      </c>
    </row>
    <row r="1156" spans="1:7" ht="16.5" thickTop="1" thickBot="1" x14ac:dyDescent="0.3">
      <c r="A1156">
        <v>200000696</v>
      </c>
      <c r="B1156" t="s">
        <v>1047</v>
      </c>
      <c r="C1156" t="s">
        <v>9</v>
      </c>
      <c r="D1156" s="10" t="e">
        <f>VLOOKUP(Tabela8[[#This Row],[Cód.]],#REF!,7,0)</f>
        <v>#REF!</v>
      </c>
      <c r="E1156" s="9"/>
      <c r="F1156" s="10"/>
      <c r="G1156" s="10" t="e">
        <f>VLOOKUP(Tabela8[[#This Row],[Cód.]],CENTRAL[#All],9,0)</f>
        <v>#REF!</v>
      </c>
    </row>
    <row r="1157" spans="1:7" ht="16.5" thickTop="1" thickBot="1" x14ac:dyDescent="0.3">
      <c r="A1157">
        <v>200003666</v>
      </c>
      <c r="B1157" t="s">
        <v>1049</v>
      </c>
      <c r="C1157" t="s">
        <v>9</v>
      </c>
      <c r="D1157" s="10" t="e">
        <f>VLOOKUP(Tabela8[[#This Row],[Cód.]],#REF!,7,0)</f>
        <v>#REF!</v>
      </c>
      <c r="E1157" s="9"/>
      <c r="F1157" s="10"/>
      <c r="G1157" s="10" t="e">
        <f>VLOOKUP(Tabela8[[#This Row],[Cód.]],CENTRAL[#All],9,0)</f>
        <v>#REF!</v>
      </c>
    </row>
    <row r="1158" spans="1:7" ht="16.5" thickTop="1" thickBot="1" x14ac:dyDescent="0.3">
      <c r="A1158">
        <v>200003667</v>
      </c>
      <c r="B1158" t="s">
        <v>1050</v>
      </c>
      <c r="C1158" t="s">
        <v>9</v>
      </c>
      <c r="D1158" s="10" t="e">
        <f>VLOOKUP(Tabela8[[#This Row],[Cód.]],#REF!,7,0)</f>
        <v>#REF!</v>
      </c>
      <c r="E1158" s="9"/>
      <c r="F1158" s="10"/>
      <c r="G1158" s="10" t="e">
        <f>VLOOKUP(Tabela8[[#This Row],[Cód.]],CENTRAL[#All],9,0)</f>
        <v>#REF!</v>
      </c>
    </row>
    <row r="1159" spans="1:7" ht="16.5" thickTop="1" thickBot="1" x14ac:dyDescent="0.3">
      <c r="A1159">
        <v>200003669</v>
      </c>
      <c r="B1159" t="s">
        <v>1052</v>
      </c>
      <c r="C1159" t="s">
        <v>9</v>
      </c>
      <c r="D1159" s="10" t="e">
        <f>VLOOKUP(Tabela8[[#This Row],[Cód.]],#REF!,7,0)</f>
        <v>#REF!</v>
      </c>
      <c r="E1159" s="9"/>
      <c r="F1159" s="10"/>
      <c r="G1159" s="10" t="e">
        <f>VLOOKUP(Tabela8[[#This Row],[Cód.]],CENTRAL[#All],9,0)</f>
        <v>#REF!</v>
      </c>
    </row>
    <row r="1160" spans="1:7" ht="16.5" thickTop="1" thickBot="1" x14ac:dyDescent="0.3">
      <c r="A1160">
        <v>200000697</v>
      </c>
      <c r="B1160" t="s">
        <v>1059</v>
      </c>
      <c r="C1160" t="s">
        <v>9</v>
      </c>
      <c r="D1160" s="10" t="e">
        <f>VLOOKUP(Tabela8[[#This Row],[Cód.]],#REF!,7,0)</f>
        <v>#REF!</v>
      </c>
      <c r="E1160" s="9"/>
      <c r="F1160" s="10"/>
      <c r="G1160" s="10" t="e">
        <f>VLOOKUP(Tabela8[[#This Row],[Cód.]],CENTRAL[#All],9,0)</f>
        <v>#REF!</v>
      </c>
    </row>
    <row r="1161" spans="1:7" ht="16.5" thickTop="1" thickBot="1" x14ac:dyDescent="0.3">
      <c r="A1161">
        <v>200003581</v>
      </c>
      <c r="B1161" t="s">
        <v>1062</v>
      </c>
      <c r="C1161" t="s">
        <v>9</v>
      </c>
      <c r="D1161" s="10" t="e">
        <f>VLOOKUP(Tabela8[[#This Row],[Cód.]],#REF!,7,0)</f>
        <v>#REF!</v>
      </c>
      <c r="E1161" s="9"/>
      <c r="F1161" s="10"/>
      <c r="G1161" s="10" t="e">
        <f>VLOOKUP(Tabela8[[#This Row],[Cód.]],CENTRAL[#All],9,0)</f>
        <v>#REF!</v>
      </c>
    </row>
    <row r="1162" spans="1:7" ht="16.5" thickTop="1" thickBot="1" x14ac:dyDescent="0.3">
      <c r="A1162">
        <v>200001587</v>
      </c>
      <c r="B1162" t="s">
        <v>1064</v>
      </c>
      <c r="C1162" t="s">
        <v>9</v>
      </c>
      <c r="D1162" s="10" t="e">
        <f>VLOOKUP(Tabela8[[#This Row],[Cód.]],#REF!,7,0)</f>
        <v>#REF!</v>
      </c>
      <c r="E1162" s="9"/>
      <c r="F1162" s="10"/>
      <c r="G1162" s="10" t="e">
        <f>VLOOKUP(Tabela8[[#This Row],[Cód.]],CENTRAL[#All],9,0)</f>
        <v>#REF!</v>
      </c>
    </row>
    <row r="1163" spans="1:7" ht="16.5" thickTop="1" thickBot="1" x14ac:dyDescent="0.3">
      <c r="A1163">
        <v>200001584</v>
      </c>
      <c r="B1163" t="s">
        <v>1066</v>
      </c>
      <c r="C1163" t="s">
        <v>9</v>
      </c>
      <c r="D1163" s="10" t="e">
        <f>VLOOKUP(Tabela8[[#This Row],[Cód.]],#REF!,7,0)</f>
        <v>#REF!</v>
      </c>
      <c r="E1163" s="9"/>
      <c r="F1163" s="10"/>
      <c r="G1163" s="10" t="e">
        <f>VLOOKUP(Tabela8[[#This Row],[Cód.]],CENTRAL[#All],9,0)</f>
        <v>#REF!</v>
      </c>
    </row>
    <row r="1164" spans="1:7" ht="16.5" thickTop="1" thickBot="1" x14ac:dyDescent="0.3">
      <c r="A1164">
        <v>200001044</v>
      </c>
      <c r="B1164" t="s">
        <v>1067</v>
      </c>
      <c r="C1164" t="s">
        <v>9</v>
      </c>
      <c r="D1164" s="10" t="e">
        <f>VLOOKUP(Tabela8[[#This Row],[Cód.]],#REF!,7,0)</f>
        <v>#REF!</v>
      </c>
      <c r="E1164" s="9"/>
      <c r="F1164" s="10"/>
      <c r="G1164" s="10" t="e">
        <f>VLOOKUP(Tabela8[[#This Row],[Cód.]],CENTRAL[#All],9,0)</f>
        <v>#REF!</v>
      </c>
    </row>
    <row r="1165" spans="1:7" ht="16.5" thickTop="1" thickBot="1" x14ac:dyDescent="0.3">
      <c r="A1165">
        <v>200001045</v>
      </c>
      <c r="B1165" t="s">
        <v>1068</v>
      </c>
      <c r="C1165" t="s">
        <v>9</v>
      </c>
      <c r="D1165" s="10" t="e">
        <f>VLOOKUP(Tabela8[[#This Row],[Cód.]],#REF!,7,0)</f>
        <v>#REF!</v>
      </c>
      <c r="E1165" s="9"/>
      <c r="F1165" s="10"/>
      <c r="G1165" s="10" t="e">
        <f>VLOOKUP(Tabela8[[#This Row],[Cód.]],CENTRAL[#All],9,0)</f>
        <v>#REF!</v>
      </c>
    </row>
    <row r="1166" spans="1:7" ht="16.5" thickTop="1" thickBot="1" x14ac:dyDescent="0.3">
      <c r="A1166">
        <v>200006410</v>
      </c>
      <c r="B1166" t="s">
        <v>1070</v>
      </c>
      <c r="C1166" t="s">
        <v>9</v>
      </c>
      <c r="D1166" s="10" t="e">
        <f>VLOOKUP(Tabela8[[#This Row],[Cód.]],#REF!,7,0)</f>
        <v>#REF!</v>
      </c>
      <c r="E1166" s="9"/>
      <c r="F1166" s="10"/>
      <c r="G1166" s="10" t="e">
        <f>VLOOKUP(Tabela8[[#This Row],[Cód.]],CENTRAL[#All],9,0)</f>
        <v>#REF!</v>
      </c>
    </row>
    <row r="1167" spans="1:7" ht="16.5" thickTop="1" thickBot="1" x14ac:dyDescent="0.3">
      <c r="A1167">
        <v>200005430</v>
      </c>
      <c r="B1167" t="s">
        <v>1071</v>
      </c>
      <c r="C1167" t="s">
        <v>9</v>
      </c>
      <c r="D1167" s="10" t="e">
        <f>VLOOKUP(Tabela8[[#This Row],[Cód.]],#REF!,7,0)</f>
        <v>#REF!</v>
      </c>
      <c r="E1167" s="9"/>
      <c r="F1167" s="10"/>
      <c r="G1167" s="10" t="e">
        <f>VLOOKUP(Tabela8[[#This Row],[Cód.]],CENTRAL[#All],9,0)</f>
        <v>#REF!</v>
      </c>
    </row>
    <row r="1168" spans="1:7" ht="16.5" thickTop="1" thickBot="1" x14ac:dyDescent="0.3">
      <c r="A1168">
        <v>200006576</v>
      </c>
      <c r="B1168" t="s">
        <v>1074</v>
      </c>
      <c r="C1168" t="s">
        <v>9</v>
      </c>
      <c r="D1168" s="10" t="e">
        <f>VLOOKUP(Tabela8[[#This Row],[Cód.]],#REF!,7,0)</f>
        <v>#REF!</v>
      </c>
      <c r="E1168" s="9"/>
      <c r="F1168" s="10"/>
      <c r="G1168" s="10" t="e">
        <f>VLOOKUP(Tabela8[[#This Row],[Cód.]],CENTRAL[#All],9,0)</f>
        <v>#REF!</v>
      </c>
    </row>
    <row r="1169" spans="1:7" ht="16.5" thickTop="1" thickBot="1" x14ac:dyDescent="0.3">
      <c r="A1169">
        <v>200002167</v>
      </c>
      <c r="B1169" t="s">
        <v>1075</v>
      </c>
      <c r="C1169" t="s">
        <v>9</v>
      </c>
      <c r="D1169" s="10" t="e">
        <f>VLOOKUP(Tabela8[[#This Row],[Cód.]],#REF!,7,0)</f>
        <v>#REF!</v>
      </c>
      <c r="E1169" s="9"/>
      <c r="F1169" s="10"/>
      <c r="G1169" s="10" t="e">
        <f>VLOOKUP(Tabela8[[#This Row],[Cód.]],CENTRAL[#All],9,0)</f>
        <v>#REF!</v>
      </c>
    </row>
    <row r="1170" spans="1:7" ht="16.5" thickTop="1" thickBot="1" x14ac:dyDescent="0.3">
      <c r="A1170">
        <v>200003430</v>
      </c>
      <c r="B1170" t="s">
        <v>1076</v>
      </c>
      <c r="C1170" t="s">
        <v>9</v>
      </c>
      <c r="D1170" s="10" t="e">
        <f>VLOOKUP(Tabela8[[#This Row],[Cód.]],#REF!,7,0)</f>
        <v>#REF!</v>
      </c>
      <c r="E1170" s="9"/>
      <c r="F1170" s="10"/>
      <c r="G1170" s="10" t="e">
        <f>VLOOKUP(Tabela8[[#This Row],[Cód.]],CENTRAL[#All],9,0)</f>
        <v>#REF!</v>
      </c>
    </row>
    <row r="1171" spans="1:7" ht="16.5" thickTop="1" thickBot="1" x14ac:dyDescent="0.3">
      <c r="A1171">
        <v>200005832</v>
      </c>
      <c r="B1171" t="s">
        <v>1078</v>
      </c>
      <c r="C1171" t="s">
        <v>9</v>
      </c>
      <c r="D1171" s="10" t="e">
        <f>VLOOKUP(Tabela8[[#This Row],[Cód.]],#REF!,7,0)</f>
        <v>#REF!</v>
      </c>
      <c r="E1171" s="9"/>
      <c r="F1171" s="10"/>
      <c r="G1171" s="10" t="e">
        <f>VLOOKUP(Tabela8[[#This Row],[Cód.]],CENTRAL[#All],9,0)</f>
        <v>#REF!</v>
      </c>
    </row>
    <row r="1172" spans="1:7" ht="15.75" thickTop="1" x14ac:dyDescent="0.25">
      <c r="A1172">
        <v>200003623</v>
      </c>
      <c r="B1172" t="s">
        <v>1081</v>
      </c>
      <c r="C1172" t="s">
        <v>9</v>
      </c>
      <c r="D1172" s="10" t="e">
        <f>VLOOKUP(Tabela8[[#This Row],[Cód.]],#REF!,7,0)</f>
        <v>#REF!</v>
      </c>
      <c r="E1172" s="9"/>
      <c r="F1172" s="10"/>
      <c r="G1172" s="10" t="e">
        <f>VLOOKUP(Tabela8[[#This Row],[Cód.]],CENTRAL[#All],9,0)</f>
        <v>#REF!</v>
      </c>
    </row>
    <row r="1173" spans="1:7" ht="15.75" thickBot="1" x14ac:dyDescent="0.3">
      <c r="A1173">
        <v>200003657</v>
      </c>
      <c r="B1173" t="s">
        <v>1082</v>
      </c>
      <c r="C1173" t="s">
        <v>9</v>
      </c>
      <c r="D1173" s="10" t="e">
        <f>VLOOKUP(Tabela8[[#This Row],[Cód.]],#REF!,7,0)</f>
        <v>#REF!</v>
      </c>
      <c r="E1173" s="10"/>
      <c r="F1173" s="10"/>
      <c r="G1173" s="10" t="e">
        <f>VLOOKUP(Tabela8[[#This Row],[Cód.]],CENTRAL[#All],9,0)</f>
        <v>#REF!</v>
      </c>
    </row>
    <row r="1174" spans="1:7" ht="16.5" thickTop="1" thickBot="1" x14ac:dyDescent="0.3">
      <c r="A1174">
        <v>200003658</v>
      </c>
      <c r="B1174" t="s">
        <v>1083</v>
      </c>
      <c r="C1174" t="s">
        <v>9</v>
      </c>
      <c r="D1174" s="10" t="e">
        <f>VLOOKUP(Tabela8[[#This Row],[Cód.]],#REF!,7,0)</f>
        <v>#REF!</v>
      </c>
      <c r="E1174" s="9"/>
      <c r="F1174" s="10"/>
      <c r="G1174" s="10" t="e">
        <f>VLOOKUP(Tabela8[[#This Row],[Cód.]],CENTRAL[#All],9,0)</f>
        <v>#REF!</v>
      </c>
    </row>
    <row r="1175" spans="1:7" ht="16.5" thickTop="1" thickBot="1" x14ac:dyDescent="0.3">
      <c r="A1175">
        <v>200003659</v>
      </c>
      <c r="B1175" t="s">
        <v>1084</v>
      </c>
      <c r="C1175" t="s">
        <v>9</v>
      </c>
      <c r="D1175" s="10" t="e">
        <f>VLOOKUP(Tabela8[[#This Row],[Cód.]],#REF!,7,0)</f>
        <v>#REF!</v>
      </c>
      <c r="E1175" s="9"/>
      <c r="F1175" s="10"/>
      <c r="G1175" s="10" t="e">
        <f>VLOOKUP(Tabela8[[#This Row],[Cód.]],CENTRAL[#All],9,0)</f>
        <v>#REF!</v>
      </c>
    </row>
    <row r="1176" spans="1:7" ht="16.5" thickTop="1" thickBot="1" x14ac:dyDescent="0.3">
      <c r="A1176">
        <v>200003660</v>
      </c>
      <c r="B1176" t="s">
        <v>1085</v>
      </c>
      <c r="C1176" t="s">
        <v>9</v>
      </c>
      <c r="D1176" s="10" t="e">
        <f>VLOOKUP(Tabela8[[#This Row],[Cód.]],#REF!,7,0)</f>
        <v>#REF!</v>
      </c>
      <c r="E1176" s="9"/>
      <c r="F1176" s="10"/>
      <c r="G1176" s="10" t="e">
        <f>VLOOKUP(Tabela8[[#This Row],[Cód.]],CENTRAL[#All],9,0)</f>
        <v>#REF!</v>
      </c>
    </row>
    <row r="1177" spans="1:7" ht="15.75" thickTop="1" x14ac:dyDescent="0.25">
      <c r="A1177">
        <v>200003661</v>
      </c>
      <c r="B1177" t="s">
        <v>1086</v>
      </c>
      <c r="C1177" t="s">
        <v>9</v>
      </c>
      <c r="D1177" s="10" t="e">
        <f>VLOOKUP(Tabela8[[#This Row],[Cód.]],#REF!,7,0)</f>
        <v>#REF!</v>
      </c>
      <c r="E1177" s="9"/>
      <c r="F1177" s="10"/>
      <c r="G1177" s="10" t="e">
        <f>VLOOKUP(Tabela8[[#This Row],[Cód.]],CENTRAL[#All],9,0)</f>
        <v>#REF!</v>
      </c>
    </row>
    <row r="1178" spans="1:7" ht="15.75" thickBot="1" x14ac:dyDescent="0.3">
      <c r="A1178">
        <v>200003304</v>
      </c>
      <c r="B1178" t="s">
        <v>1093</v>
      </c>
      <c r="C1178" t="s">
        <v>9</v>
      </c>
      <c r="D1178" s="10" t="e">
        <f>VLOOKUP(Tabela8[[#This Row],[Cód.]],#REF!,7,0)</f>
        <v>#REF!</v>
      </c>
      <c r="E1178" s="10"/>
      <c r="F1178" s="10"/>
      <c r="G1178" s="10" t="e">
        <f>VLOOKUP(Tabela8[[#This Row],[Cód.]],CENTRAL[#All],9,0)</f>
        <v>#REF!</v>
      </c>
    </row>
    <row r="1179" spans="1:7" ht="16.5" thickTop="1" thickBot="1" x14ac:dyDescent="0.3">
      <c r="A1179">
        <v>200001012</v>
      </c>
      <c r="B1179" t="s">
        <v>1094</v>
      </c>
      <c r="C1179" t="s">
        <v>9</v>
      </c>
      <c r="D1179" s="10" t="e">
        <f>VLOOKUP(Tabela8[[#This Row],[Cód.]],#REF!,7,0)</f>
        <v>#REF!</v>
      </c>
      <c r="E1179" s="9"/>
      <c r="F1179" s="10"/>
      <c r="G1179" s="10" t="e">
        <f>VLOOKUP(Tabela8[[#This Row],[Cód.]],CENTRAL[#All],9,0)</f>
        <v>#REF!</v>
      </c>
    </row>
    <row r="1180" spans="1:7" ht="16.5" thickTop="1" thickBot="1" x14ac:dyDescent="0.3">
      <c r="A1180">
        <v>200002228</v>
      </c>
      <c r="B1180" t="s">
        <v>1097</v>
      </c>
      <c r="C1180" t="s">
        <v>9</v>
      </c>
      <c r="D1180" s="10" t="e">
        <f>VLOOKUP(Tabela8[[#This Row],[Cód.]],#REF!,7,0)</f>
        <v>#REF!</v>
      </c>
      <c r="E1180" s="9"/>
      <c r="F1180" s="10"/>
      <c r="G1180" s="10" t="e">
        <f>VLOOKUP(Tabela8[[#This Row],[Cód.]],CENTRAL[#All],9,0)</f>
        <v>#REF!</v>
      </c>
    </row>
    <row r="1181" spans="1:7" ht="16.5" thickTop="1" thickBot="1" x14ac:dyDescent="0.3">
      <c r="A1181">
        <v>200002229</v>
      </c>
      <c r="B1181" t="s">
        <v>1098</v>
      </c>
      <c r="C1181" t="s">
        <v>9</v>
      </c>
      <c r="D1181" s="10" t="e">
        <f>VLOOKUP(Tabela8[[#This Row],[Cód.]],#REF!,7,0)</f>
        <v>#REF!</v>
      </c>
      <c r="E1181" s="9"/>
      <c r="F1181" s="10"/>
      <c r="G1181" s="10" t="e">
        <f>VLOOKUP(Tabela8[[#This Row],[Cód.]],CENTRAL[#All],9,0)</f>
        <v>#REF!</v>
      </c>
    </row>
    <row r="1182" spans="1:7" ht="16.5" thickTop="1" thickBot="1" x14ac:dyDescent="0.3">
      <c r="A1182">
        <v>200001627</v>
      </c>
      <c r="B1182" t="s">
        <v>1101</v>
      </c>
      <c r="C1182" t="s">
        <v>63</v>
      </c>
      <c r="D1182" s="10" t="e">
        <f>VLOOKUP(Tabela8[[#This Row],[Cód.]],#REF!,7,0)</f>
        <v>#REF!</v>
      </c>
      <c r="E1182" s="9"/>
      <c r="F1182" s="10"/>
      <c r="G1182" s="10" t="e">
        <f>VLOOKUP(Tabela8[[#This Row],[Cód.]],CENTRAL[#All],9,0)</f>
        <v>#REF!</v>
      </c>
    </row>
    <row r="1183" spans="1:7" ht="16.5" thickTop="1" thickBot="1" x14ac:dyDescent="0.3">
      <c r="A1183">
        <v>200007173</v>
      </c>
      <c r="B1183" t="s">
        <v>1103</v>
      </c>
      <c r="C1183" t="s">
        <v>546</v>
      </c>
      <c r="D1183" s="10" t="e">
        <f>VLOOKUP(Tabela8[[#This Row],[Cód.]],#REF!,7,0)</f>
        <v>#REF!</v>
      </c>
      <c r="E1183" s="9"/>
      <c r="F1183" s="10"/>
      <c r="G1183" s="10" t="e">
        <f>VLOOKUP(Tabela8[[#This Row],[Cód.]],CENTRAL[#All],9,0)</f>
        <v>#REF!</v>
      </c>
    </row>
    <row r="1184" spans="1:7" ht="16.5" thickTop="1" thickBot="1" x14ac:dyDescent="0.3">
      <c r="A1184">
        <v>200004019</v>
      </c>
      <c r="B1184" t="s">
        <v>1107</v>
      </c>
      <c r="C1184" t="s">
        <v>9</v>
      </c>
      <c r="D1184" s="10" t="e">
        <f>VLOOKUP(Tabela8[[#This Row],[Cód.]],#REF!,7,0)</f>
        <v>#REF!</v>
      </c>
      <c r="E1184" s="9"/>
      <c r="F1184" s="10"/>
      <c r="G1184" s="10" t="e">
        <f>VLOOKUP(Tabela8[[#This Row],[Cód.]],CENTRAL[#All],9,0)</f>
        <v>#REF!</v>
      </c>
    </row>
    <row r="1185" spans="1:7" ht="15.75" thickTop="1" x14ac:dyDescent="0.25">
      <c r="A1185">
        <v>200004000</v>
      </c>
      <c r="B1185" t="s">
        <v>1108</v>
      </c>
      <c r="C1185" t="s">
        <v>9</v>
      </c>
      <c r="D1185" s="10" t="e">
        <f>VLOOKUP(Tabela8[[#This Row],[Cód.]],#REF!,7,0)</f>
        <v>#REF!</v>
      </c>
      <c r="E1185" s="9"/>
      <c r="F1185" s="10"/>
      <c r="G1185" s="10" t="e">
        <f>VLOOKUP(Tabela8[[#This Row],[Cód.]],CENTRAL[#All],9,0)</f>
        <v>#REF!</v>
      </c>
    </row>
    <row r="1186" spans="1:7" ht="15.75" thickBot="1" x14ac:dyDescent="0.3">
      <c r="A1186">
        <v>200004884</v>
      </c>
      <c r="B1186" t="s">
        <v>1109</v>
      </c>
      <c r="C1186" t="s">
        <v>110</v>
      </c>
      <c r="D1186" s="10" t="e">
        <f>VLOOKUP(Tabela8[[#This Row],[Cód.]],#REF!,7,0)</f>
        <v>#REF!</v>
      </c>
      <c r="E1186" s="10"/>
      <c r="F1186" s="10"/>
      <c r="G1186" s="10" t="e">
        <f>VLOOKUP(Tabela8[[#This Row],[Cód.]],CENTRAL[#All],9,0)</f>
        <v>#REF!</v>
      </c>
    </row>
    <row r="1187" spans="1:7" ht="16.5" thickTop="1" thickBot="1" x14ac:dyDescent="0.3">
      <c r="A1187">
        <v>200005486</v>
      </c>
      <c r="B1187" t="s">
        <v>1110</v>
      </c>
      <c r="C1187" t="s">
        <v>9</v>
      </c>
      <c r="D1187" s="10" t="e">
        <f>VLOOKUP(Tabela8[[#This Row],[Cód.]],#REF!,7,0)</f>
        <v>#REF!</v>
      </c>
      <c r="E1187" s="9"/>
      <c r="F1187" s="10"/>
      <c r="G1187" s="10" t="e">
        <f>VLOOKUP(Tabela8[[#This Row],[Cód.]],CENTRAL[#All],9,0)</f>
        <v>#REF!</v>
      </c>
    </row>
    <row r="1188" spans="1:7" ht="16.5" thickTop="1" thickBot="1" x14ac:dyDescent="0.3">
      <c r="A1188">
        <v>200005486</v>
      </c>
      <c r="B1188" t="s">
        <v>1110</v>
      </c>
      <c r="C1188" t="s">
        <v>9</v>
      </c>
      <c r="D1188" s="10" t="e">
        <f>VLOOKUP(Tabela8[[#This Row],[Cód.]],#REF!,7,0)</f>
        <v>#REF!</v>
      </c>
      <c r="E1188" s="9"/>
      <c r="F1188" s="10"/>
      <c r="G1188" s="10" t="e">
        <f>VLOOKUP(Tabela8[[#This Row],[Cód.]],CENTRAL[#All],9,0)</f>
        <v>#REF!</v>
      </c>
    </row>
    <row r="1189" spans="1:7" ht="16.5" thickTop="1" thickBot="1" x14ac:dyDescent="0.3">
      <c r="A1189">
        <v>200005719</v>
      </c>
      <c r="B1189" t="s">
        <v>1112</v>
      </c>
      <c r="C1189" t="s">
        <v>9</v>
      </c>
      <c r="D1189" s="10" t="e">
        <f>VLOOKUP(Tabela8[[#This Row],[Cód.]],#REF!,7,0)</f>
        <v>#REF!</v>
      </c>
      <c r="E1189" s="9"/>
      <c r="F1189" s="10"/>
      <c r="G1189" s="10" t="e">
        <f>VLOOKUP(Tabela8[[#This Row],[Cód.]],CENTRAL[#All],9,0)</f>
        <v>#REF!</v>
      </c>
    </row>
    <row r="1190" spans="1:7" ht="16.5" thickTop="1" thickBot="1" x14ac:dyDescent="0.3">
      <c r="A1190">
        <v>200005719</v>
      </c>
      <c r="B1190" t="s">
        <v>1112</v>
      </c>
      <c r="C1190" t="s">
        <v>9</v>
      </c>
      <c r="D1190" s="10" t="e">
        <f>VLOOKUP(Tabela8[[#This Row],[Cód.]],#REF!,7,0)</f>
        <v>#REF!</v>
      </c>
      <c r="E1190" s="9"/>
      <c r="F1190" s="10"/>
      <c r="G1190" s="10" t="e">
        <f>VLOOKUP(Tabela8[[#This Row],[Cód.]],CENTRAL[#All],9,0)</f>
        <v>#REF!</v>
      </c>
    </row>
    <row r="1191" spans="1:7" ht="15.75" thickTop="1" x14ac:dyDescent="0.25">
      <c r="A1191">
        <v>200003620</v>
      </c>
      <c r="B1191" t="s">
        <v>1113</v>
      </c>
      <c r="C1191" t="s">
        <v>9</v>
      </c>
      <c r="D1191" s="10" t="e">
        <f>VLOOKUP(Tabela8[[#This Row],[Cód.]],#REF!,7,0)</f>
        <v>#REF!</v>
      </c>
      <c r="E1191" s="9"/>
      <c r="F1191" s="10"/>
      <c r="G1191" s="10" t="e">
        <f>VLOOKUP(Tabela8[[#This Row],[Cód.]],CENTRAL[#All],9,0)</f>
        <v>#REF!</v>
      </c>
    </row>
    <row r="1192" spans="1:7" x14ac:dyDescent="0.25">
      <c r="A1192">
        <v>200003621</v>
      </c>
      <c r="B1192" t="s">
        <v>1114</v>
      </c>
      <c r="C1192" t="s">
        <v>9</v>
      </c>
      <c r="D1192" s="10" t="e">
        <f>VLOOKUP(Tabela8[[#This Row],[Cód.]],#REF!,7,0)</f>
        <v>#REF!</v>
      </c>
      <c r="E1192" s="10"/>
      <c r="F1192" s="10"/>
      <c r="G1192" s="10" t="e">
        <f>VLOOKUP(Tabela8[[#This Row],[Cód.]],CENTRAL[#All],9,0)</f>
        <v>#REF!</v>
      </c>
    </row>
    <row r="1193" spans="1:7" ht="15.75" thickBot="1" x14ac:dyDescent="0.3">
      <c r="A1193">
        <v>200001048</v>
      </c>
      <c r="B1193" t="s">
        <v>1116</v>
      </c>
      <c r="C1193" t="s">
        <v>9</v>
      </c>
      <c r="D1193" s="10" t="e">
        <f>VLOOKUP(Tabela8[[#This Row],[Cód.]],#REF!,7,0)</f>
        <v>#REF!</v>
      </c>
      <c r="E1193" s="10"/>
      <c r="F1193" s="10"/>
      <c r="G1193" s="10" t="e">
        <f>VLOOKUP(Tabela8[[#This Row],[Cód.]],CENTRAL[#All],9,0)</f>
        <v>#REF!</v>
      </c>
    </row>
    <row r="1194" spans="1:7" ht="15.75" thickTop="1" x14ac:dyDescent="0.25">
      <c r="A1194">
        <v>200001048</v>
      </c>
      <c r="B1194" t="s">
        <v>1116</v>
      </c>
      <c r="C1194" t="s">
        <v>9</v>
      </c>
      <c r="D1194" s="10" t="e">
        <f>VLOOKUP(Tabela8[[#This Row],[Cód.]],#REF!,7,0)</f>
        <v>#REF!</v>
      </c>
      <c r="E1194" s="9"/>
      <c r="F1194" s="10"/>
      <c r="G1194" s="10" t="e">
        <f>VLOOKUP(Tabela8[[#This Row],[Cód.]],CENTRAL[#All],9,0)</f>
        <v>#REF!</v>
      </c>
    </row>
    <row r="1195" spans="1:7" ht="15.75" thickBot="1" x14ac:dyDescent="0.3">
      <c r="A1195">
        <v>200000698</v>
      </c>
      <c r="B1195" t="s">
        <v>1117</v>
      </c>
      <c r="C1195" t="s">
        <v>9</v>
      </c>
      <c r="D1195" s="10" t="e">
        <f>VLOOKUP(Tabela8[[#This Row],[Cód.]],#REF!,7,0)</f>
        <v>#REF!</v>
      </c>
      <c r="E1195" s="10"/>
      <c r="F1195" s="10"/>
      <c r="G1195" s="10" t="e">
        <f>VLOOKUP(Tabela8[[#This Row],[Cód.]],CENTRAL[#All],9,0)</f>
        <v>#REF!</v>
      </c>
    </row>
    <row r="1196" spans="1:7" ht="16.5" thickTop="1" thickBot="1" x14ac:dyDescent="0.3">
      <c r="A1196">
        <v>200000699</v>
      </c>
      <c r="B1196" t="s">
        <v>1120</v>
      </c>
      <c r="C1196" t="s">
        <v>9</v>
      </c>
      <c r="D1196" s="10" t="e">
        <f>VLOOKUP(Tabela8[[#This Row],[Cód.]],#REF!,7,0)</f>
        <v>#REF!</v>
      </c>
      <c r="E1196" s="9"/>
      <c r="F1196" s="10"/>
      <c r="G1196" s="10" t="e">
        <f>VLOOKUP(Tabela8[[#This Row],[Cód.]],CENTRAL[#All],9,0)</f>
        <v>#REF!</v>
      </c>
    </row>
    <row r="1197" spans="1:7" ht="16.5" thickTop="1" thickBot="1" x14ac:dyDescent="0.3">
      <c r="A1197">
        <v>200005346</v>
      </c>
      <c r="B1197" t="s">
        <v>1121</v>
      </c>
      <c r="C1197" t="s">
        <v>9</v>
      </c>
      <c r="D1197" s="10" t="e">
        <f>VLOOKUP(Tabela8[[#This Row],[Cód.]],#REF!,7,0)</f>
        <v>#REF!</v>
      </c>
      <c r="E1197" s="9"/>
      <c r="F1197" s="10"/>
      <c r="G1197" s="10" t="e">
        <f>VLOOKUP(Tabela8[[#This Row],[Cód.]],CENTRAL[#All],9,0)</f>
        <v>#REF!</v>
      </c>
    </row>
    <row r="1198" spans="1:7" ht="16.5" thickTop="1" thickBot="1" x14ac:dyDescent="0.3">
      <c r="A1198">
        <v>200001051</v>
      </c>
      <c r="B1198" t="s">
        <v>1123</v>
      </c>
      <c r="C1198" t="s">
        <v>9</v>
      </c>
      <c r="D1198" s="10" t="e">
        <f>VLOOKUP(Tabela8[[#This Row],[Cód.]],#REF!,7,0)</f>
        <v>#REF!</v>
      </c>
      <c r="E1198" s="9"/>
      <c r="F1198" s="10"/>
      <c r="G1198" s="10" t="e">
        <f>VLOOKUP(Tabela8[[#This Row],[Cód.]],CENTRAL[#All],9,0)</f>
        <v>#REF!</v>
      </c>
    </row>
    <row r="1199" spans="1:7" ht="16.5" thickTop="1" thickBot="1" x14ac:dyDescent="0.3">
      <c r="A1199">
        <v>200003703</v>
      </c>
      <c r="B1199" t="s">
        <v>1124</v>
      </c>
      <c r="C1199" t="s">
        <v>9</v>
      </c>
      <c r="D1199" s="10" t="e">
        <f>VLOOKUP(Tabela8[[#This Row],[Cód.]],#REF!,7,0)</f>
        <v>#REF!</v>
      </c>
      <c r="E1199" s="9"/>
      <c r="F1199" s="10"/>
      <c r="G1199" s="10" t="e">
        <f>VLOOKUP(Tabela8[[#This Row],[Cód.]],CENTRAL[#All],9,0)</f>
        <v>#REF!</v>
      </c>
    </row>
    <row r="1200" spans="1:7" ht="16.5" thickTop="1" thickBot="1" x14ac:dyDescent="0.3">
      <c r="A1200">
        <v>200003684</v>
      </c>
      <c r="B1200" t="s">
        <v>1125</v>
      </c>
      <c r="C1200" t="s">
        <v>9</v>
      </c>
      <c r="D1200" s="10" t="e">
        <f>VLOOKUP(Tabela8[[#This Row],[Cód.]],#REF!,7,0)</f>
        <v>#REF!</v>
      </c>
      <c r="E1200" s="9"/>
      <c r="F1200" s="10"/>
      <c r="G1200" s="10" t="e">
        <f>VLOOKUP(Tabela8[[#This Row],[Cód.]],CENTRAL[#All],9,0)</f>
        <v>#REF!</v>
      </c>
    </row>
    <row r="1201" spans="1:7" ht="15.75" thickTop="1" x14ac:dyDescent="0.25">
      <c r="A1201">
        <v>200005230</v>
      </c>
      <c r="B1201" t="s">
        <v>1126</v>
      </c>
      <c r="C1201" t="s">
        <v>9</v>
      </c>
      <c r="D1201" s="10" t="e">
        <f>VLOOKUP(Tabela8[[#This Row],[Cód.]],#REF!,7,0)</f>
        <v>#REF!</v>
      </c>
      <c r="E1201" s="9"/>
      <c r="F1201" s="10"/>
      <c r="G1201" s="10" t="e">
        <f>VLOOKUP(Tabela8[[#This Row],[Cód.]],CENTRAL[#All],9,0)</f>
        <v>#REF!</v>
      </c>
    </row>
    <row r="1202" spans="1:7" ht="15.75" thickBot="1" x14ac:dyDescent="0.3">
      <c r="A1202">
        <v>200004893</v>
      </c>
      <c r="B1202" t="s">
        <v>1127</v>
      </c>
      <c r="C1202" t="s">
        <v>9</v>
      </c>
      <c r="D1202" s="10" t="e">
        <f>VLOOKUP(Tabela8[[#This Row],[Cód.]],#REF!,7,0)</f>
        <v>#REF!</v>
      </c>
      <c r="E1202" s="10"/>
      <c r="F1202" s="10"/>
      <c r="G1202" s="10" t="e">
        <f>VLOOKUP(Tabela8[[#This Row],[Cód.]],CENTRAL[#All],9,0)</f>
        <v>#REF!</v>
      </c>
    </row>
    <row r="1203" spans="1:7" ht="15.75" thickTop="1" x14ac:dyDescent="0.25">
      <c r="A1203">
        <v>200001590</v>
      </c>
      <c r="B1203" t="s">
        <v>1130</v>
      </c>
      <c r="C1203" t="s">
        <v>9</v>
      </c>
      <c r="D1203" s="10" t="e">
        <f>VLOOKUP(Tabela8[[#This Row],[Cód.]],#REF!,7,0)</f>
        <v>#REF!</v>
      </c>
      <c r="E1203" s="9"/>
      <c r="F1203" s="10"/>
      <c r="G1203" s="10" t="e">
        <f>VLOOKUP(Tabela8[[#This Row],[Cód.]],CENTRAL[#All],9,0)</f>
        <v>#REF!</v>
      </c>
    </row>
    <row r="1204" spans="1:7" x14ac:dyDescent="0.25">
      <c r="A1204">
        <v>200001050</v>
      </c>
      <c r="B1204" t="s">
        <v>1131</v>
      </c>
      <c r="C1204" t="s">
        <v>9</v>
      </c>
      <c r="D1204" s="10" t="e">
        <f>VLOOKUP(Tabela8[[#This Row],[Cód.]],#REF!,7,0)</f>
        <v>#REF!</v>
      </c>
      <c r="E1204" s="10"/>
      <c r="F1204" s="10"/>
      <c r="G1204" s="10" t="e">
        <f>VLOOKUP(Tabela8[[#This Row],[Cód.]],CENTRAL[#All],9,0)</f>
        <v>#REF!</v>
      </c>
    </row>
    <row r="1205" spans="1:7" x14ac:dyDescent="0.25">
      <c r="A1205">
        <v>200001049</v>
      </c>
      <c r="B1205" t="s">
        <v>1132</v>
      </c>
      <c r="C1205" t="s">
        <v>9</v>
      </c>
      <c r="D1205" s="10" t="e">
        <f>VLOOKUP(Tabela8[[#This Row],[Cód.]],#REF!,7,0)</f>
        <v>#REF!</v>
      </c>
      <c r="E1205" s="10"/>
      <c r="F1205" s="10"/>
      <c r="G1205" s="10" t="e">
        <f>VLOOKUP(Tabela8[[#This Row],[Cód.]],CENTRAL[#All],9,0)</f>
        <v>#REF!</v>
      </c>
    </row>
    <row r="1206" spans="1:7" ht="15.75" thickBot="1" x14ac:dyDescent="0.3">
      <c r="A1206">
        <v>200001049</v>
      </c>
      <c r="B1206" t="s">
        <v>1132</v>
      </c>
      <c r="C1206" t="s">
        <v>9</v>
      </c>
      <c r="D1206" s="10" t="e">
        <f>VLOOKUP(Tabela8[[#This Row],[Cód.]],#REF!,7,0)</f>
        <v>#REF!</v>
      </c>
      <c r="E1206" s="10"/>
      <c r="F1206" s="10"/>
      <c r="G1206" s="10" t="e">
        <f>VLOOKUP(Tabela8[[#This Row],[Cód.]],CENTRAL[#All],9,0)</f>
        <v>#REF!</v>
      </c>
    </row>
    <row r="1207" spans="1:7" ht="16.5" thickTop="1" thickBot="1" x14ac:dyDescent="0.3">
      <c r="A1207">
        <v>200006046</v>
      </c>
      <c r="B1207" t="s">
        <v>1134</v>
      </c>
      <c r="C1207" t="s">
        <v>9</v>
      </c>
      <c r="D1207" s="10" t="e">
        <f>VLOOKUP(Tabela8[[#This Row],[Cód.]],#REF!,7,0)</f>
        <v>#REF!</v>
      </c>
      <c r="E1207" s="9"/>
      <c r="F1207" s="10"/>
      <c r="G1207" s="10" t="e">
        <f>VLOOKUP(Tabela8[[#This Row],[Cód.]],CENTRAL[#All],9,0)</f>
        <v>#REF!</v>
      </c>
    </row>
    <row r="1208" spans="1:7" ht="16.5" thickTop="1" thickBot="1" x14ac:dyDescent="0.3">
      <c r="A1208">
        <v>200006047</v>
      </c>
      <c r="B1208" t="s">
        <v>1135</v>
      </c>
      <c r="C1208" t="s">
        <v>9</v>
      </c>
      <c r="D1208" s="10" t="e">
        <f>VLOOKUP(Tabela8[[#This Row],[Cód.]],#REF!,7,0)</f>
        <v>#REF!</v>
      </c>
      <c r="E1208" s="9"/>
      <c r="F1208" s="10"/>
      <c r="G1208" s="10" t="e">
        <f>VLOOKUP(Tabela8[[#This Row],[Cód.]],CENTRAL[#All],9,0)</f>
        <v>#REF!</v>
      </c>
    </row>
    <row r="1209" spans="1:7" ht="16.5" thickTop="1" thickBot="1" x14ac:dyDescent="0.3">
      <c r="A1209">
        <v>200001052</v>
      </c>
      <c r="B1209" t="s">
        <v>1136</v>
      </c>
      <c r="C1209" t="s">
        <v>9</v>
      </c>
      <c r="D1209" s="10" t="e">
        <f>VLOOKUP(Tabela8[[#This Row],[Cód.]],#REF!,7,0)</f>
        <v>#REF!</v>
      </c>
      <c r="E1209" s="9"/>
      <c r="F1209" s="10"/>
      <c r="G1209" s="10" t="e">
        <f>VLOOKUP(Tabela8[[#This Row],[Cód.]],CENTRAL[#All],9,0)</f>
        <v>#REF!</v>
      </c>
    </row>
    <row r="1210" spans="1:7" ht="16.5" thickTop="1" thickBot="1" x14ac:dyDescent="0.3">
      <c r="A1210">
        <v>200001053</v>
      </c>
      <c r="B1210" t="s">
        <v>1139</v>
      </c>
      <c r="C1210" t="s">
        <v>9</v>
      </c>
      <c r="D1210" s="10" t="e">
        <f>VLOOKUP(Tabela8[[#This Row],[Cód.]],#REF!,7,0)</f>
        <v>#REF!</v>
      </c>
      <c r="E1210" s="9"/>
      <c r="F1210" s="10"/>
      <c r="G1210" s="10" t="e">
        <f>VLOOKUP(Tabela8[[#This Row],[Cód.]],CENTRAL[#All],9,0)</f>
        <v>#REF!</v>
      </c>
    </row>
    <row r="1211" spans="1:7" ht="16.5" thickTop="1" thickBot="1" x14ac:dyDescent="0.3">
      <c r="A1211">
        <v>200002360</v>
      </c>
      <c r="B1211" t="s">
        <v>1141</v>
      </c>
      <c r="C1211" t="s">
        <v>9</v>
      </c>
      <c r="D1211" s="10" t="e">
        <f>VLOOKUP(Tabela8[[#This Row],[Cód.]],#REF!,7,0)</f>
        <v>#REF!</v>
      </c>
      <c r="E1211" s="9"/>
      <c r="F1211" s="10"/>
      <c r="G1211" s="10" t="e">
        <f>VLOOKUP(Tabela8[[#This Row],[Cód.]],CENTRAL[#All],9,0)</f>
        <v>#REF!</v>
      </c>
    </row>
    <row r="1212" spans="1:7" ht="15.75" thickTop="1" x14ac:dyDescent="0.25">
      <c r="A1212">
        <v>200002361</v>
      </c>
      <c r="B1212" t="s">
        <v>1142</v>
      </c>
      <c r="C1212" t="s">
        <v>9</v>
      </c>
      <c r="D1212" s="10" t="e">
        <f>VLOOKUP(Tabela8[[#This Row],[Cód.]],#REF!,7,0)</f>
        <v>#REF!</v>
      </c>
      <c r="E1212" s="9"/>
      <c r="F1212" s="10"/>
      <c r="G1212" s="10" t="e">
        <f>VLOOKUP(Tabela8[[#This Row],[Cód.]],CENTRAL[#All],9,0)</f>
        <v>#REF!</v>
      </c>
    </row>
  </sheetData>
  <sortState xmlns:xlrd2="http://schemas.microsoft.com/office/spreadsheetml/2017/richdata2" ref="XFC1:XFC21">
    <sortCondition ref="XFC1:XFC21"/>
  </sortState>
  <conditionalFormatting sqref="A2:G1212">
    <cfRule type="expression" dxfId="5" priority="2">
      <formula>AND($D2&lt;$G2,$F2="Em Ata")</formula>
    </cfRule>
  </conditionalFormatting>
  <dataValidations count="2">
    <dataValidation type="list" allowBlank="1" showInputMessage="1" showErrorMessage="1" sqref="F2:F1212" xr:uid="{E798C165-C689-42B2-AD52-1B41E0A21E21}">
      <formula1>"Em Ata,Entrante,Obsoleto,Duplicado (Excluir)"</formula1>
    </dataValidation>
    <dataValidation type="list" errorStyle="warning" allowBlank="1" showInputMessage="1" showErrorMessage="1" errorTitle="ATENÇÃO" error="Está criando uma nova família?_x000a__x000a_Caso contrário, favor selecione uma das famílias existentes. " sqref="E2:E1212" xr:uid="{12C0DFDC-6C6D-402C-84C5-7A54350C2BA7}">
      <formula1>$XFC$1:$XFD$21</formula1>
    </dataValidation>
  </dataValidations>
  <pageMargins left="0.511811024" right="0.511811024" top="0.78740157499999996" bottom="0.78740157499999996" header="0.31496062000000002" footer="0.31496062000000002"/>
  <pageSetup paperSize="9" scale="10" fitToHeight="0" orientation="landscape" r:id="rId1"/>
  <ignoredErrors>
    <ignoredError sqref="H6:XFC9 H3:XFC5 H11:XFC11 H10:XFC10 H14:XFC16 H12:XFC13 H18:XFC23 H17:XFC17 H31:XFC36 H24:XFC30 H38:XFC39 H37:XFC37 H43:XFC43 H40:XFC42 H48:XFC49 H44:XFC47 H53:XFC54 H50:XFC52 H56:XFC56 H55:XFC55 H60:XFC61 H57:XFC59 H63:XFC64 H62:XFC62 H70:XFC70 H65:XFC69 H72:XFC73 H71:XFC71 H75:XFC76 H74:XFC74 H78:XFC81 H77:XFC77 H84:XFC84 H82:XFC83 H89:XFC105 H85:XFC88 H111:XFC124 H106:XFC110 H126:XFC136 H125:XFC125 H138:XFC138 H137:XFC137 H141:XFC143 H139:XFC140 H145:XFC145 H144:XFC144 H147:XFC150 H146:XFC146 H161:XFC162 H151:XFC160 H164:XFC167 H163:XFC163 H169:XFC171 H168:XFC168 H173:XFC173 H172:XFC172 H175:XFC192 H174:XFC174 H194:XFC194 H193:XFC193 H196:XFC196 H195:XFC195 H198:XFC200 H197:XFC197 H206:XFC206 H201:XFC205 H209:XFC210 H207:XFC208 H212:XFC213 H211:XFC211 H219:XFC219 H214:XFC218 H222:XFC222 H220:XFC221 H226:XFC230 H223:XFC225 H233:XFC235 H231:XFC232 H238:XFC239 H236:XFC237 H241:XFC247 H240:XFC240 H249:XFC249 H248:XFC248 H251:XFC251 H250:XFC250 H253:XFC307 H252:XFC252 H310:XFC311 H308:XFC309 H313:XFC313 H312:XFC312 H316:XFC330 H314:XFC315 H332:XFC337 H331:XFC331 H343:XFC347 H338:XFC342 H355:XFC355 H348:XFC354 H359:XFC361 H356:XFC358 H364:XFC364 H362:XFC363 H366:XFC370 H365:XFC365 H372:XFC373 H371:XFC371 H375:XFC375 H374:XFC374 H378:XFC380 H376:XFC377 H382:XFC383 H381:XFC381 H385:XFC386 H384:XFC384 H392:XFC393 H387:XFC391 H398:XFC399 H394:XFC397 H401:XFC402 H400:XFC400 H404:XFC410 H403:XFC403 H413:XFC417 H411:XFC412 H419:XFC420 H418:XFC418 H424:XFC433 H421:XFC423 H437:XFC437 H434:XFC436 H439:XFC440 H438:XFC438 H444:XFC447 H441:XFC443 H449:XFC451 H448:XFC448 H458:XFC458 H452:XFC457 H460:XFC461 H459:XFC459 H463:XFC463 H462:XFC462 H470:XFC471 H464:XFC469 H473:XFC473 H472:XFC472 H476:XFC480 H474:XFC475 H482:XFC482 H481:XFC481 H484:XFC486 H483:XFC483 H491:XFC493 H487:XFC490 H495:XFC496 H494:XFC494 H503:XFC511 H497:XFC502 H514:XFC514 H512:XFC513 H516:XFC516 H515:XFC515 H520:XFC520 H517:XFC519 H523:XFC524 H521:XFC522 H527:XFC529 H525:XFC526 H534:XFC543 H530:XFC533 H546:XFC552 H544:XFC545 H557:XFC557 H553:XFC556 H560:XFC563 H558:XFC559 H566:XFC566 H564:XFC565 H568:XFC571 H567:XFC567 H576:XFC578 H572:XFC575 H580:XFC584 H579:XFC579 H586:XFC589 H585:XFC585 H591:XFC592 H590:XFC590 H596:XFC597 H593:XFC595 H606:XFC607 H598:XFC605 H610:XFC615 H608:XFC609 H617:XFC617 H616:XFC616 H619:XFC621 H618:XFC618 H623:XFC623 H622:XFC622 H637:XFC638 H624:XFC636 H640:XFC640 H639:XFC639 H644:XFC645 H641:XFC643 H648:XFC648 H646:XFC647 H653:XFC653 H649:XFC652 H655:XFC655 H654:XFC654 H662:XFC664 H656:XFC661 H666:XFC666 H665:XFC665 H668:XFC668 H667:XFC667 H671:XFC672 H669:XFC670 H675:XFC675 H673:XFC674 H678:XFC680 H676:XFC677 H683:XFC691 H681:XFC682 H694:XFC694 H692:XFC693 H697:XFC702 H695:XFC696 H704:XFC708 H703:XFC703 H710:XFC724 H709:XFC709 H726:XFC728 H725:XFC725 H730:XFC732 H729:XFC729 H734:XFC734 H733:XFC733 H736:XFC738 H735:XFC735 H740:XFC742 H739:XFC739 H745:XFC747 H743:XFC744 H757:XFC761 H748:XFC756 H766:XFC772 H762:XFC765 H774:XFC777 H773:XFC773 H779:XFC781 H778:XFC778 H783:XFC789 H782:XFC782 H791:XFC792 H790:XFC790 H797:XFC798 H793:XFC796 H802:XFC806 H799:XFC801 H808:XFC808 H807:XFC807 H810:XFC810 H809:XFC809 H813:XFC813 H811:XFC812 H816:XFC817 H814:XFC815 H819:XFC819 H818:XFC818 H821:XFC825 H820:XFC820 H827:XFC831 H826:XFC826 H833:XFC834 H832:XFC832 H837:XFC842 H835:XFC836 H844:XFC847 H843:XFC843 H850:XFC855 H848:XFC849 H857:XFC862 H856:XFC856 H864:XFC864 H863:XFC863 H868:XFC868 H865:XFC867 H870:XFC874 H869:XFC869 H877:XFC877 H875:XFC876 H880:XFC882 H878:XFC879 H885:XFC885 H883:XFC884 H887:XFC894 H886:XFC886 H899:XFC900 H895:XFC898 H903:XFC908 H901:XFC902 H914:XFC914 H909:XFC913 H916:XFC916 H915:XFC915 H918:XFC921 H917:XFC917 H925:XFC926 H922:XFC924 H928:XFC928 H927:XFC927 H932:XFC933 H929:XFC931 H935:XFC938 H934:XFC934 H941:XFC942 H939:XFC940 H946:XFC950 H943:XFC945 H952:XFC967 H951:XFC951 H969:XFC970 H968:XFC968 H972:XFC985 H971:XFC971 H994:XFC994 H986:XFC993 H996:XFC996 H995:XFC995 H998:XFC1001 H997:XFC997 H1004:XFC1004 H1002:XFC1003 H1006:XFC1018 H1005:XFC1005 H1020:XFC1020 H1019:XFC1019 H1022:XFC1023 H1021:XFC1021 H1025:XFC1028 H1024:XFC1024 H1033:XFC1041 H1029:XFC1032 H1045:XFC1046 H1042:XFC1044 H1049:XFC1049 H1047:XFC1048 H1052:XFC1052 H1050:XFC1051 H1056:XFC1057 H1053:XFC1055 H1059:XFC1060 H1058:XFC1058 H1064:XFC1066 H1061:XFC1063 H1072:XFC1073 H1067:XFC1071 H1075:XFC1085 H1074:XFC1074 H1087:XFC1088 H1086:XFC1086 H1091:XFC1091 H1089:XFC1090 H1093:XFC1093 H1092:XFC1092 H1096:XFC1099 H1094:XFC1095 H1103:XFC1103 H1100:XFC1102 H1105:XFC1106 H1104:XFC1104 H1108:XFC1109 H1107:XFC1107 H1111:XFC1111 H1110:XFC1110 H1119:XFC1119 H1112:XFC1118 H1122:XFC1122 H1120:XFC1121 H1124:XFC1124 H1123:XFC1123 H1126:XFC1126 H1125:XFC1125 H1128:XFC1129 H1127:XFC1127 H1131:XFC1132 H1130:XFC1130 H1135:XFC1137 H1133:XFC1134 H1139:XFC1139 H1138:XFC1138 H1142:XFC1147 H1140:XFC1141 H1154:XFC1155 H1148:XFC1153 H1158:XFC1159 H1156:XFC1157 H1162:XFC1162 H1160:XFC1161 H1164:XFC1164 H1163:XFC1163 H1168:XFC1172 H1165:XFC1167 H1174:XFC1177 H1173:XFC1173 H1179:XFC1181 H1178:XFC1178 H1183:XFC1184 H1182:XFC1182 H1187:XFC1191 H1185:XFC1186 H1194:XFC1194 H1192:XFC1193 H1196:XFC1198 H1195:XFC1195 H1200:XFC1201 H1199:XFC1199 H1203:XFC1203 H1202:XFC1202 H1207:XFC1207 H1204:XFC1206 H1209:XFC1210 H1208:XFC1208 H1211:XFC1212" listDataValidation="1"/>
  </ignoredError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b029b56-3411-473c-8dc4-47702cfa7f09" xsi:nil="true"/>
    <lcf76f155ced4ddcb4097134ff3c332f xmlns="e461758b-926b-44e9-b618-2ebbf9c7904c">
      <Terms xmlns="http://schemas.microsoft.com/office/infopath/2007/PartnerControls"/>
    </lcf76f155ced4ddcb4097134ff3c332f>
    <_Flow_SignoffStatus xmlns="e461758b-926b-44e9-b618-2ebbf9c7904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44FDA6D13AE1247A9B0C79979AB1262" ma:contentTypeVersion="19" ma:contentTypeDescription="Crie um novo documento." ma:contentTypeScope="" ma:versionID="2111f17e97168d4e11b37756544462ea">
  <xsd:schema xmlns:xsd="http://www.w3.org/2001/XMLSchema" xmlns:xs="http://www.w3.org/2001/XMLSchema" xmlns:p="http://schemas.microsoft.com/office/2006/metadata/properties" xmlns:ns2="e461758b-926b-44e9-b618-2ebbf9c7904c" xmlns:ns3="5b029b56-3411-473c-8dc4-47702cfa7f09" targetNamespace="http://schemas.microsoft.com/office/2006/metadata/properties" ma:root="true" ma:fieldsID="026fae86abd95432e7e30066d56f4a10" ns2:_="" ns3:_="">
    <xsd:import namespace="e461758b-926b-44e9-b618-2ebbf9c7904c"/>
    <xsd:import namespace="5b029b56-3411-473c-8dc4-47702cfa7f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Flow_SignoffStatu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61758b-926b-44e9-b618-2ebbf9c790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0" nillable="true" ma:displayName="Status de liberação" ma:internalName="Status_x0020_de_x0020_libera_x00e7__x00e3_o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7f071e9a-c5f5-413c-99f8-544067b830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029b56-3411-473c-8dc4-47702cfa7f0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c8f703f-f084-45b3-825f-69841cceb8a6}" ma:internalName="TaxCatchAll" ma:showField="CatchAllData" ma:web="5b029b56-3411-473c-8dc4-47702cfa7f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14EDA2A7-4342-4A7A-8B79-5CD002B8B85C}">
  <ds:schemaRefs>
    <ds:schemaRef ds:uri="http://schemas.microsoft.com/office/2006/metadata/properties"/>
    <ds:schemaRef ds:uri="http://schemas.microsoft.com/office/infopath/2007/PartnerControls"/>
    <ds:schemaRef ds:uri="5b029b56-3411-473c-8dc4-47702cfa7f09"/>
    <ds:schemaRef ds:uri="e461758b-926b-44e9-b618-2ebbf9c7904c"/>
  </ds:schemaRefs>
</ds:datastoreItem>
</file>

<file path=customXml/itemProps2.xml><?xml version="1.0" encoding="utf-8"?>
<ds:datastoreItem xmlns:ds="http://schemas.openxmlformats.org/officeDocument/2006/customXml" ds:itemID="{95C45060-96F2-4BFC-8548-60E73834BE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61758b-926b-44e9-b618-2ebbf9c7904c"/>
    <ds:schemaRef ds:uri="5b029b56-3411-473c-8dc4-47702cfa7f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FE1BAE-64B6-4079-93BB-8C52141F06D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320659E-ABE3-459C-8C55-8409337468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CENTRAL</vt:lpstr>
      <vt:lpstr>SUB</vt:lpstr>
      <vt:lpstr>PROJ_2022</vt:lpstr>
      <vt:lpstr>PROJ_2023</vt:lpstr>
      <vt:lpstr>BENFICA</vt:lpstr>
      <vt:lpstr>FAMÍLIAS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Mário da Silva Pereira</dc:creator>
  <cp:keywords/>
  <dc:description/>
  <cp:lastModifiedBy>Mario Pereira</cp:lastModifiedBy>
  <cp:revision/>
  <dcterms:created xsi:type="dcterms:W3CDTF">2023-12-12T12:01:35Z</dcterms:created>
  <dcterms:modified xsi:type="dcterms:W3CDTF">2026-05-11T18:11:19Z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0x010100544FDA6D13AE1247A9B0C79979AB1262</vt:lpwstr>
  </property>
  <property fmtid="{D5CDD505-2E9C-101B-9397-08002B2CF9AE}" pid="3" name="MediaServiceImageTags">
    <vt:lpwstr/>
  </property>
</Properties>
</file>